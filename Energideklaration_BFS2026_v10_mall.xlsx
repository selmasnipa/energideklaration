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drawings/drawing1.xml" ContentType="application/vnd.openxmlformats-officedocument.drawing+xml"/>
  <Override PartName="/xl/comments/comment4.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comments/comment5.xml" ContentType="application/vnd.openxmlformats-officedocument.spreadsheetml.comments+xml"/>
  <Override PartName="/xl/worksheets/sheet10.xml" ContentType="application/vnd.openxmlformats-officedocument.spreadsheetml.worksheet+xml"/>
  <Override PartName="/xl/comments/comment6.xml" ContentType="application/vnd.openxmlformats-officedocument.spreadsheetml.comments+xml"/>
  <Override PartName="/xl/worksheets/sheet11.xml" ContentType="application/vnd.openxmlformats-officedocument.spreadsheetml.worksheet+xml"/>
  <Override PartName="/xl/comments/comment7.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8.xml" ContentType="application/vnd.openxmlformats-officedocument.spreadsheetml.comments+xml"/>
  <Override PartName="/xl/worksheets/sheet16.xml" ContentType="application/vnd.openxmlformats-officedocument.spreadsheetml.worksheet+xml"/>
  <Override PartName="/xl/comments/comment9.xml" ContentType="application/vnd.openxmlformats-officedocument.spreadsheetml.comments+xml"/>
  <Override PartName="/xl/worksheets/sheet17.xml" ContentType="application/vnd.openxmlformats-officedocument.spreadsheetml.worksheet+xml"/>
  <Override PartName="/xl/comments/comment10.xml" ContentType="application/vnd.openxmlformats-officedocument.spreadsheetml.comments+xml"/>
  <Override PartName="/xl/worksheets/sheet18.xml" ContentType="application/vnd.openxmlformats-officedocument.spreadsheetml.worksheet+xml"/>
  <Override PartName="/xl/drawings/drawing2.xml" ContentType="application/vnd.openxmlformats-officedocument.drawing+xml"/>
  <Override PartName="/xl/comments/comment11.xml" ContentType="application/vnd.openxmlformats-officedocument.spreadsheetml.comments+xml"/>
  <Override PartName="/xl/worksheets/sheet19.xml" ContentType="application/vnd.openxmlformats-officedocument.spreadsheetml.worksheet+xml"/>
  <Override PartName="/xl/drawings/drawing3.xml" ContentType="application/vnd.openxmlformats-officedocument.drawing+xml"/>
  <Override PartName="/xl/comments/comment12.xml" ContentType="application/vnd.openxmlformats-officedocument.spreadsheetml.comments+xml"/>
  <Override PartName="/xl/worksheets/sheet20.xml" ContentType="application/vnd.openxmlformats-officedocument.spreadsheetml.worksheet+xml"/>
  <Override PartName="/xl/drawings/drawing4.xml" ContentType="application/vnd.openxmlformats-officedocument.drawing+xml"/>
  <Override PartName="/xl/comments/comment13.xml" ContentType="application/vnd.openxmlformats-officedocument.spreadsheetml.comments+xml"/>
  <Override PartName="/xl/worksheets/sheet21.xml" ContentType="application/vnd.openxmlformats-officedocument.spreadsheetml.worksheet+xml"/>
  <Override PartName="/xl/comments/comment14.xml" ContentType="application/vnd.openxmlformats-officedocument.spreadsheetml.comments+xml"/>
  <Override PartName="/xl/worksheets/sheet22.xml" ContentType="application/vnd.openxmlformats-officedocument.spreadsheetml.worksheet+xml"/>
  <Override PartName="/xl/comments/comment15.xml" ContentType="application/vnd.openxmlformats-officedocument.spreadsheetml.comments+xml"/>
  <Override PartName="/xl/worksheets/sheet23.xml" ContentType="application/vnd.openxmlformats-officedocument.spreadsheetml.worksheet+xml"/>
  <Override PartName="/xl/comments/comment16.xml" ContentType="application/vnd.openxmlformats-officedocument.spreadsheetml.comments+xml"/>
  <Override PartName="/xl/worksheets/sheet24.xml" ContentType="application/vnd.openxmlformats-officedocument.spreadsheetml.worksheet+xml"/>
  <Override PartName="/xl/comments/comment17.xml" ContentType="application/vnd.openxmlformats-officedocument.spreadsheetml.comments+xml"/>
  <Override PartName="/xl/worksheets/sheet25.xml" ContentType="application/vnd.openxmlformats-officedocument.spreadsheetml.worksheet+xml"/>
  <Override PartName="/xl/comments/comment18.xml" ContentType="application/vnd.openxmlformats-officedocument.spreadsheetml.comments+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0" yWindow="-90" windowWidth="19380" windowHeight="10260" tabRatio="500" firstSheet="3" activeTab="3" autoFilterDateGrouping="1"/>
  </bookViews>
  <sheets>
    <sheet xmlns:r="http://schemas.openxmlformats.org/officeDocument/2006/relationships" name="Instruktion" sheetId="1" state="visible" r:id="rId1"/>
    <sheet xmlns:r="http://schemas.openxmlformats.org/officeDocument/2006/relationships" name="Sammanfattning" sheetId="2" state="visible" r:id="rId2"/>
    <sheet xmlns:r="http://schemas.openxmlformats.org/officeDocument/2006/relationships" name="Byggnader" sheetId="3" state="visible" r:id="rId3"/>
    <sheet xmlns:r="http://schemas.openxmlformats.org/officeDocument/2006/relationships" name="Tidigare deklarationer" sheetId="4" state="visible" r:id="rId4"/>
    <sheet xmlns:r="http://schemas.openxmlformats.org/officeDocument/2006/relationships" name="Mätdata" sheetId="5" state="visible" r:id="rId5"/>
    <sheet xmlns:r="http://schemas.openxmlformats.org/officeDocument/2006/relationships" name="El" sheetId="6" state="visible" r:id="rId6"/>
    <sheet xmlns:r="http://schemas.openxmlformats.org/officeDocument/2006/relationships" name="Besiktningsprotokoll" sheetId="7" state="visible" r:id="rId7"/>
    <sheet xmlns:r="http://schemas.openxmlformats.org/officeDocument/2006/relationships" name="Bilder" sheetId="8" state="visible" r:id="rId8"/>
    <sheet xmlns:r="http://schemas.openxmlformats.org/officeDocument/2006/relationships" name="Normalisering" sheetId="9" state="visible" r:id="rId9"/>
    <sheet xmlns:r="http://schemas.openxmlformats.org/officeDocument/2006/relationships" name="Resultat" sheetId="10" state="visible" r:id="rId10"/>
    <sheet xmlns:r="http://schemas.openxmlformats.org/officeDocument/2006/relationships" name="Gripen" sheetId="11" state="visible" r:id="rId11"/>
    <sheet xmlns:r="http://schemas.openxmlformats.org/officeDocument/2006/relationships" name="Beräkningshjälp schabloner" sheetId="12" state="visible" r:id="rId12"/>
    <sheet xmlns:r="http://schemas.openxmlformats.org/officeDocument/2006/relationships" name="Nyckeltal" sheetId="13" state="visible" r:id="rId13"/>
    <sheet xmlns:r="http://schemas.openxmlformats.org/officeDocument/2006/relationships" name="Energiprisfaktorer" sheetId="14" state="visible" r:id="rId14"/>
    <sheet xmlns:r="http://schemas.openxmlformats.org/officeDocument/2006/relationships" name="Installera bergvärme" sheetId="15" state="visible" r:id="rId15"/>
    <sheet xmlns:r="http://schemas.openxmlformats.org/officeDocument/2006/relationships" name="Injustering av värmesystem" sheetId="16" state="visible" r:id="rId16"/>
    <sheet xmlns:r="http://schemas.openxmlformats.org/officeDocument/2006/relationships" name="Styrsystem för värme" sheetId="17" state="visible" r:id="rId17"/>
    <sheet xmlns:r="http://schemas.openxmlformats.org/officeDocument/2006/relationships" name="Tilläggisolering av vindsbjälk" sheetId="18" state="visible" r:id="rId18"/>
    <sheet xmlns:r="http://schemas.openxmlformats.org/officeDocument/2006/relationships" name="Byte fönster" sheetId="19" state="visible" r:id="rId19"/>
    <sheet xmlns:r="http://schemas.openxmlformats.org/officeDocument/2006/relationships" name="Tilläggisol fasad" sheetId="20" state="visible" r:id="rId20"/>
    <sheet xmlns:r="http://schemas.openxmlformats.org/officeDocument/2006/relationships" name="Installation F-återvinning" sheetId="21" state="visible" r:id="rId21"/>
    <sheet xmlns:r="http://schemas.openxmlformats.org/officeDocument/2006/relationships" name="Installation av solceller" sheetId="22" state="visible" r:id="rId22"/>
    <sheet xmlns:r="http://schemas.openxmlformats.org/officeDocument/2006/relationships" name="Byte av pump" sheetId="23" state="visible" r:id="rId23"/>
    <sheet xmlns:r="http://schemas.openxmlformats.org/officeDocument/2006/relationships" name="Byte av fläkt" sheetId="24" state="visible" r:id="rId24"/>
    <sheet xmlns:r="http://schemas.openxmlformats.org/officeDocument/2006/relationships" name="Övrig åtgärd" sheetId="25" state="visible" r:id="rId25"/>
    <sheet xmlns:r="http://schemas.openxmlformats.org/officeDocument/2006/relationships" name="Förslagstexter och kalkyl" sheetId="26" state="visible" r:id="rId26"/>
    <sheet xmlns:r="http://schemas.openxmlformats.org/officeDocument/2006/relationships" name="Regler BFS 2026" sheetId="27" state="visible" r:id="rId27"/>
  </sheets>
  <definedNames/>
  <calcPr calcId="191029" fullCalcOnLoad="1" iterateDelta="0.0001"/>
</workbook>
</file>

<file path=xl/styles.xml><?xml version="1.0" encoding="utf-8"?>
<styleSheet xmlns="http://schemas.openxmlformats.org/spreadsheetml/2006/main">
  <numFmts count="9">
    <numFmt numFmtId="164" formatCode="0.0"/>
    <numFmt numFmtId="165" formatCode="#,##0&quot; kWh&quot;"/>
    <numFmt numFmtId="166" formatCode="#,##0&quot; kr&quot;"/>
    <numFmt numFmtId="167" formatCode="0.000000"/>
    <numFmt numFmtId="168" formatCode="0.000"/>
    <numFmt numFmtId="169" formatCode="0.0%"/>
    <numFmt numFmtId="170" formatCode="\+0%;\-0%;0%"/>
    <numFmt numFmtId="171" formatCode="#,##0.0"/>
    <numFmt numFmtId="172" formatCode="#,##0_ ;[Red]\-#,##0\ "/>
  </numFmts>
  <fonts count="42">
    <font>
      <name val="Times New Roman"/>
      <charset val="1"/>
      <sz val="11"/>
    </font>
    <font>
      <name val="Arial"/>
      <charset val="1"/>
      <family val="2"/>
      <sz val="10"/>
    </font>
    <font>
      <name val="Times New Roman"/>
      <charset val="1"/>
      <b val="1"/>
      <sz val="18"/>
    </font>
    <font>
      <name val="Times New Roman"/>
      <charset val="1"/>
      <b val="1"/>
      <sz val="9"/>
    </font>
    <font>
      <name val="Times New Roman"/>
      <charset val="1"/>
      <sz val="10"/>
    </font>
    <font>
      <name val="Times New Roman"/>
      <charset val="1"/>
      <i val="1"/>
      <color rgb="FF595959"/>
      <sz val="9"/>
    </font>
    <font>
      <name val="Cambria"/>
      <charset val="1"/>
      <b val="1"/>
      <sz val="16"/>
    </font>
    <font>
      <name val="Cambria"/>
      <charset val="1"/>
      <sz val="11"/>
    </font>
    <font>
      <name val="Cambria"/>
      <charset val="1"/>
      <b val="1"/>
      <sz val="13"/>
    </font>
    <font>
      <name val="Cambria"/>
      <charset val="1"/>
      <b val="1"/>
      <color rgb="FFFFFFFF"/>
      <sz val="11"/>
    </font>
    <font>
      <name val="Cambria"/>
      <charset val="1"/>
      <b val="1"/>
      <sz val="11"/>
    </font>
    <font>
      <name val="Cambria"/>
      <charset val="1"/>
      <i val="1"/>
      <sz val="9"/>
    </font>
    <font>
      <name val="Times New Roman"/>
      <charset val="1"/>
      <sz val="9"/>
    </font>
    <font>
      <name val="Calibri"/>
      <charset val="1"/>
      <sz val="9"/>
    </font>
    <font>
      <name val="Times New Roman"/>
      <charset val="1"/>
      <b val="1"/>
      <sz val="11"/>
    </font>
    <font>
      <name val="Calibri"/>
      <charset val="1"/>
      <color rgb="FF3F3F76"/>
      <sz val="9"/>
    </font>
    <font>
      <name val="Calibri"/>
      <charset val="1"/>
      <b val="1"/>
      <color rgb="FFFA7D00"/>
      <sz val="9"/>
    </font>
    <font>
      <name val="Calibri"/>
      <charset val="1"/>
      <color rgb="FF008000"/>
      <sz val="9"/>
    </font>
    <font>
      <name val="Arial"/>
      <family val="2"/>
      <sz val="10"/>
    </font>
    <font>
      <name val="Times New Roman"/>
      <charset val="1"/>
      <family val="1"/>
      <sz val="9"/>
    </font>
    <font>
      <name val="Times New Roman"/>
      <charset val="1"/>
      <family val="1"/>
      <b val="1"/>
      <sz val="20"/>
    </font>
    <font>
      <name val="Times New Roman"/>
      <charset val="1"/>
      <family val="1"/>
      <b val="1"/>
      <color rgb="FFFFFFFF"/>
      <sz val="9"/>
    </font>
    <font>
      <name val="Times New Roman"/>
      <charset val="1"/>
      <family val="1"/>
      <b val="1"/>
      <sz val="9"/>
    </font>
    <font>
      <name val="Times New Roman"/>
      <charset val="1"/>
      <family val="1"/>
      <color rgb="FF0000FF"/>
      <sz val="9"/>
    </font>
    <font>
      <name val="Calibri"/>
      <charset val="1"/>
      <family val="2"/>
      <color rgb="FF3F3F76"/>
      <sz val="9"/>
    </font>
    <font>
      <name val="Calibri"/>
      <charset val="1"/>
      <family val="2"/>
      <b val="1"/>
      <color rgb="FFFA7D00"/>
      <sz val="9"/>
    </font>
    <font>
      <name val="Calibri"/>
      <charset val="1"/>
      <family val="2"/>
      <color theme="1"/>
      <sz val="9"/>
    </font>
    <font>
      <name val="Times New Roman"/>
      <charset val="1"/>
      <family val="1"/>
      <b val="1"/>
      <sz val="11"/>
    </font>
    <font>
      <name val="Cambria"/>
      <charset val="1"/>
      <b val="1"/>
      <i val="1"/>
      <sz val="11"/>
    </font>
    <font>
      <name val="Times New Roman"/>
      <charset val="1"/>
      <family val="1"/>
      <sz val="11"/>
    </font>
    <font>
      <name val="Arial"/>
      <charset val="1"/>
      <family val="2"/>
      <b val="1"/>
      <sz val="16"/>
    </font>
    <font>
      <name val="Arial"/>
      <charset val="1"/>
      <family val="2"/>
      <b val="1"/>
      <sz val="10"/>
    </font>
    <font>
      <name val="Arial"/>
      <charset val="1"/>
      <family val="2"/>
      <b val="1"/>
      <sz val="18"/>
    </font>
    <font>
      <name val="Arial"/>
      <charset val="1"/>
      <family val="2"/>
      <b val="1"/>
      <sz val="12"/>
    </font>
    <font>
      <name val="Arial"/>
      <charset val="1"/>
      <family val="2"/>
      <b val="1"/>
      <sz val="8"/>
    </font>
    <font>
      <name val="Calibri"/>
      <charset val="1"/>
      <family val="2"/>
      <color rgb="FF3F3F76"/>
      <sz val="11"/>
    </font>
    <font>
      <name val="Calibri"/>
      <charset val="1"/>
      <family val="2"/>
      <b val="1"/>
      <color rgb="FFFA7D00"/>
      <sz val="11"/>
    </font>
    <font>
      <name val="Times New Roman"/>
      <b val="1"/>
      <sz val="9"/>
    </font>
    <font>
      <name val="Calibri"/>
      <color rgb="FF3F3F76"/>
      <sz val="9"/>
    </font>
    <font>
      <name val="Times New Roman"/>
      <b val="1"/>
      <sz val="11"/>
    </font>
    <font>
      <name val="Times New Roman"/>
      <sz val="9"/>
    </font>
    <font>
      <name val="Calibri"/>
      <b val="1"/>
      <color rgb="FFFA7D00"/>
      <sz val="9"/>
    </font>
  </fonts>
  <fills count="23">
    <fill>
      <patternFill/>
    </fill>
    <fill>
      <patternFill patternType="gray125"/>
    </fill>
    <fill>
      <patternFill patternType="solid">
        <fgColor rgb="FF1F4E78"/>
        <bgColor rgb="FF3F3F76"/>
      </patternFill>
    </fill>
    <fill>
      <patternFill patternType="solid">
        <fgColor rgb="FFDCE6F1"/>
        <bgColor rgb="FFDCE6F2"/>
      </patternFill>
    </fill>
    <fill>
      <patternFill patternType="solid">
        <fgColor rgb="FFFFCC99"/>
        <bgColor rgb="FFFCD5B5"/>
      </patternFill>
    </fill>
    <fill>
      <patternFill patternType="solid">
        <fgColor rgb="FFF2F2F2"/>
        <bgColor rgb="FFEBF1DE"/>
      </patternFill>
    </fill>
    <fill>
      <patternFill patternType="solid">
        <fgColor rgb="FF333399"/>
        <bgColor rgb="FF3F3F76"/>
      </patternFill>
    </fill>
    <fill>
      <patternFill patternType="solid">
        <fgColor theme="5" tint="0.7997985778374584"/>
        <bgColor rgb="FFFCD5B5"/>
      </patternFill>
    </fill>
    <fill>
      <patternFill patternType="solid">
        <fgColor theme="4" tint="0.7997985778374584"/>
        <bgColor rgb="FFDCE6F1"/>
      </patternFill>
    </fill>
    <fill>
      <patternFill patternType="solid">
        <fgColor rgb="FFFFFF99"/>
        <bgColor rgb="FFEBF1DE"/>
      </patternFill>
    </fill>
    <fill>
      <patternFill patternType="solid">
        <fgColor rgb="FFFF99CC"/>
        <bgColor rgb="FFCC99FF"/>
      </patternFill>
    </fill>
    <fill>
      <patternFill patternType="solid">
        <fgColor theme="9" tint="0.5995971556749168"/>
        <bgColor rgb="FFFFCC99"/>
      </patternFill>
    </fill>
    <fill>
      <patternFill patternType="solid">
        <fgColor rgb="FFFFFF00"/>
        <bgColor rgb="FFFFC000"/>
      </patternFill>
    </fill>
    <fill>
      <patternFill patternType="solid">
        <fgColor rgb="FFC0C0C0"/>
        <bgColor rgb="FFC4BD97"/>
      </patternFill>
    </fill>
    <fill>
      <patternFill patternType="solid">
        <fgColor rgb="FFCCFFCC"/>
        <bgColor rgb="FFEBF1DE"/>
      </patternFill>
    </fill>
    <fill>
      <patternFill patternType="solid">
        <fgColor theme="6" tint="0.7997985778374584"/>
        <bgColor rgb="FFF2F2F2"/>
      </patternFill>
    </fill>
    <fill>
      <patternFill patternType="solid">
        <fgColor rgb="FFCC99FF"/>
        <bgColor rgb="FFFF99CC"/>
      </patternFill>
    </fill>
    <fill>
      <patternFill patternType="solid">
        <fgColor theme="3" tint="0.7997985778374584"/>
        <bgColor rgb="FFDCE6F1"/>
      </patternFill>
    </fill>
    <fill>
      <patternFill patternType="solid">
        <fgColor rgb="FFFFC000"/>
        <bgColor rgb="FFFF9900"/>
      </patternFill>
    </fill>
    <fill>
      <patternFill patternType="solid">
        <fgColor theme="0"/>
        <bgColor rgb="FFF2F2F2"/>
      </patternFill>
    </fill>
    <fill>
      <patternFill patternType="solid">
        <fgColor theme="2" tint="-0.249977111117893"/>
        <bgColor rgb="FFC0C0C0"/>
      </patternFill>
    </fill>
    <fill>
      <patternFill patternType="solid">
        <fgColor rgb="FFFFCC99"/>
      </patternFill>
    </fill>
    <fill>
      <patternFill patternType="solid">
        <fgColor rgb="FFF2F2F2"/>
      </patternFill>
    </fill>
  </fills>
  <borders count="77">
    <border>
      <left/>
      <right/>
      <top/>
      <bottom/>
      <diagonal/>
    </border>
    <border>
      <left style="thin">
        <color rgb="FFB0B0B0"/>
      </left>
      <right style="thin">
        <color rgb="FFB0B0B0"/>
      </right>
      <top style="thin">
        <color rgb="FFB0B0B0"/>
      </top>
      <bottom style="thin">
        <color rgb="FFB0B0B0"/>
      </bottom>
      <diagonal/>
    </border>
    <border>
      <left style="thin">
        <color rgb="FF7F7F7F"/>
      </left>
      <right style="thin">
        <color rgb="FF7F7F7F"/>
      </right>
      <top style="thin">
        <color rgb="FF7F7F7F"/>
      </top>
      <bottom style="thin">
        <color rgb="FF7F7F7F"/>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top style="medium">
        <color auto="1"/>
      </top>
      <bottom/>
      <diagonal/>
    </border>
    <border>
      <left style="thin">
        <color auto="1"/>
      </left>
      <right/>
      <top style="medium">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right style="medium">
        <color auto="1"/>
      </right>
      <top style="medium">
        <color auto="1"/>
      </top>
      <bottom/>
      <diagonal/>
    </border>
    <border>
      <left style="medium">
        <color auto="1"/>
      </left>
      <right/>
      <top/>
      <bottom/>
      <diagonal/>
    </border>
    <border>
      <left style="thin">
        <color auto="1"/>
      </left>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medium">
        <color auto="1"/>
      </right>
      <top/>
      <bottom/>
      <diagonal/>
    </border>
    <border>
      <left style="thin">
        <color auto="1"/>
      </left>
      <right/>
      <top style="thin">
        <color auto="1"/>
      </top>
      <bottom/>
      <diagonal/>
    </border>
    <border>
      <left style="medium">
        <color auto="1"/>
      </left>
      <right style="thin">
        <color auto="1"/>
      </right>
      <top style="thin">
        <color auto="1"/>
      </top>
      <bottom style="medium">
        <color auto="1"/>
      </bottom>
      <diagonal/>
    </border>
    <border>
      <left/>
      <right style="medium">
        <color auto="1"/>
      </right>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medium">
        <color auto="1"/>
      </left>
      <right/>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medium">
        <color auto="1"/>
      </top>
      <bottom style="double">
        <color auto="1"/>
      </bottom>
      <diagonal/>
    </border>
    <border>
      <left/>
      <right style="medium">
        <color auto="1"/>
      </right>
      <top style="medium">
        <color auto="1"/>
      </top>
      <bottom style="double">
        <color auto="1"/>
      </bottom>
      <diagonal/>
    </border>
    <border>
      <left style="thin">
        <color rgb="FF7F7F7F"/>
      </left>
      <right style="medium">
        <color auto="1"/>
      </right>
      <top style="thin">
        <color rgb="FF7F7F7F"/>
      </top>
      <bottom style="thin">
        <color rgb="FF7F7F7F"/>
      </bottom>
      <diagonal/>
    </border>
    <border>
      <left style="thin">
        <color auto="1"/>
      </left>
      <right style="medium">
        <color auto="1"/>
      </right>
      <top/>
      <bottom/>
      <diagonal/>
    </border>
    <border>
      <left style="thin">
        <color auto="1"/>
      </left>
      <right style="medium">
        <color auto="1"/>
      </right>
      <top/>
      <bottom style="medium">
        <color auto="1"/>
      </bottom>
      <diagonal/>
    </border>
    <border>
      <left style="thin">
        <color rgb="FF7F7F7F"/>
      </left>
      <right style="medium">
        <color auto="1"/>
      </right>
      <top style="thin">
        <color rgb="FF7F7F7F"/>
      </top>
      <bottom style="medium">
        <color auto="1"/>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style="thin">
        <color auto="1"/>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thin">
        <color auto="1"/>
      </left>
      <right/>
      <top/>
      <bottom style="thin">
        <color auto="1"/>
      </bottom>
      <diagonal/>
    </border>
    <border>
      <left/>
      <right/>
      <top/>
      <bottom style="medium">
        <color auto="1"/>
      </bottom>
      <diagonal/>
    </border>
    <border>
      <left style="medium">
        <color auto="1"/>
      </left>
      <right style="thin">
        <color auto="1"/>
      </right>
      <top style="thin">
        <color auto="1"/>
      </top>
      <bottom/>
      <diagonal/>
    </border>
    <border>
      <left style="medium">
        <color auto="1"/>
      </left>
      <right style="thin">
        <color auto="1"/>
      </right>
      <top/>
      <bottom style="double">
        <color auto="1"/>
      </bottom>
      <diagonal/>
    </border>
    <border>
      <left/>
      <right/>
      <top style="medium">
        <color auto="1"/>
      </top>
      <bottom style="double">
        <color auto="1"/>
      </bottom>
      <diagonal/>
    </border>
    <border>
      <left style="medium">
        <color auto="1"/>
      </left>
      <right style="thin">
        <color auto="1"/>
      </right>
      <top/>
      <bottom/>
      <diagonal/>
    </border>
    <border>
      <left/>
      <right/>
      <top style="medium">
        <color auto="1"/>
      </top>
      <bottom/>
      <diagonal/>
    </border>
    <border>
      <left/>
      <right/>
      <top/>
      <bottom style="thin">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right/>
      <top style="thin">
        <color rgb="FF7F7F7F"/>
      </top>
      <bottom/>
      <diagonal/>
    </border>
    <border>
      <left/>
      <right style="thin">
        <color rgb="FF7F7F7F"/>
      </right>
      <top style="thin">
        <color rgb="FF7F7F7F"/>
      </top>
      <bottom/>
      <diagonal/>
    </border>
    <border>
      <left/>
      <right/>
      <top style="thin">
        <color rgb="FF7F7F7F"/>
      </top>
      <bottom style="thin">
        <color rgb="FF7F7F7F"/>
      </bottom>
      <diagonal/>
    </border>
    <border>
      <left/>
      <right style="thin">
        <color rgb="FF7F7F7F"/>
      </right>
      <top style="thin">
        <color rgb="FF7F7F7F"/>
      </top>
      <bottom style="thin">
        <color rgb="FF7F7F7F"/>
      </bottom>
      <diagonal/>
    </border>
    <border>
      <left/>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right style="thin">
        <color auto="1"/>
      </right>
      <top/>
      <bottom/>
      <diagonal/>
    </border>
    <border>
      <left/>
      <right style="thin">
        <color auto="1"/>
      </right>
      <top/>
      <bottom style="thin">
        <color auto="1"/>
      </bottom>
      <diagonal/>
    </border>
    <border>
      <left/>
      <right style="medium">
        <color auto="1"/>
      </right>
      <top style="thin">
        <color auto="1"/>
      </top>
      <bottom/>
      <diagonal/>
    </border>
    <border>
      <left/>
      <right/>
      <top style="thin">
        <color auto="1"/>
      </top>
      <bottom style="medium">
        <color auto="1"/>
      </bottom>
      <diagonal/>
    </border>
    <border>
      <left/>
      <right style="medium">
        <color auto="1"/>
      </right>
      <top style="thin">
        <color auto="1"/>
      </top>
      <bottom style="medium">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style="thin">
        <color auto="1"/>
      </right>
      <top style="thin">
        <color auto="1"/>
      </top>
      <bottom style="medium">
        <color auto="1"/>
      </bottom>
      <diagonal/>
    </border>
    <border>
      <left/>
      <right style="thin">
        <color auto="1"/>
      </right>
      <top style="medium">
        <color auto="1"/>
      </top>
      <bottom/>
      <diagonal/>
    </border>
    <border>
      <left/>
      <right style="thin">
        <color auto="1"/>
      </right>
      <top style="medium">
        <color auto="1"/>
      </top>
      <bottom style="thin">
        <color auto="1"/>
      </bottom>
      <diagonal/>
    </border>
    <border>
      <left style="thin">
        <color rgb="FF7F7F7F"/>
      </left>
      <right/>
      <top/>
      <bottom/>
      <diagonal/>
    </border>
    <border>
      <left/>
      <right style="thin">
        <color rgb="FF7F7F7F"/>
      </right>
      <top/>
      <bottom/>
      <diagonal/>
    </border>
    <border>
      <left style="thin">
        <color rgb="FF7F7F7F"/>
      </left>
      <right/>
      <top/>
      <bottom style="thin">
        <color rgb="FF7F7F7F"/>
      </bottom>
      <diagonal/>
    </border>
    <border>
      <left/>
      <right/>
      <top/>
      <bottom style="thin">
        <color rgb="FF7F7F7F"/>
      </bottom>
      <diagonal/>
    </border>
    <border>
      <left/>
      <right style="thin">
        <color rgb="FF7F7F7F"/>
      </right>
      <top/>
      <bottom style="thin">
        <color rgb="FF7F7F7F"/>
      </bottom>
      <diagonal/>
    </border>
    <border>
      <left style="thin">
        <color rgb="FF7F7F7F"/>
      </left>
      <right style="thin">
        <color rgb="FF7F7F7F"/>
      </right>
      <top style="thin">
        <color rgb="FF7F7F7F"/>
      </top>
      <bottom style="thin">
        <color rgb="FF7F7F7F"/>
      </bottom>
    </border>
  </borders>
  <cellStyleXfs count="2">
    <xf numFmtId="0" fontId="0" fillId="0" borderId="0"/>
    <xf numFmtId="9" fontId="1" fillId="0" borderId="0"/>
  </cellStyleXfs>
  <cellXfs count="345">
    <xf numFmtId="0" fontId="0" fillId="0" borderId="0" pivotButton="0" quotePrefix="0" xfId="0"/>
    <xf numFmtId="164" fontId="19" fillId="0" borderId="32" pivotButton="0" quotePrefix="0" xfId="0"/>
    <xf numFmtId="0" fontId="19" fillId="0" borderId="19" pivotButton="0" quotePrefix="0" xfId="0"/>
    <xf numFmtId="0" fontId="19" fillId="0" borderId="18" applyAlignment="1" pivotButton="0" quotePrefix="0" xfId="0">
      <alignment wrapText="1"/>
    </xf>
    <xf numFmtId="0" fontId="21" fillId="6" borderId="4" applyAlignment="1" pivotButton="0" quotePrefix="0" xfId="0">
      <alignment horizontal="left"/>
    </xf>
    <xf numFmtId="0" fontId="21" fillId="6" borderId="23" applyAlignment="1" pivotButton="0" quotePrefix="0" xfId="0">
      <alignment horizontal="left"/>
    </xf>
    <xf numFmtId="1" fontId="19" fillId="0" borderId="21" pivotButton="0" quotePrefix="0" xfId="0"/>
    <xf numFmtId="0" fontId="19" fillId="0" borderId="13" applyAlignment="1" pivotButton="0" quotePrefix="0" xfId="0">
      <alignment wrapText="1"/>
    </xf>
    <xf numFmtId="0" fontId="19" fillId="0" borderId="20" pivotButton="0" quotePrefix="0" xfId="0"/>
    <xf numFmtId="0" fontId="19" fillId="0" borderId="13" pivotButton="0" quotePrefix="0" xfId="0"/>
    <xf numFmtId="0" fontId="19" fillId="0" borderId="8" applyAlignment="1" pivotButton="0" quotePrefix="0" xfId="0">
      <alignment wrapText="1"/>
    </xf>
    <xf numFmtId="0" fontId="22" fillId="0" borderId="5" pivotButton="0" quotePrefix="0" xfId="0"/>
    <xf numFmtId="0" fontId="21" fillId="6" borderId="4" pivotButton="0" quotePrefix="0" xfId="0"/>
    <xf numFmtId="0" fontId="20" fillId="0" borderId="3" applyAlignment="1" pivotButton="0" quotePrefix="0" xfId="0">
      <alignment horizontal="center"/>
    </xf>
    <xf numFmtId="0" fontId="15" fillId="4" borderId="2"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2" borderId="1" applyAlignment="1" pivotButton="0" quotePrefix="0" xfId="0">
      <alignment horizontal="center"/>
    </xf>
    <xf numFmtId="0" fontId="0" fillId="0" borderId="1" pivotButton="0" quotePrefix="0" xfId="0"/>
    <xf numFmtId="165" fontId="0" fillId="0" borderId="1" pivotButton="0" quotePrefix="0" xfId="0"/>
    <xf numFmtId="9" fontId="0" fillId="0" borderId="1" pivotButton="0" quotePrefix="0" xfId="0"/>
    <xf numFmtId="0" fontId="10" fillId="3" borderId="1" pivotButton="0" quotePrefix="0" xfId="0"/>
    <xf numFmtId="165" fontId="10" fillId="3" borderId="1" pivotButton="0" quotePrefix="0" xfId="0"/>
    <xf numFmtId="9" fontId="10" fillId="3" borderId="1" pivotButton="0" quotePrefix="0" xfId="0"/>
    <xf numFmtId="0" fontId="11" fillId="0" borderId="0" pivotButton="0" quotePrefix="0" xfId="0"/>
    <xf numFmtId="1" fontId="0" fillId="0" borderId="0" pivotButton="0" quotePrefix="0" xfId="0"/>
    <xf numFmtId="0" fontId="9" fillId="2" borderId="1" applyAlignment="1" pivotButton="0" quotePrefix="0" xfId="0">
      <alignment horizontal="center" wrapText="1"/>
    </xf>
    <xf numFmtId="0" fontId="9" fillId="2" borderId="1" pivotButton="0" quotePrefix="0" xfId="0"/>
    <xf numFmtId="0" fontId="0" fillId="0" borderId="1" applyAlignment="1" pivotButton="0" quotePrefix="0" xfId="0">
      <alignment horizontal="center"/>
    </xf>
    <xf numFmtId="166" fontId="0" fillId="0" borderId="1" pivotButton="0" quotePrefix="0" xfId="0"/>
    <xf numFmtId="164" fontId="0" fillId="0" borderId="1" applyAlignment="1" pivotButton="0" quotePrefix="0" xfId="0">
      <alignment horizontal="center"/>
    </xf>
    <xf numFmtId="0" fontId="0" fillId="0" borderId="0" applyAlignment="1" pivotButton="0" quotePrefix="0" xfId="0">
      <alignment wrapText="1"/>
    </xf>
    <xf numFmtId="0" fontId="12" fillId="0" borderId="0" pivotButton="0" quotePrefix="0" xfId="0"/>
    <xf numFmtId="166" fontId="13" fillId="0" borderId="0" pivotButton="0" quotePrefix="0" xfId="0"/>
    <xf numFmtId="165" fontId="13" fillId="0" borderId="0" pivotButton="0" quotePrefix="0" xfId="0"/>
    <xf numFmtId="164" fontId="13" fillId="0" borderId="0" pivotButton="0" quotePrefix="0" xfId="0"/>
    <xf numFmtId="0" fontId="13" fillId="0" borderId="0" pivotButton="0" quotePrefix="0" xfId="0"/>
    <xf numFmtId="167" fontId="0" fillId="0" borderId="0" pivotButton="0" quotePrefix="0" xfId="0"/>
    <xf numFmtId="0" fontId="0" fillId="3" borderId="1" pivotButton="0" quotePrefix="0" xfId="0"/>
    <xf numFmtId="166" fontId="10" fillId="3" borderId="1" pivotButton="0" quotePrefix="0" xfId="0"/>
    <xf numFmtId="0" fontId="14" fillId="0" borderId="0" pivotButton="0" quotePrefix="0" xfId="0"/>
    <xf numFmtId="0" fontId="15" fillId="4" borderId="2" pivotButton="0" quotePrefix="0" xfId="0"/>
    <xf numFmtId="164" fontId="16" fillId="5" borderId="2" pivotButton="0" quotePrefix="0" xfId="0"/>
    <xf numFmtId="49" fontId="15" fillId="4" borderId="2" pivotButton="0" quotePrefix="0" xfId="0"/>
    <xf numFmtId="168" fontId="15" fillId="4" borderId="2" pivotButton="0" quotePrefix="0" xfId="0"/>
    <xf numFmtId="0" fontId="3" fillId="0" borderId="2" applyAlignment="1" pivotButton="0" quotePrefix="0" xfId="0">
      <alignment vertical="top" wrapText="1"/>
    </xf>
    <xf numFmtId="0" fontId="3" fillId="0" borderId="2" pivotButton="0" quotePrefix="0" xfId="0"/>
    <xf numFmtId="1" fontId="15" fillId="4" borderId="2" pivotButton="0" quotePrefix="0" xfId="0"/>
    <xf numFmtId="1" fontId="16" fillId="5" borderId="2" pivotButton="0" quotePrefix="0" xfId="0"/>
    <xf numFmtId="3" fontId="15" fillId="4" borderId="2" pivotButton="0" quotePrefix="0" xfId="0"/>
    <xf numFmtId="3" fontId="16" fillId="5" borderId="2" pivotButton="0" quotePrefix="0" xfId="0"/>
    <xf numFmtId="169" fontId="16" fillId="5" borderId="2" pivotButton="0" quotePrefix="0" xfId="0"/>
    <xf numFmtId="169" fontId="15" fillId="4" borderId="2" pivotButton="0" quotePrefix="0" xfId="0"/>
    <xf numFmtId="3" fontId="17" fillId="4" borderId="2" pivotButton="0" quotePrefix="0" xfId="0"/>
    <xf numFmtId="0" fontId="13" fillId="0" borderId="2" applyAlignment="1" pivotButton="0" quotePrefix="0" xfId="0">
      <alignment vertical="top" wrapText="1"/>
    </xf>
    <xf numFmtId="3" fontId="0" fillId="0" borderId="0" pivotButton="0" quotePrefix="0" xfId="0"/>
    <xf numFmtId="2" fontId="15" fillId="4" borderId="2" pivotButton="0" quotePrefix="0" xfId="0"/>
    <xf numFmtId="9" fontId="15" fillId="4" borderId="2" pivotButton="0" quotePrefix="0" xfId="0"/>
    <xf numFmtId="9" fontId="16" fillId="5" borderId="2" pivotButton="0" quotePrefix="0" xfId="0"/>
    <xf numFmtId="0" fontId="5" fillId="0" borderId="0" applyAlignment="1" pivotButton="0" quotePrefix="0" xfId="0">
      <alignment vertical="top" wrapText="1"/>
    </xf>
    <xf numFmtId="0" fontId="12" fillId="0" borderId="0" applyAlignment="1" pivotButton="0" quotePrefix="0" xfId="0">
      <alignment vertical="top" wrapText="1"/>
    </xf>
    <xf numFmtId="3" fontId="12" fillId="0" borderId="0" pivotButton="0" quotePrefix="0" xfId="0"/>
    <xf numFmtId="164" fontId="15" fillId="4" borderId="2" pivotButton="0" quotePrefix="0" xfId="0"/>
    <xf numFmtId="0" fontId="16" fillId="5" borderId="2" pivotButton="0" quotePrefix="0" xfId="0"/>
    <xf numFmtId="170" fontId="16" fillId="5" borderId="2" pivotButton="0" quotePrefix="0" xfId="0"/>
    <xf numFmtId="0" fontId="3" fillId="0" borderId="0" applyAlignment="1" pivotButton="0" quotePrefix="0" xfId="0">
      <alignment wrapText="1"/>
    </xf>
    <xf numFmtId="0" fontId="19" fillId="0" borderId="0" pivotButton="0" quotePrefix="0" xfId="0"/>
    <xf numFmtId="0" fontId="22" fillId="0" borderId="5" pivotButton="0" quotePrefix="0" xfId="0"/>
    <xf numFmtId="0" fontId="19" fillId="0" borderId="6" pivotButton="0" quotePrefix="0" xfId="0"/>
    <xf numFmtId="0" fontId="22" fillId="0" borderId="7" pivotButton="0" quotePrefix="0" xfId="0"/>
    <xf numFmtId="0" fontId="19" fillId="0" borderId="8" pivotButton="0" quotePrefix="0" xfId="0"/>
    <xf numFmtId="0" fontId="19" fillId="0" borderId="9" pivotButton="0" quotePrefix="0" xfId="0"/>
    <xf numFmtId="0" fontId="22" fillId="0" borderId="10" pivotButton="0" quotePrefix="0" xfId="0"/>
    <xf numFmtId="0" fontId="19" fillId="0" borderId="11" pivotButton="0" quotePrefix="0" xfId="0"/>
    <xf numFmtId="0" fontId="22" fillId="0" borderId="12" pivotButton="0" quotePrefix="0" xfId="0"/>
    <xf numFmtId="0" fontId="19" fillId="0" borderId="13" pivotButton="0" quotePrefix="0" xfId="0"/>
    <xf numFmtId="0" fontId="19" fillId="0" borderId="14" pivotButton="0" quotePrefix="0" xfId="0"/>
    <xf numFmtId="3" fontId="19" fillId="0" borderId="15" pivotButton="0" quotePrefix="0" xfId="0"/>
    <xf numFmtId="0" fontId="22" fillId="0" borderId="16" pivotButton="0" quotePrefix="0" xfId="0"/>
    <xf numFmtId="0" fontId="23" fillId="0" borderId="13" pivotButton="0" quotePrefix="0" xfId="0"/>
    <xf numFmtId="0" fontId="19" fillId="0" borderId="17" applyAlignment="1" pivotButton="0" quotePrefix="0" xfId="0">
      <alignment horizontal="center"/>
    </xf>
    <xf numFmtId="0" fontId="19" fillId="0" borderId="8" applyAlignment="1" pivotButton="0" quotePrefix="0" xfId="0">
      <alignment wrapText="1"/>
    </xf>
    <xf numFmtId="0" fontId="19" fillId="0" borderId="18" applyAlignment="1" pivotButton="0" quotePrefix="0" xfId="0">
      <alignment wrapText="1"/>
    </xf>
    <xf numFmtId="0" fontId="19" fillId="0" borderId="0" applyAlignment="1" pivotButton="0" quotePrefix="0" xfId="0">
      <alignment wrapText="1"/>
    </xf>
    <xf numFmtId="1" fontId="19" fillId="0" borderId="19" pivotButton="0" quotePrefix="0" xfId="0"/>
    <xf numFmtId="0" fontId="19" fillId="0" borderId="20" pivotButton="0" quotePrefix="0" xfId="0"/>
    <xf numFmtId="0" fontId="19" fillId="0" borderId="13" applyAlignment="1" pivotButton="0" quotePrefix="0" xfId="0">
      <alignment wrapText="1"/>
    </xf>
    <xf numFmtId="0" fontId="19" fillId="0" borderId="19" applyAlignment="1" pivotButton="0" quotePrefix="0" xfId="0">
      <alignment wrapText="1"/>
    </xf>
    <xf numFmtId="1" fontId="19" fillId="0" borderId="21" pivotButton="0" quotePrefix="0" xfId="0"/>
    <xf numFmtId="1" fontId="19" fillId="0" borderId="22" pivotButton="0" quotePrefix="0" xfId="0"/>
    <xf numFmtId="0" fontId="19" fillId="0" borderId="24" pivotButton="0" quotePrefix="0" xfId="0"/>
    <xf numFmtId="0" fontId="22" fillId="0" borderId="25" pivotButton="0" quotePrefix="0" xfId="0"/>
    <xf numFmtId="0" fontId="19" fillId="0" borderId="25" pivotButton="0" quotePrefix="0" xfId="0"/>
    <xf numFmtId="0" fontId="19" fillId="0" borderId="26" pivotButton="0" quotePrefix="0" xfId="0"/>
    <xf numFmtId="0" fontId="19" fillId="0" borderId="10" applyAlignment="1" pivotButton="0" quotePrefix="0" xfId="0">
      <alignment wrapText="1"/>
    </xf>
    <xf numFmtId="0" fontId="19" fillId="0" borderId="27" applyAlignment="1" pivotButton="0" quotePrefix="0" xfId="0">
      <alignment wrapText="1"/>
    </xf>
    <xf numFmtId="0" fontId="19" fillId="0" borderId="28" applyAlignment="1" pivotButton="0" quotePrefix="0" xfId="0">
      <alignment wrapText="1"/>
    </xf>
    <xf numFmtId="0" fontId="19" fillId="0" borderId="10" pivotButton="0" quotePrefix="0" xfId="0"/>
    <xf numFmtId="0" fontId="19" fillId="0" borderId="19" pivotButton="0" quotePrefix="0" xfId="0"/>
    <xf numFmtId="0" fontId="19" fillId="0" borderId="12" pivotButton="0" quotePrefix="0" xfId="0"/>
    <xf numFmtId="0" fontId="19" fillId="0" borderId="21" pivotButton="0" quotePrefix="0" xfId="0"/>
    <xf numFmtId="0" fontId="19" fillId="0" borderId="22" pivotButton="0" quotePrefix="0" xfId="0"/>
    <xf numFmtId="0" fontId="22" fillId="0" borderId="29" pivotButton="0" quotePrefix="0" xfId="0"/>
    <xf numFmtId="0" fontId="19" fillId="0" borderId="30" pivotButton="0" quotePrefix="0" xfId="0"/>
    <xf numFmtId="0" fontId="19" fillId="0" borderId="5" pivotButton="0" quotePrefix="0" xfId="0"/>
    <xf numFmtId="0" fontId="24" fillId="4" borderId="31" pivotButton="0" quotePrefix="0" xfId="0"/>
    <xf numFmtId="9" fontId="24" fillId="4" borderId="31" pivotButton="0" quotePrefix="0" xfId="0"/>
    <xf numFmtId="0" fontId="25" fillId="5" borderId="34" pivotButton="0" quotePrefix="0" xfId="0"/>
    <xf numFmtId="0" fontId="22" fillId="0" borderId="0" pivotButton="0" quotePrefix="0" xfId="0"/>
    <xf numFmtId="0" fontId="19" fillId="0" borderId="35" pivotButton="0" quotePrefix="0" xfId="0"/>
    <xf numFmtId="0" fontId="19" fillId="0" borderId="36" pivotButton="0" quotePrefix="0" xfId="0"/>
    <xf numFmtId="0" fontId="19" fillId="0" borderId="16" pivotButton="0" quotePrefix="0" xfId="0"/>
    <xf numFmtId="0" fontId="19" fillId="0" borderId="37" pivotButton="0" quotePrefix="0" xfId="0"/>
    <xf numFmtId="0" fontId="19" fillId="0" borderId="27" pivotButton="0" quotePrefix="0" xfId="0"/>
    <xf numFmtId="0" fontId="19" fillId="0" borderId="28" pivotButton="0" quotePrefix="0" xfId="0"/>
    <xf numFmtId="0" fontId="19" fillId="0" borderId="7" pivotButton="0" quotePrefix="0" xfId="0"/>
    <xf numFmtId="0" fontId="19" fillId="0" borderId="18" pivotButton="0" quotePrefix="0" xfId="0"/>
    <xf numFmtId="0" fontId="22" fillId="0" borderId="4" pivotButton="0" quotePrefix="0" xfId="0"/>
    <xf numFmtId="0" fontId="19" fillId="0" borderId="29" pivotButton="0" quotePrefix="0" xfId="0"/>
    <xf numFmtId="0" fontId="22" fillId="0" borderId="23" pivotButton="0" quotePrefix="0" xfId="0"/>
    <xf numFmtId="0" fontId="22" fillId="0" borderId="14" pivotButton="0" quotePrefix="0" xfId="0"/>
    <xf numFmtId="0" fontId="19" fillId="0" borderId="23" pivotButton="0" quotePrefix="0" xfId="0"/>
    <xf numFmtId="9" fontId="19" fillId="0" borderId="12" pivotButton="0" quotePrefix="0" xfId="0"/>
    <xf numFmtId="9" fontId="19" fillId="0" borderId="19" pivotButton="0" quotePrefix="0" xfId="0"/>
    <xf numFmtId="9" fontId="19" fillId="0" borderId="13" pivotButton="0" quotePrefix="0" xfId="0"/>
    <xf numFmtId="9" fontId="19" fillId="0" borderId="10" pivotButton="0" quotePrefix="0" xfId="0"/>
    <xf numFmtId="9" fontId="19" fillId="0" borderId="14" pivotButton="0" quotePrefix="0" xfId="0"/>
    <xf numFmtId="0" fontId="22" fillId="0" borderId="38" pivotButton="0" quotePrefix="0" xfId="0"/>
    <xf numFmtId="0" fontId="22" fillId="0" borderId="20" pivotButton="0" quotePrefix="0" xfId="0"/>
    <xf numFmtId="0" fontId="22" fillId="0" borderId="17" pivotButton="0" quotePrefix="0" xfId="0"/>
    <xf numFmtId="0" fontId="19" fillId="0" borderId="16" applyAlignment="1" pivotButton="0" quotePrefix="0" xfId="0">
      <alignment wrapText="1"/>
    </xf>
    <xf numFmtId="2" fontId="19" fillId="0" borderId="21" pivotButton="0" quotePrefix="0" xfId="0"/>
    <xf numFmtId="0" fontId="19" fillId="0" borderId="5" applyAlignment="1" pivotButton="0" quotePrefix="0" xfId="0">
      <alignment wrapText="1"/>
    </xf>
    <xf numFmtId="3" fontId="19" fillId="0" borderId="8" pivotButton="0" quotePrefix="0" xfId="0"/>
    <xf numFmtId="0" fontId="22" fillId="0" borderId="10" applyAlignment="1" pivotButton="0" quotePrefix="0" xfId="0">
      <alignment wrapText="1"/>
    </xf>
    <xf numFmtId="2" fontId="22" fillId="0" borderId="13" pivotButton="0" quotePrefix="0" xfId="0"/>
    <xf numFmtId="0" fontId="19" fillId="0" borderId="39" applyAlignment="1" pivotButton="0" quotePrefix="0" xfId="0">
      <alignment wrapText="1"/>
    </xf>
    <xf numFmtId="0" fontId="22" fillId="0" borderId="37" pivotButton="0" quotePrefix="0" xfId="0"/>
    <xf numFmtId="0" fontId="26" fillId="7" borderId="41" pivotButton="0" quotePrefix="0" xfId="0"/>
    <xf numFmtId="0" fontId="26" fillId="7" borderId="42" pivotButton="0" quotePrefix="0" xfId="0"/>
    <xf numFmtId="0" fontId="26" fillId="8" borderId="41" pivotButton="0" quotePrefix="0" xfId="0"/>
    <xf numFmtId="0" fontId="26" fillId="8" borderId="42" pivotButton="0" quotePrefix="0" xfId="0"/>
    <xf numFmtId="0" fontId="26" fillId="8" borderId="43" pivotButton="0" quotePrefix="0" xfId="0"/>
    <xf numFmtId="0" fontId="26" fillId="7" borderId="10" pivotButton="0" quotePrefix="0" xfId="0"/>
    <xf numFmtId="0" fontId="26" fillId="7" borderId="44" pivotButton="0" quotePrefix="0" xfId="0"/>
    <xf numFmtId="0" fontId="26" fillId="8" borderId="10" pivotButton="0" quotePrefix="0" xfId="0"/>
    <xf numFmtId="0" fontId="26" fillId="8" borderId="0" pivotButton="0" quotePrefix="0" xfId="0"/>
    <xf numFmtId="0" fontId="26" fillId="8" borderId="28" pivotButton="0" quotePrefix="0" xfId="0"/>
    <xf numFmtId="0" fontId="26" fillId="7" borderId="11" pivotButton="0" quotePrefix="0" xfId="0"/>
    <xf numFmtId="0" fontId="26" fillId="8" borderId="19" pivotButton="0" quotePrefix="0" xfId="0"/>
    <xf numFmtId="0" fontId="26" fillId="7" borderId="20" pivotButton="0" quotePrefix="0" xfId="0"/>
    <xf numFmtId="0" fontId="26" fillId="8" borderId="20" pivotButton="0" quotePrefix="0" xfId="0"/>
    <xf numFmtId="0" fontId="26" fillId="8" borderId="45" pivotButton="0" quotePrefix="0" xfId="0"/>
    <xf numFmtId="0" fontId="26" fillId="8" borderId="17" pivotButton="0" quotePrefix="0" xfId="0"/>
    <xf numFmtId="0" fontId="19" fillId="0" borderId="32" pivotButton="0" quotePrefix="0" xfId="0"/>
    <xf numFmtId="0" fontId="19" fillId="0" borderId="46" pivotButton="0" quotePrefix="0" xfId="0"/>
    <xf numFmtId="0" fontId="22" fillId="0" borderId="47" pivotButton="0" quotePrefix="0" xfId="0"/>
    <xf numFmtId="0" fontId="19" fillId="0" borderId="12" applyAlignment="1" pivotButton="0" quotePrefix="0" xfId="0">
      <alignment wrapText="1"/>
    </xf>
    <xf numFmtId="1" fontId="19" fillId="0" borderId="13" pivotButton="0" quotePrefix="0" xfId="0"/>
    <xf numFmtId="0" fontId="19" fillId="0" borderId="48" pivotButton="0" quotePrefix="0" xfId="0"/>
    <xf numFmtId="0" fontId="19" fillId="0" borderId="49" pivotButton="0" quotePrefix="0" xfId="0"/>
    <xf numFmtId="0" fontId="19" fillId="0" borderId="45" pivotButton="0" quotePrefix="0" xfId="0"/>
    <xf numFmtId="0" fontId="19" fillId="0" borderId="17" pivotButton="0" quotePrefix="0" xfId="0"/>
    <xf numFmtId="0" fontId="22" fillId="0" borderId="48" applyAlignment="1" pivotButton="0" quotePrefix="0" xfId="0">
      <alignment wrapText="1"/>
    </xf>
    <xf numFmtId="0" fontId="22" fillId="0" borderId="30" applyAlignment="1" pivotButton="0" quotePrefix="0" xfId="0">
      <alignment wrapText="1"/>
    </xf>
    <xf numFmtId="0" fontId="22" fillId="0" borderId="25" applyAlignment="1" pivotButton="0" quotePrefix="0" xfId="0">
      <alignment wrapText="1"/>
    </xf>
    <xf numFmtId="0" fontId="22" fillId="0" borderId="13" pivotButton="0" quotePrefix="0" xfId="0"/>
    <xf numFmtId="2" fontId="16" fillId="5" borderId="2" pivotButton="0" quotePrefix="0" xfId="0"/>
    <xf numFmtId="49" fontId="16" fillId="5" borderId="2" pivotButton="0" quotePrefix="0" xfId="0"/>
    <xf numFmtId="0" fontId="12" fillId="5" borderId="2" pivotButton="0" quotePrefix="0" xfId="0"/>
    <xf numFmtId="0" fontId="16" fillId="5" borderId="2" applyAlignment="1" pivotButton="0" quotePrefix="0" xfId="0">
      <alignment vertical="top" wrapText="1"/>
    </xf>
    <xf numFmtId="0" fontId="27" fillId="0" borderId="5" pivotButton="0" quotePrefix="0" xfId="0"/>
    <xf numFmtId="0" fontId="0" fillId="0" borderId="50" pivotButton="0" quotePrefix="0" xfId="0"/>
    <xf numFmtId="0" fontId="0" fillId="0" borderId="9" pivotButton="0" quotePrefix="0" xfId="0"/>
    <xf numFmtId="0" fontId="0" fillId="0" borderId="10" pivotButton="0" quotePrefix="0" xfId="0"/>
    <xf numFmtId="0" fontId="0" fillId="0" borderId="14" pivotButton="0" quotePrefix="0" xfId="0"/>
    <xf numFmtId="0" fontId="0" fillId="0" borderId="20" pivotButton="0" quotePrefix="0" xfId="0"/>
    <xf numFmtId="2" fontId="0" fillId="0" borderId="45" pivotButton="0" quotePrefix="0" xfId="0"/>
    <xf numFmtId="0" fontId="0" fillId="0" borderId="45" pivotButton="0" quotePrefix="0" xfId="0"/>
    <xf numFmtId="0" fontId="0" fillId="0" borderId="17" pivotButton="0" quotePrefix="0" xfId="0"/>
    <xf numFmtId="2" fontId="0" fillId="0" borderId="0" pivotButton="0" quotePrefix="0" xfId="0"/>
    <xf numFmtId="2" fontId="0" fillId="0" borderId="50" pivotButton="0" quotePrefix="0" xfId="0"/>
    <xf numFmtId="9" fontId="0" fillId="0" borderId="0" pivotButton="0" quotePrefix="0" xfId="0"/>
    <xf numFmtId="0" fontId="27" fillId="0" borderId="20" pivotButton="0" quotePrefix="0" xfId="0"/>
    <xf numFmtId="164" fontId="27" fillId="0" borderId="45" pivotButton="0" quotePrefix="0" xfId="0"/>
    <xf numFmtId="1" fontId="0" fillId="0" borderId="45" pivotButton="0" quotePrefix="0" xfId="0"/>
    <xf numFmtId="9" fontId="0" fillId="0" borderId="0" applyProtection="1" pivotButton="0" quotePrefix="0" xfId="0">
      <protection locked="1" hidden="1"/>
    </xf>
    <xf numFmtId="164" fontId="0" fillId="0" borderId="0" pivotButton="0" quotePrefix="0" xfId="0"/>
    <xf numFmtId="0" fontId="27" fillId="0" borderId="51" pivotButton="0" quotePrefix="0" xfId="0"/>
    <xf numFmtId="0" fontId="28" fillId="0" borderId="0" pivotButton="0" quotePrefix="0" xfId="0"/>
    <xf numFmtId="0" fontId="27" fillId="0" borderId="25" pivotButton="0" quotePrefix="0" xfId="0"/>
    <xf numFmtId="0" fontId="29" fillId="0" borderId="0" pivotButton="0" quotePrefix="0" xfId="0"/>
    <xf numFmtId="0" fontId="0" fillId="0" borderId="27" pivotButton="0" quotePrefix="0" xfId="0"/>
    <xf numFmtId="169" fontId="0" fillId="0" borderId="13" pivotButton="0" quotePrefix="0" xfId="0"/>
    <xf numFmtId="9" fontId="0" fillId="0" borderId="13" pivotButton="0" quotePrefix="0" xfId="0"/>
    <xf numFmtId="0" fontId="30" fillId="9" borderId="0" applyProtection="1" pivotButton="0" quotePrefix="0" xfId="0">
      <protection locked="0" hidden="0"/>
    </xf>
    <xf numFmtId="0" fontId="31" fillId="10" borderId="0" pivotButton="0" quotePrefix="0" xfId="0"/>
    <xf numFmtId="0" fontId="0" fillId="10" borderId="0" pivotButton="0" quotePrefix="0" xfId="0"/>
    <xf numFmtId="0" fontId="10" fillId="11" borderId="0" applyProtection="1" pivotButton="0" quotePrefix="0" xfId="0">
      <protection locked="0" hidden="0"/>
    </xf>
    <xf numFmtId="0" fontId="32" fillId="12" borderId="0" applyAlignment="1" pivotButton="0" quotePrefix="0" xfId="0">
      <alignment horizontal="center"/>
    </xf>
    <xf numFmtId="0" fontId="31" fillId="14" borderId="0" pivotButton="0" quotePrefix="0" xfId="0"/>
    <xf numFmtId="0" fontId="32" fillId="0" borderId="0" pivotButton="0" quotePrefix="0" xfId="0"/>
    <xf numFmtId="0" fontId="31" fillId="14" borderId="39" applyAlignment="1" pivotButton="0" quotePrefix="0" xfId="0">
      <alignment horizontal="center"/>
    </xf>
    <xf numFmtId="0" fontId="31" fillId="14" borderId="52" applyAlignment="1" pivotButton="0" quotePrefix="0" xfId="0">
      <alignment horizontal="center"/>
    </xf>
    <xf numFmtId="1" fontId="0" fillId="13" borderId="3" applyAlignment="1" applyProtection="1" pivotButton="0" quotePrefix="0" xfId="0">
      <alignment horizontal="center"/>
      <protection locked="0" hidden="0"/>
    </xf>
    <xf numFmtId="169" fontId="1" fillId="13" borderId="3" applyAlignment="1" applyProtection="1" pivotButton="0" quotePrefix="0" xfId="0">
      <alignment horizontal="center"/>
      <protection locked="0" hidden="0"/>
    </xf>
    <xf numFmtId="0" fontId="1" fillId="13" borderId="3" applyAlignment="1" pivotButton="0" quotePrefix="0" xfId="0">
      <alignment horizontal="center"/>
    </xf>
    <xf numFmtId="169" fontId="0" fillId="10" borderId="3" applyAlignment="1" applyProtection="1" pivotButton="0" quotePrefix="0" xfId="0">
      <alignment horizontal="center"/>
      <protection locked="0" hidden="0"/>
    </xf>
    <xf numFmtId="3" fontId="31" fillId="10" borderId="3" applyAlignment="1" pivotButton="0" quotePrefix="0" xfId="0">
      <alignment horizontal="left"/>
    </xf>
    <xf numFmtId="0" fontId="0" fillId="13" borderId="38" applyAlignment="1" applyProtection="1" pivotButton="0" quotePrefix="0" xfId="0">
      <alignment horizontal="center"/>
      <protection locked="0" hidden="0"/>
    </xf>
    <xf numFmtId="171" fontId="0" fillId="15" borderId="3" applyAlignment="1" pivotButton="0" quotePrefix="0" xfId="0">
      <alignment horizontal="center"/>
    </xf>
    <xf numFmtId="0" fontId="31" fillId="16" borderId="0" pivotButton="0" quotePrefix="0" xfId="0"/>
    <xf numFmtId="0" fontId="1" fillId="0" borderId="38" applyAlignment="1" applyProtection="1" pivotButton="0" quotePrefix="0" xfId="0">
      <alignment horizontal="center"/>
      <protection locked="0" hidden="0"/>
    </xf>
    <xf numFmtId="0" fontId="0" fillId="0" borderId="0" applyAlignment="1" pivotButton="0" quotePrefix="0" xfId="0">
      <alignment horizontal="center"/>
    </xf>
    <xf numFmtId="0" fontId="0" fillId="0" borderId="0" applyAlignment="1" pivotButton="0" quotePrefix="0" xfId="0">
      <alignment horizontal="right"/>
    </xf>
    <xf numFmtId="0" fontId="31" fillId="17" borderId="4" pivotButton="0" quotePrefix="0" xfId="0"/>
    <xf numFmtId="0" fontId="1" fillId="13" borderId="38" applyAlignment="1" applyProtection="1" pivotButton="0" quotePrefix="0" xfId="0">
      <alignment horizontal="center"/>
      <protection locked="0" hidden="0"/>
    </xf>
    <xf numFmtId="0" fontId="31" fillId="17" borderId="23" pivotButton="0" quotePrefix="0" xfId="0"/>
    <xf numFmtId="2" fontId="1" fillId="13" borderId="3" applyAlignment="1" applyProtection="1" pivotButton="0" quotePrefix="0" xfId="0">
      <alignment horizontal="center"/>
      <protection locked="0" hidden="0"/>
    </xf>
    <xf numFmtId="2" fontId="1" fillId="0" borderId="3" applyAlignment="1" applyProtection="1" pivotButton="0" quotePrefix="0" xfId="0">
      <alignment horizontal="center"/>
      <protection locked="0" hidden="0"/>
    </xf>
    <xf numFmtId="0" fontId="31" fillId="17" borderId="38" pivotButton="0" quotePrefix="0" xfId="0"/>
    <xf numFmtId="169" fontId="0" fillId="13" borderId="3" applyAlignment="1" applyProtection="1" pivotButton="0" quotePrefix="0" xfId="0">
      <alignment horizontal="center"/>
      <protection locked="0" hidden="0"/>
    </xf>
    <xf numFmtId="0" fontId="1" fillId="0" borderId="3" applyAlignment="1" pivotButton="0" quotePrefix="0" xfId="0">
      <alignment horizontal="center"/>
    </xf>
    <xf numFmtId="0" fontId="29" fillId="0" borderId="51" pivotButton="0" quotePrefix="0" xfId="0"/>
    <xf numFmtId="0" fontId="0" fillId="0" borderId="51" pivotButton="0" quotePrefix="0" xfId="0"/>
    <xf numFmtId="0" fontId="0" fillId="0" borderId="0" applyAlignment="1" pivotButton="0" quotePrefix="0" xfId="0">
      <alignment horizontal="left"/>
    </xf>
    <xf numFmtId="0" fontId="31" fillId="0" borderId="0" pivotButton="0" quotePrefix="0" xfId="0"/>
    <xf numFmtId="0" fontId="27" fillId="0" borderId="0" pivotButton="0" quotePrefix="0" xfId="0"/>
    <xf numFmtId="3" fontId="31" fillId="13" borderId="3" applyAlignment="1" applyProtection="1" pivotButton="0" quotePrefix="0" xfId="0">
      <alignment horizontal="center"/>
      <protection locked="0" hidden="0"/>
    </xf>
    <xf numFmtId="0" fontId="31" fillId="13" borderId="52" applyAlignment="1" applyProtection="1" pivotButton="0" quotePrefix="0" xfId="0">
      <alignment horizontal="center"/>
      <protection locked="0" hidden="0"/>
    </xf>
    <xf numFmtId="0" fontId="31" fillId="18" borderId="0" pivotButton="0" quotePrefix="0" xfId="0"/>
    <xf numFmtId="3" fontId="0" fillId="13" borderId="3" applyProtection="1" pivotButton="0" quotePrefix="0" xfId="0">
      <protection locked="0" hidden="0"/>
    </xf>
    <xf numFmtId="3" fontId="0" fillId="15" borderId="3" applyAlignment="1" pivotButton="0" quotePrefix="0" xfId="0">
      <alignment horizontal="center"/>
    </xf>
    <xf numFmtId="3" fontId="0" fillId="0" borderId="3" applyProtection="1" pivotButton="0" quotePrefix="0" xfId="0">
      <protection locked="0" hidden="0"/>
    </xf>
    <xf numFmtId="3" fontId="0" fillId="0" borderId="0" applyAlignment="1" pivotButton="0" quotePrefix="0" xfId="0">
      <alignment horizontal="center"/>
    </xf>
    <xf numFmtId="3" fontId="31" fillId="0" borderId="0" applyAlignment="1" pivotButton="0" quotePrefix="0" xfId="0">
      <alignment horizontal="left"/>
    </xf>
    <xf numFmtId="3" fontId="0" fillId="13" borderId="3" pivotButton="0" quotePrefix="0" xfId="0"/>
    <xf numFmtId="3" fontId="0" fillId="0" borderId="0" applyAlignment="1" pivotButton="0" quotePrefix="0" xfId="0">
      <alignment horizontal="right"/>
    </xf>
    <xf numFmtId="171" fontId="0" fillId="13" borderId="3" applyProtection="1" pivotButton="0" quotePrefix="0" xfId="0">
      <protection locked="0" hidden="0"/>
    </xf>
    <xf numFmtId="0" fontId="31" fillId="0" borderId="23" pivotButton="0" quotePrefix="0" xfId="0"/>
    <xf numFmtId="3" fontId="0" fillId="19" borderId="3" pivotButton="0" quotePrefix="0" xfId="0"/>
    <xf numFmtId="171" fontId="29" fillId="13" borderId="3" applyProtection="1" pivotButton="0" quotePrefix="0" xfId="0">
      <protection locked="0" hidden="0"/>
    </xf>
    <xf numFmtId="4" fontId="0" fillId="0" borderId="0" applyAlignment="1" pivotButton="0" quotePrefix="0" xfId="0">
      <alignment horizontal="right"/>
    </xf>
    <xf numFmtId="0" fontId="31" fillId="0" borderId="10" pivotButton="0" quotePrefix="0" xfId="0"/>
    <xf numFmtId="0" fontId="31" fillId="15" borderId="5" pivotButton="0" quotePrefix="0" xfId="0"/>
    <xf numFmtId="0" fontId="0" fillId="15" borderId="50" pivotButton="0" quotePrefix="0" xfId="0"/>
    <xf numFmtId="3" fontId="0" fillId="15" borderId="50" pivotButton="0" quotePrefix="0" xfId="0"/>
    <xf numFmtId="3" fontId="0" fillId="15" borderId="9" pivotButton="0" quotePrefix="0" xfId="0"/>
    <xf numFmtId="0" fontId="31" fillId="15" borderId="20" pivotButton="0" quotePrefix="0" xfId="0"/>
    <xf numFmtId="0" fontId="0" fillId="15" borderId="45" pivotButton="0" quotePrefix="0" xfId="0"/>
    <xf numFmtId="3" fontId="0" fillId="15" borderId="45" pivotButton="0" quotePrefix="0" xfId="0"/>
    <xf numFmtId="3" fontId="0" fillId="15" borderId="17" pivotButton="0" quotePrefix="0" xfId="0"/>
    <xf numFmtId="0" fontId="31" fillId="15" borderId="39" pivotButton="0" quotePrefix="0" xfId="0"/>
    <xf numFmtId="0" fontId="0" fillId="15" borderId="53" pivotButton="0" quotePrefix="0" xfId="0"/>
    <xf numFmtId="3" fontId="0" fillId="15" borderId="53" pivotButton="0" quotePrefix="0" xfId="0"/>
    <xf numFmtId="3" fontId="0" fillId="15" borderId="52" pivotButton="0" quotePrefix="0" xfId="0"/>
    <xf numFmtId="0" fontId="31" fillId="15" borderId="10" pivotButton="0" quotePrefix="0" xfId="0"/>
    <xf numFmtId="0" fontId="0" fillId="15" borderId="0" pivotButton="0" quotePrefix="0" xfId="0"/>
    <xf numFmtId="0" fontId="31" fillId="20" borderId="4" applyAlignment="1" pivotButton="0" quotePrefix="0" xfId="0">
      <alignment horizontal="right"/>
    </xf>
    <xf numFmtId="172" fontId="31" fillId="20" borderId="9" pivotButton="0" quotePrefix="0" xfId="0"/>
    <xf numFmtId="0" fontId="31" fillId="20" borderId="5" pivotButton="0" quotePrefix="0" xfId="0"/>
    <xf numFmtId="0" fontId="31" fillId="20" borderId="50" pivotButton="0" quotePrefix="0" xfId="0"/>
    <xf numFmtId="2" fontId="31" fillId="20" borderId="4" pivotButton="0" quotePrefix="0" xfId="0"/>
    <xf numFmtId="0" fontId="31" fillId="20" borderId="9" applyAlignment="1" pivotButton="0" quotePrefix="0" xfId="0">
      <alignment horizontal="right"/>
    </xf>
    <xf numFmtId="0" fontId="31" fillId="0" borderId="20" pivotButton="0" quotePrefix="0" xfId="0"/>
    <xf numFmtId="4" fontId="0" fillId="0" borderId="38" applyAlignment="1" pivotButton="0" quotePrefix="0" xfId="0">
      <alignment horizontal="right"/>
    </xf>
    <xf numFmtId="4" fontId="0" fillId="0" borderId="45" applyAlignment="1" pivotButton="0" quotePrefix="0" xfId="0">
      <alignment horizontal="right"/>
    </xf>
    <xf numFmtId="0" fontId="34" fillId="0" borderId="0" pivotButton="0" quotePrefix="0" xfId="0"/>
    <xf numFmtId="0" fontId="31" fillId="9" borderId="0" pivotButton="0" quotePrefix="0" xfId="0"/>
    <xf numFmtId="0" fontId="0" fillId="9" borderId="0" pivotButton="0" quotePrefix="0" xfId="0"/>
    <xf numFmtId="0" fontId="1" fillId="13" borderId="3" applyAlignment="1" applyProtection="1" pivotButton="0" quotePrefix="0" xfId="0">
      <alignment horizontal="center"/>
      <protection locked="0" hidden="0"/>
    </xf>
    <xf numFmtId="0" fontId="35" fillId="4" borderId="2" pivotButton="0" quotePrefix="0" xfId="0"/>
    <xf numFmtId="0" fontId="36" fillId="5" borderId="2" pivotButton="0" quotePrefix="0" xfId="0"/>
    <xf numFmtId="2" fontId="36" fillId="5" borderId="2" applyAlignment="1" pivotButton="0" quotePrefix="0" xfId="0">
      <alignment horizontal="left" indent="11"/>
    </xf>
    <xf numFmtId="0" fontId="35" fillId="0" borderId="0" pivotButton="0" quotePrefix="0" xfId="0"/>
    <xf numFmtId="0" fontId="36" fillId="0" borderId="0" pivotButton="0" quotePrefix="0" xfId="0"/>
    <xf numFmtId="0" fontId="29" fillId="0" borderId="0" applyAlignment="1" pivotButton="0" quotePrefix="0" xfId="0">
      <alignment wrapText="1"/>
    </xf>
    <xf numFmtId="164" fontId="0" fillId="0" borderId="2" pivotButton="0" quotePrefix="0" xfId="0"/>
    <xf numFmtId="0" fontId="0" fillId="0" borderId="2" pivotButton="0" quotePrefix="0" xfId="0"/>
    <xf numFmtId="2" fontId="0" fillId="0" borderId="2" pivotButton="0" quotePrefix="0" xfId="0"/>
    <xf numFmtId="0" fontId="19" fillId="0" borderId="33" pivotButton="0" quotePrefix="0" xfId="0"/>
    <xf numFmtId="0" fontId="19" fillId="0" borderId="35" pivotButton="0" quotePrefix="0" xfId="0"/>
    <xf numFmtId="0" fontId="19" fillId="0" borderId="22" applyAlignment="1" pivotButton="0" quotePrefix="0" xfId="0">
      <alignment wrapText="1"/>
    </xf>
    <xf numFmtId="0" fontId="19" fillId="0" borderId="40" applyAlignment="1" pivotButton="0" quotePrefix="0" xfId="0">
      <alignment wrapText="1"/>
    </xf>
    <xf numFmtId="0" fontId="19" fillId="0" borderId="27" pivotButton="0" quotePrefix="0" xfId="0"/>
    <xf numFmtId="0" fontId="19" fillId="0" borderId="3" applyAlignment="1" pivotButton="0" quotePrefix="0" xfId="0">
      <alignment wrapText="1"/>
    </xf>
    <xf numFmtId="0" fontId="16" fillId="5" borderId="2" pivotButton="0" quotePrefix="0" xfId="0"/>
    <xf numFmtId="0" fontId="0" fillId="0" borderId="0" applyAlignment="1" pivotButton="0" quotePrefix="0" xfId="0">
      <alignment vertical="top" wrapText="1"/>
    </xf>
    <xf numFmtId="0" fontId="33" fillId="13" borderId="3" applyAlignment="1" applyProtection="1" pivotButton="0" quotePrefix="0" xfId="0">
      <alignment horizontal="right"/>
      <protection locked="0" hidden="0"/>
    </xf>
    <xf numFmtId="0" fontId="27" fillId="0" borderId="51" pivotButton="0" quotePrefix="0" xfId="0"/>
    <xf numFmtId="0" fontId="0" fillId="0" borderId="3" applyAlignment="1" pivotButton="0" quotePrefix="0" xfId="0">
      <alignment wrapText="1"/>
    </xf>
    <xf numFmtId="0" fontId="29" fillId="0" borderId="3" applyAlignment="1" pivotButton="0" quotePrefix="0" xfId="0">
      <alignment wrapText="1"/>
    </xf>
    <xf numFmtId="0" fontId="14" fillId="0" borderId="0" pivotButton="0" quotePrefix="0" xfId="0"/>
    <xf numFmtId="0" fontId="15" fillId="4" borderId="2" applyAlignment="1" pivotButton="0" quotePrefix="0" xfId="0">
      <alignment vertical="top" wrapText="1"/>
    </xf>
    <xf numFmtId="165" fontId="0" fillId="0" borderId="1" pivotButton="0" quotePrefix="0" xfId="0"/>
    <xf numFmtId="165" fontId="10" fillId="3" borderId="1" pivotButton="0" quotePrefix="0" xfId="0"/>
    <xf numFmtId="166" fontId="0" fillId="0" borderId="1" pivotButton="0" quotePrefix="0" xfId="0"/>
    <xf numFmtId="164" fontId="0" fillId="0" borderId="1" applyAlignment="1" pivotButton="0" quotePrefix="0" xfId="0">
      <alignment horizontal="center"/>
    </xf>
    <xf numFmtId="166" fontId="13" fillId="0" borderId="0" pivotButton="0" quotePrefix="0" xfId="0"/>
    <xf numFmtId="165" fontId="13" fillId="0" borderId="0" pivotButton="0" quotePrefix="0" xfId="0"/>
    <xf numFmtId="164" fontId="13" fillId="0" borderId="0" pivotButton="0" quotePrefix="0" xfId="0"/>
    <xf numFmtId="166" fontId="10" fillId="3" borderId="1" pivotButton="0" quotePrefix="0" xfId="0"/>
    <xf numFmtId="0" fontId="0" fillId="0" borderId="56" pivotButton="0" quotePrefix="0" xfId="0"/>
    <xf numFmtId="0" fontId="0" fillId="0" borderId="57" pivotButton="0" quotePrefix="0" xfId="0"/>
    <xf numFmtId="164" fontId="16" fillId="5" borderId="2" pivotButton="0" quotePrefix="0" xfId="0"/>
    <xf numFmtId="164" fontId="15" fillId="4" borderId="2" pivotButton="0" quotePrefix="0" xfId="0"/>
    <xf numFmtId="0" fontId="39" fillId="0" borderId="0" pivotButton="0" quotePrefix="0" xfId="0"/>
    <xf numFmtId="0" fontId="37" fillId="0" borderId="0" pivotButton="0" quotePrefix="0" xfId="0"/>
    <xf numFmtId="0" fontId="40" fillId="0" borderId="0" pivotButton="0" quotePrefix="0" xfId="0"/>
    <xf numFmtId="3" fontId="41" fillId="22" borderId="76" pivotButton="0" quotePrefix="0" xfId="0"/>
    <xf numFmtId="169" fontId="41" fillId="22" borderId="76" pivotButton="0" quotePrefix="0" xfId="0"/>
    <xf numFmtId="0" fontId="0" fillId="0" borderId="53" pivotButton="0" quotePrefix="0" xfId="0"/>
    <xf numFmtId="0" fontId="0" fillId="0" borderId="52" pivotButton="0" quotePrefix="0" xfId="0"/>
    <xf numFmtId="0" fontId="0" fillId="0" borderId="70" pivotButton="0" quotePrefix="0" xfId="0"/>
    <xf numFmtId="0" fontId="0" fillId="0" borderId="60" pivotButton="0" quotePrefix="0" xfId="0"/>
    <xf numFmtId="0" fontId="0" fillId="0" borderId="68" pivotButton="0" quotePrefix="0" xfId="0"/>
    <xf numFmtId="0" fontId="0" fillId="0" borderId="66" pivotButton="0" quotePrefix="0" xfId="0"/>
    <xf numFmtId="0" fontId="0" fillId="0" borderId="67" pivotButton="0" quotePrefix="0" xfId="0"/>
    <xf numFmtId="0" fontId="0" fillId="0" borderId="42" pivotButton="0" quotePrefix="0" xfId="0"/>
    <xf numFmtId="0" fontId="0" fillId="0" borderId="43" pivotButton="0" quotePrefix="0" xfId="0"/>
    <xf numFmtId="164" fontId="19" fillId="0" borderId="32" pivotButton="0" quotePrefix="0" xfId="0"/>
    <xf numFmtId="0" fontId="0" fillId="0" borderId="58" pivotButton="0" quotePrefix="0" xfId="0"/>
    <xf numFmtId="0" fontId="0" fillId="0" borderId="59" pivotButton="0" quotePrefix="0" xfId="0"/>
    <xf numFmtId="0" fontId="0" fillId="0" borderId="64" pivotButton="0" quotePrefix="0" xfId="0"/>
    <xf numFmtId="0" fontId="0" fillId="0" borderId="65" pivotButton="0" quotePrefix="0" xfId="0"/>
    <xf numFmtId="0" fontId="0" fillId="0" borderId="62" pivotButton="0" quotePrefix="0" xfId="0"/>
    <xf numFmtId="0" fontId="38" fillId="21" borderId="76" pivotButton="0" quotePrefix="0" xfId="0"/>
    <xf numFmtId="0" fontId="37" fillId="0" borderId="76" pivotButton="0" quotePrefix="0" xfId="0"/>
    <xf numFmtId="0" fontId="41" fillId="22" borderId="76" pivotButton="0" quotePrefix="0" xfId="0"/>
    <xf numFmtId="164" fontId="27" fillId="0" borderId="45" pivotButton="0" quotePrefix="0" xfId="0"/>
    <xf numFmtId="164" fontId="0" fillId="0" borderId="0" pivotButton="0" quotePrefix="0" xfId="0"/>
    <xf numFmtId="0" fontId="0" fillId="0" borderId="52" applyProtection="1" pivotButton="0" quotePrefix="0" xfId="0">
      <protection locked="0" hidden="0"/>
    </xf>
    <xf numFmtId="0" fontId="0" fillId="0" borderId="54" pivotButton="0" quotePrefix="0" xfId="0"/>
    <xf numFmtId="0" fontId="0" fillId="0" borderId="55" pivotButton="0" quotePrefix="0" xfId="0"/>
    <xf numFmtId="0" fontId="0" fillId="0" borderId="71" pivotButton="0" quotePrefix="0" xfId="0"/>
    <xf numFmtId="0" fontId="0" fillId="0" borderId="72" pivotButton="0" quotePrefix="0" xfId="0"/>
    <xf numFmtId="0" fontId="0" fillId="0" borderId="73" pivotButton="0" quotePrefix="0" xfId="0"/>
    <xf numFmtId="0" fontId="0" fillId="0" borderId="74" pivotButton="0" quotePrefix="0" xfId="0"/>
    <xf numFmtId="0" fontId="0" fillId="0" borderId="75" pivotButton="0" quotePrefix="0" xfId="0"/>
    <xf numFmtId="164" fontId="0" fillId="0" borderId="2" pivotButton="0" quotePrefix="0" xfId="0"/>
  </cellXfs>
  <cellStyles count="2">
    <cellStyle name="Normal" xfId="0" builtinId="0"/>
    <cellStyle name="Procent 2" xfId="1"/>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F2DCDB"/>
      <rgbColor rgb="FF993366"/>
      <rgbColor rgb="FFEBF1DE"/>
      <rgbColor rgb="FFDCE6F2"/>
      <rgbColor rgb="FF660066"/>
      <rgbColor rgb="FFFCD5B5"/>
      <rgbColor rgb="FF0066CC"/>
      <rgbColor rgb="FFC6D9F1"/>
      <rgbColor rgb="FF000080"/>
      <rgbColor rgb="FFFF00FF"/>
      <rgbColor rgb="FFF2F2F2"/>
      <rgbColor rgb="FF00FFFF"/>
      <rgbColor rgb="FF800080"/>
      <rgbColor rgb="FF800000"/>
      <rgbColor rgb="FF008080"/>
      <rgbColor rgb="FF0000FF"/>
      <rgbColor rgb="FF00CCFF"/>
      <rgbColor rgb="FFDCE6F1"/>
      <rgbColor rgb="FFCCFFCC"/>
      <rgbColor rgb="FFFFFF99"/>
      <rgbColor rgb="FFC4BD97"/>
      <rgbColor rgb="FFFF99CC"/>
      <rgbColor rgb="FFCC99FF"/>
      <rgbColor rgb="FFFFCC99"/>
      <rgbColor rgb="FF3366FF"/>
      <rgbColor rgb="FF33CCCC"/>
      <rgbColor rgb="FF99CC00"/>
      <rgbColor rgb="FFFFC000"/>
      <rgbColor rgb="FFFF9900"/>
      <rgbColor rgb="FFFA7D00"/>
      <rgbColor rgb="FF595959"/>
      <rgbColor rgb="FFB0B0B0"/>
      <rgbColor rgb="FF1F4E78"/>
      <rgbColor rgb="FF339966"/>
      <rgbColor rgb="FF003300"/>
      <rgbColor rgb="FF333300"/>
      <rgbColor rgb="FF993300"/>
      <rgbColor rgb="FF993366"/>
      <rgbColor rgb="FF333399"/>
      <rgbColor rgb="FF3F3F7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comments/comment1.xml><?xml version="1.0" encoding="utf-8"?>
<comments xmlns="http://schemas.openxmlformats.org/spreadsheetml/2006/main">
  <authors>
    <author>Unknown Author</author>
  </authors>
  <commentList>
    <comment ref="C10" authorId="0" shapeId="0">
      <text>
        <t>Gripen gör klimatkorrigeringen själv. Värdet används bara för att mallens kontrollberäkning av Etal ska stämma med Gripen. Ange samma energiindex som Gripen visar.</t>
      </text>
    </comment>
    <comment ref="C21" authorId="0" shapeId="0">
      <text>
        <t>Summerad A-temp för bostadsdelen. Beräknas vid sidan om, t.ex. per våningsplan.</t>
      </text>
    </comment>
    <comment ref="A31" authorId="0" shapeId="0">
      <text>
        <t>Ingår i Atemp enligt BFS 2026:9 (ytor som värms till mer än 10 °C). Räknas till bostadsdelens kategori.</t>
      </text>
    </comment>
    <comment ref="I39" authorId="0" shapeId="0">
      <text>
        <t>Ska vara 100 %. Annars fördelas inte hela den gemensamma mätaren.</t>
      </text>
    </comment>
  </commentList>
</comments>
</file>

<file path=xl/comments/comment2.xml><?xml version="1.0" encoding="utf-8"?>
<comments xmlns="http://schemas.openxmlformats.org/spreadsheetml/2006/main">
  <authors>
    <author>Unknown Author</author>
  </authors>
  <commentList>
    <comment ref="B41" authorId="0" shapeId="0">
      <text>
        <t>Ca 55 kWh/m³ motsvarar uppvärmning ca 47 K.</t>
      </text>
    </comment>
    <comment ref="B42" authorId="0" shapeId="0">
      <text>
        <t>1 = VVC-förlusterna ligger kvar i uppvärmningen (som i tidigare mall). Lägre värde = VVC-förlusterna räknas till tappvarmvattnet och skalas vid normalisering.</t>
      </text>
    </comment>
    <comment ref="B43" authorId="0" shapeId="0">
      <text>
        <t>Används bara när ingen vattenmätare är ifylld.</t>
      </text>
    </comment>
    <comment ref="C55" authorId="0" shapeId="0">
      <text>
        <t>Ska vara 100 % om byggnaderna har tappvarmvatten.</t>
      </text>
    </comment>
    <comment ref="B57" authorId="0" shapeId="0">
      <text>
        <t>Fördelas: förlusterna ingår i uppmätt energi och fördelas med uppvärmningsnyckeln. Räknas bort: förlusterna dras från uppvärmningen innan fördelning.</t>
      </text>
    </comment>
  </commentList>
</comments>
</file>

<file path=xl/comments/comment3.xml><?xml version="1.0" encoding="utf-8"?>
<comments xmlns="http://schemas.openxmlformats.org/spreadsheetml/2006/main">
  <authors>
    <author>Unknown Author</author>
    <author>Mall</author>
  </authors>
  <commentList>
    <comment ref="C5" authorId="0" shapeId="0">
      <text>
        <t>Används när produktionen inte är uppmätt.</t>
      </text>
    </comment>
    <comment ref="C6" authorId="0" shapeId="0">
      <text>
        <t>Fördelas efter installerad effekt, eller efter A-temp om effekten saknas.</t>
      </text>
    </comment>
    <comment ref="C7" authorId="0" shapeId="0">
      <text>
        <t>Fördelas efter andel av solproduktionen.</t>
      </text>
    </comment>
    <comment ref="A11" authorId="0" shapeId="0">
      <text>
        <t>Inkommande el från nätet under mätperioden, inklusive IMD om lägenheterna sitter på samma mätare.</t>
      </text>
    </comment>
    <comment ref="A12" authorId="0" shapeId="0">
      <text>
        <t>Summerad IMD-el som debiteras lägenheterna. Lämna tomt om lägenheterna har egna abonnemang.</t>
      </text>
    </comment>
    <comment ref="A13" authorId="0" shapeId="0">
      <text>
        <t>Används bara för internlasten i normaliseringen. Påverkar inte fördelningen.</t>
      </text>
    </comment>
    <comment ref="A20" authorId="0" shapeId="0">
      <text>
        <t>Köpt el + egenanvänd solel. Det är all el som används bakom fastighetens elmätare.</t>
      </text>
    </comment>
    <comment ref="C25" authorId="0" shapeId="0">
      <text>
        <t>Hämtas från besiktningsprotokollet. Kan skrivas över. Andelarna används för att fördela den uppmätta gemensamma elen.</t>
      </text>
    </comment>
    <comment ref="C29" authorId="1" shapeId="0">
      <text>
        <t>Hämtas från besiktningsprotokollet (E8): tvättstugor 1–4 plus motorvärmare och utebelysning. Tvättstugorna placeras per byggnad, se rad 144.</t>
      </text>
    </comment>
    <comment ref="C30" authorId="0" shapeId="0">
      <text>
        <t>Hiss, värmekablar och annan el som inte ingår i energiprestandan och inte redovisas som verksamhetsel. Ange uppskattad årsförbrukning.</t>
      </text>
    </comment>
    <comment ref="C32" authorId="0" shapeId="0">
      <text>
        <t>Stor avvikelse betyder att besiktningen missat förbrukare eller överskattat dem. Fördelningen skalas ändå till uppmätt el.</t>
      </text>
    </comment>
    <comment ref="A79" authorId="0" shapeId="0">
      <text>
        <t>Ska vara 0. Avvikelse uppstår om uppmätta förbrukare tillsammans överstiger den gemensamma elen.</t>
      </text>
    </comment>
    <comment ref="B82" authorId="0" shapeId="0">
      <text>
        <t>Standard 1,0 = solelen fördelas efter årsförbrukning. Högre värde för förbrukning som sker när solen lyser, lägre för kvälls- eller vinterförbrukning.</t>
      </text>
    </comment>
    <comment ref="A140" authorId="1" shapeId="0">
      <text>
        <t>Besiktningens fastighetselposter (avsnitt 10) summeras per byggnad enligt rullistan i besiktningsprotokollet, kolumn F.</t>
      </text>
    </comment>
    <comment ref="A141" authorId="1" shapeId="0">
      <text>
        <t>Värmepumpens el fördelas efter A-temp. Har byggnaderna egna värmepumpar: ange manuell andel eller uppmätt värde per byggnad.</t>
      </text>
    </comment>
    <comment ref="A142" authorId="1" shapeId="0">
      <text>
        <t>Elvärme (avsnitt 11) summeras per byggnad enligt rullistan i besiktningsprotokollet.</t>
      </text>
    </comment>
    <comment ref="A144" authorId="1" shapeId="0">
      <text>
        <t>Verksamhetsel (avsnitt 9) och tvättstugor (12.1–12.4) summeras per byggnad enligt rullistorna i besiktningsprotokollet. Tvättstugor märkta Alla fördelas efter A-temp.</t>
      </text>
    </comment>
  </commentList>
</comments>
</file>

<file path=xl/comments/comment4.xml><?xml version="1.0" encoding="utf-8"?>
<comments xmlns="http://schemas.openxmlformats.org/spreadsheetml/2006/main">
  <authors>
    <author>Unknown Author</author>
    <author>Mall</author>
  </authors>
  <commentList>
    <comment ref="B28" authorId="0" shapeId="0">
      <text>
        <t>Rättad: dividerade tidigare med Byggnader C17+D17, som är nybyggnadsår. Nu W/m² Atemp för hela fastigheten.</t>
      </text>
    </comment>
    <comment ref="F102" authorId="1" shapeId="0">
      <text>
        <t>Välj vilken byggnad posten hör till.</t>
      </text>
    </comment>
    <comment ref="F110" authorId="1" shapeId="0">
      <text>
        <t>Välj vilken byggnad posten hör till. Elen läggs på den byggnadens fastighetsel, verksamhetsel eller elvärme i fliken El.</t>
      </text>
    </comment>
    <comment ref="F127" authorId="1" shapeId="0">
      <text>
        <t>Välj vilken byggnad elvärmen finns i.</t>
      </text>
    </comment>
    <comment ref="E132" authorId="1" shapeId="0">
      <text>
        <t>Välj vilken byggnad tvättstugan ligger i. Elen läggs då på den byggnadens verksamhetsel i fliken El. Alla = fördelas efter A-temp.</t>
      </text>
    </comment>
    <comment ref="E151" authorId="1" shapeId="0">
      <text>
        <t>Välj vilken byggnad tvättstugan ligger i. Elen läggs då på den byggnadens verksamhetsel i fliken El. Alla = fördelas efter A-temp.</t>
      </text>
    </comment>
    <comment ref="E168" authorId="1" shapeId="0">
      <text>
        <t>Välj vilken byggnad tvättstugan ligger i. Elen läggs då på den byggnadens verksamhetsel i fliken El. Alla = fördelas efter A-temp.</t>
      </text>
    </comment>
    <comment ref="E185" authorId="1" shapeId="0">
      <text>
        <t>Välj vilken byggnad tvättstugan ligger i. Elen läggs då på den byggnadens verksamhetsel i fliken El. Alla = fördelas efter A-temp.</t>
      </text>
    </comment>
  </commentList>
</comments>
</file>

<file path=xl/comments/comment5.xml><?xml version="1.0" encoding="utf-8"?>
<comments xmlns="http://schemas.openxmlformats.org/spreadsheetml/2006/main">
  <authors>
    <author>Unknown Author</author>
  </authors>
  <commentList>
    <comment ref="B10" authorId="0" shapeId="0">
      <text>
        <t>Anpassa efter ort.</t>
      </text>
    </comment>
    <comment ref="C15" authorId="0" shapeId="0">
      <text>
        <t>Uppmätt eller projekterat genomsnittligt uteluftsflöde. Jämför med besiktningsprotokollets beräknade genomsnittsflöde (B78).</t>
      </text>
    </comment>
    <comment ref="C16" authorId="0" shapeId="0">
      <text>
        <t>0 vid F, självdrag eller frånluftsvärmepump (återvinningen syns då i värmepumpens el).</t>
      </text>
    </comment>
    <comment ref="C17" authorId="0" shapeId="0">
      <text>
        <t>Sveby: 1 rok 1,42, 2 rok 1,63, 3 rok 2,18, 4 rok 2,79, 5 rok 3,51. För småhus: personer per hus.</t>
      </text>
    </comment>
    <comment ref="A106" authorId="0" shapeId="0">
      <text>
        <t>(Faktisk − kategoritypisk internlast) × A-temp × timmar uppvärmningssäsong. Mer gratisvärme än kategoritypiskt ger uppräknad uppvärmning.</t>
      </text>
    </comment>
    <comment ref="A107" authorId="0" shapeId="0">
      <text>
        <t>1,2 × (faktiskt − kategoritypiskt uteluftsflöde) × A-temp × gradtimmar × (1 − återvinning). Högre flöde än kategoritypiskt ger nedräknad uppvärmning.</t>
      </text>
    </comment>
    <comment ref="A136" authorId="0" shapeId="0">
      <text>
        <t>Fastighetselen antas vara lika per m² i alla byggnader och fördelas efter A-temp.</t>
      </text>
    </comment>
  </commentList>
</comments>
</file>

<file path=xl/comments/comment6.xml><?xml version="1.0" encoding="utf-8"?>
<comments xmlns="http://schemas.openxmlformats.org/spreadsheetml/2006/main">
  <authors>
    <author>Unknown Author</author>
  </authors>
  <commentList>
    <comment ref="A9" authorId="0" shapeId="0">
      <text>
        <t>Fastighetsel inom systemgräns minus egenanvänd solel, och minus solel till värmepump.</t>
      </text>
    </comment>
    <comment ref="A26" authorId="0" shapeId="0">
      <text>
        <t>A0 kräver även att installationerna kan reagera på externa signaler, vilket besvaras i Gripen.</t>
      </text>
    </comment>
  </commentList>
</comments>
</file>

<file path=xl/comments/comment7.xml><?xml version="1.0" encoding="utf-8"?>
<comments xmlns="http://schemas.openxmlformats.org/spreadsheetml/2006/main">
  <authors>
    <author>Unknown Author</author>
  </authors>
  <commentList>
    <comment ref="B31" authorId="0" shapeId="0">
      <text>
        <t>Normaliserad för kategoritypisk användning enligt valen i Normalisering, inte klimatkorrigerad. Rader med 0 behöver inte läggas till i Gripen.</t>
      </text>
    </comment>
    <comment ref="A56" authorId="0" shapeId="0">
      <text>
        <t>Ventilation, pumpar, styrning och fast belysning i allmänna utrymmen och driftsutrymmen. Netto efter egenanvänd solel.</t>
      </text>
    </comment>
    <comment ref="B59" authorId="0" shapeId="0">
      <text>
        <t>Elen ovan är redan netto efter egenanvänd solel. Kontrollera att Gripen inte drar av den en gång till.</t>
      </text>
    </comment>
    <comment ref="E77" authorId="0" shapeId="0">
      <text>
        <t>Uppvärmningsparametrarna visas som förändrat värmebehov per m². Tappvarmvattnet som förändrad levererad energi per m².</t>
      </text>
    </comment>
    <comment ref="B84" authorId="0" shapeId="0">
      <text>
        <t>Gäller hela centralen. Vid en central som försörjer flera byggnader, bedöm om effekten ska anges för systemet eller fördelas.</t>
      </text>
    </comment>
    <comment ref="D88" authorId="0" shapeId="0">
      <text>
        <t>Fastighetens besparing fördelad efter byggnadens andel av A-temp.</t>
      </text>
    </comment>
  </commentList>
</comments>
</file>

<file path=xl/comments/comment8.xml><?xml version="1.0" encoding="utf-8"?>
<comments xmlns="http://schemas.openxmlformats.org/spreadsheetml/2006/main">
  <authors>
    <author>Unknown Author</author>
  </authors>
  <commentList>
    <comment ref="B2" authorId="0" shapeId="0">
      <text>
        <t>Sätt "Ja" för att ta med denna åtgärd i sammanfattningsfliken (investering, energi- och kostnadsbesparing). Sätt "Nej" om åtgärden inte föreslås.</t>
      </text>
    </comment>
    <comment ref="C4" authorId="0" shapeId="0">
      <text>
        <t>Lars Abrahamsson:
Areauppgiften avser ofta 
 A-temp. Area=1 avser normalt 1 kvadratmeter vägg /tak eller 1 hus</t>
      </text>
    </comment>
    <comment ref="D5" authorId="0" shapeId="0">
      <text>
        <t>Lars Abrahamsson:
Energiprisutveckling och kalkylränta skall båda vara antingen nominella eller reala. För mer info se under Dokument på hemsidan</t>
      </text>
    </comment>
    <comment ref="F5" authorId="0" shapeId="0">
      <text>
        <t>Lars Abrahamsson:
Lönsamhetsgränsen uppnås när värdet på Differens (cell D42) är 0. Använd Verktyg/ Målsökning.
Målcell: D42 Värde: 0
Justerbar cell: C5, gå till denna cell!
Värdet i den justerbara cellen ändras nu till 7,0% Kom ihåg detta värde (7,0%) samt tryck Avbryt. Skriv in värdet 7,0% i cell E5.
(Som ett alternativ kan du ändra direkt i ruta C 5  till dess värdet i cell D42 är (nära)  0. Glöm då inte att ändra tillbaka till det ursprungliga värdena när du skrivit in internräntan i ruta E5</t>
      </text>
    </comment>
    <comment ref="F6" authorId="0" shapeId="0">
      <text>
        <t>Lars:
Investeringskostnaden delat med värdet av årlig besparing</t>
      </text>
    </comment>
    <comment ref="C9" authorId="0" shapeId="0">
      <text>
        <t>Lars Abrahamsson:
Det rörliga energipriset är ofta det som påverkas av en energiåtgärd. Om fasta eller sk halvfasta kostnader påverkas kan Edkalkyl behöva modifieras</t>
      </text>
    </comment>
    <comment ref="F20" authorId="0" shapeId="0">
      <text>
        <t>Lars Abrahamsson:
Detta är den högsta godtagbara investeringskostnaden om investeringen skall vara lönsam</t>
      </text>
    </comment>
  </commentList>
</comments>
</file>

<file path=xl/comments/comment9.xml><?xml version="1.0" encoding="utf-8"?>
<comments xmlns="http://schemas.openxmlformats.org/spreadsheetml/2006/main">
  <authors>
    <author>Unknown Author</author>
  </authors>
  <commentList>
    <comment ref="B2" authorId="0" shapeId="0">
      <text>
        <t>Sätt "Ja" för att ta med denna åtgärd i sammanfattningsfliken (investering, energi- och kostnadsbesparing). Sätt "Nej" om åtgärden inte föreslås.</t>
      </text>
    </comment>
    <comment ref="C4" authorId="0" shapeId="0">
      <text>
        <t>Lars Abrahamsson:
Areauppgiften avser ofta 
 A-temp. Area=1 avser normalt 1 kvadratmeter vägg /tak eller 1 hus</t>
      </text>
    </comment>
    <comment ref="D5" authorId="0" shapeId="0">
      <text>
        <t>Lars Abrahamsson:
Energiprisutveckling och kalkylränta skall båda vara antingen nominella eller reala. För mer info se under Dokument på hemsidan</t>
      </text>
    </comment>
    <comment ref="F5" authorId="0" shapeId="0">
      <text>
        <t>Lars Abrahamsson:
Lönsamhetsgränsen uppnås när värdet på Differens (cell D42) är 0. Använd Verktyg/ Målsökning.
Målcell: D42 Värde: 0
Justerbar cell: C5, gå till denna cell!
Värdet i den justerbara cellen ändras nu till 7,0% Kom ihåg detta värde (7,0%) samt tryck Avbryt. Skriv in värdet 7,0% i cell E5.
(Som ett alternativ kan du ändra direkt i ruta C 5  till dess värdet i cell D42 är (nära)  0. Glöm då inte att ändra tillbaka till det ursprungliga värdena när du skrivit in internräntan i ruta E5</t>
      </text>
    </comment>
    <comment ref="F6" authorId="0" shapeId="0">
      <text>
        <t>Lars:
Investeringskostnaden delat med värdet av årlig besparing</t>
      </text>
    </comment>
    <comment ref="C9" authorId="0" shapeId="0">
      <text>
        <t>Lars Abrahamsson:
Det rörliga energipriset är ofta det som påverkas av en energiåtgärd. Om fasta eller sk halvfasta kostnader påverkas kan Edkalkyl behöva modifieras</t>
      </text>
    </comment>
    <comment ref="F20" authorId="0" shapeId="0">
      <text>
        <t>Lars Abrahamsson:
Detta är den högsta godtagbara investeringskostnaden om investeringen skall vara lönsam</t>
      </text>
    </comment>
  </commentList>
</comments>
</file>

<file path=xl/comments/comment10.xml><?xml version="1.0" encoding="utf-8"?>
<comments xmlns="http://schemas.openxmlformats.org/spreadsheetml/2006/main">
  <authors>
    <author>Unknown Author</author>
  </authors>
  <commentList>
    <comment ref="B2" authorId="0" shapeId="0">
      <text>
        <t>Sätt "Ja" för att ta med denna åtgärd i sammanfattningsfliken (investering, energi- och kostnadsbesparing). Sätt "Nej" om åtgärden inte föreslås.</t>
      </text>
    </comment>
    <comment ref="C4" authorId="0" shapeId="0">
      <text>
        <t>Lars Abrahamsson:
Areauppgiften avser ofta 
 A-temp. Area=1 avser normalt 1 kvadratmeter vägg /tak eller 1 hus</t>
      </text>
    </comment>
    <comment ref="D5" authorId="0" shapeId="0">
      <text>
        <t>Lars Abrahamsson:
Energiprisutveckling och kalkylränta skall båda vara antingen nominella eller reala. För mer info se under Dokument på hemsidan</t>
      </text>
    </comment>
    <comment ref="F5" authorId="0" shapeId="0">
      <text>
        <t>Lars Abrahamsson:
Lönsamhetsgränsen uppnås när värdet på Differens (cell D42) är 0. Använd Verktyg/ Målsökning.
Målcell: D42 Värde: 0
Justerbar cell: C5, gå till denna cell!
Värdet i den justerbara cellen ändras nu till 7,0% Kom ihåg detta värde (7,0%) samt tryck Avbryt. Skriv in värdet 7,0% i cell E5.
(Som ett alternativ kan du ändra direkt i ruta C 5  till dess värdet i cell D42 är (nära)  0. Glöm då inte att ändra tillbaka till det ursprungliga värdena när du skrivit in internräntan i ruta E5</t>
      </text>
    </comment>
    <comment ref="F6" authorId="0" shapeId="0">
      <text>
        <t>Lars:
Investeringskostnaden delat med värdet av årlig besparing</t>
      </text>
    </comment>
    <comment ref="C9" authorId="0" shapeId="0">
      <text>
        <t>Lars Abrahamsson:
Det rörliga energipriset är ofta det som påverkas av en energiåtgärd. Om fasta eller sk halvfasta kostnader påverkas kan Edkalkyl behöva modifieras</t>
      </text>
    </comment>
    <comment ref="F20" authorId="0" shapeId="0">
      <text>
        <t>Lars Abrahamsson:
Detta är den högsta godtagbara investeringskostnaden om investeringen skall vara lönsam</t>
      </text>
    </comment>
  </commentList>
</comments>
</file>

<file path=xl/comments/comment11.xml><?xml version="1.0" encoding="utf-8"?>
<comments xmlns="http://schemas.openxmlformats.org/spreadsheetml/2006/main">
  <authors>
    <author>Unknown Author</author>
  </authors>
  <commentList>
    <comment ref="B2" authorId="0" shapeId="0">
      <text>
        <t>Sätt "Ja" för att ta med denna åtgärd i sammanfattningsfliken (investering, energi- och kostnadsbesparing). Sätt "Nej" om åtgärden inte föreslås.</t>
      </text>
    </comment>
    <comment ref="C4" authorId="0" shapeId="0">
      <text>
        <t>Lars Abrahamsson:
Areauppgiften avser ofta 
 A-temp. Area=1 avser normalt 1 kvadratmeter vägg /tak eller 1 hus</t>
      </text>
    </comment>
    <comment ref="D5" authorId="0" shapeId="0">
      <text>
        <t>Lars Abrahamsson:
Energiprisutveckling och kalkylränta skall båda vara antingen nominella eller reala. För mer info se under Dokument på hemsidan</t>
      </text>
    </comment>
    <comment ref="F5" authorId="0" shapeId="0">
      <text>
        <t>Lars Abrahamsson:
Lönsamhetsgränsen uppnås när värdet på Differens (cell D42) är 0. Använd Verktyg/ Målsökning.
Målcell: D42 Värde: 0
Justerbar cell: C5, gå till denna cell!
Värdet i den justerbara cellen ändras nu till 7,0% Kom ihåg detta värde (7,0%) samt tryck Avbryt. Skriv in värdet 7,0% i cell E5.
(Som ett alternativ kan du ändra direkt i ruta C 5  till dess värdet i cell D42 är (nära)  0. Glöm då inte att ändra tillbaka till det ursprungliga värdena när du skrivit in internräntan i ruta E5</t>
      </text>
    </comment>
    <comment ref="F6" authorId="0" shapeId="0">
      <text>
        <t>Lars:
Investeringskostnaden delat med värdet av årlig besparing</t>
      </text>
    </comment>
    <comment ref="C9" authorId="0" shapeId="0">
      <text>
        <t>Lars Abrahamsson:
Det rörliga energipriset är ofta det som påverkas av en energiåtgärd. Om fasta eller sk halvfasta kostnader påverkas kan Edkalkyl behöva modifieras</t>
      </text>
    </comment>
    <comment ref="F20" authorId="0" shapeId="0">
      <text>
        <t>Lars Abrahamsson:
Detta är den högsta godtagbara investeringskostnaden om investeringen skall vara lönsam</t>
      </text>
    </comment>
  </commentList>
</comments>
</file>

<file path=xl/comments/comment12.xml><?xml version="1.0" encoding="utf-8"?>
<comments xmlns="http://schemas.openxmlformats.org/spreadsheetml/2006/main">
  <authors>
    <author>Unknown Author</author>
  </authors>
  <commentList>
    <comment ref="B2" authorId="0" shapeId="0">
      <text>
        <t>Sätt "Ja" för att ta med denna åtgärd i sammanfattningsfliken (investering, energi- och kostnadsbesparing). Sätt "Nej" om åtgärden inte föreslås.</t>
      </text>
    </comment>
    <comment ref="C4" authorId="0" shapeId="0">
      <text>
        <t>Lars Abrahamsson:
Areauppgiften avser ofta 
 A-temp. Area=1 avser normalt 1 kvadratmeter vägg /tak eller 1 hus</t>
      </text>
    </comment>
    <comment ref="D5" authorId="0" shapeId="0">
      <text>
        <t>Lars Abrahamsson:
Energiprisutveckling och kalkylränta skall båda vara antingen nominella eller reala. För mer info se under Dokument på hemsidan</t>
      </text>
    </comment>
    <comment ref="F5" authorId="0" shapeId="0">
      <text>
        <t>Lars Abrahamsson:
Lönsamhetsgränsen uppnås när värdet på Differens (cell D42) är 0. Använd Verktyg/ Målsökning.
Målcell: D42 Värde: 0
Justerbar cell: C5, gå till denna cell!
Värdet i den justerbara cellen ändras nu till 7,0% Kom ihåg detta värde (7,0%) samt tryck Avbryt. Skriv in värdet 7,0% i cell E5.
(Som ett alternativ kan du ändra direkt i ruta C 5  till dess värdet i cell D42 är (nära)  0. Glöm då inte att ändra tillbaka till det ursprungliga värdena när du skrivit in internräntan i ruta E5</t>
      </text>
    </comment>
    <comment ref="F6" authorId="0" shapeId="0">
      <text>
        <t>Lars:
Investeringskostnaden delat med värdet av årlig besparing</t>
      </text>
    </comment>
    <comment ref="C9" authorId="0" shapeId="0">
      <text>
        <t>Lars Abrahamsson:
Det rörliga energipriset är ofta det som påverkas av en energiåtgärd. Om fasta eller sk halvfasta kostnader påverkas kan Edkalkyl behöva modifieras</t>
      </text>
    </comment>
    <comment ref="K10" authorId="0" shapeId="0">
      <text>
        <t>Eget nyckeltal för denna åtgärd (kr/m2 fönsteryta). Inte samma mängdenhet som kr/m2 A-temp i fliken "Nyckeltal" (1 100 kr/m2 A-temp) - jämför inte direkt. Uppdatera mot aktuellt marknadspris.</t>
      </text>
    </comment>
    <comment ref="F20" authorId="0" shapeId="0">
      <text>
        <t>Lars Abrahamsson:
Detta är den högsta godtagbara investeringskostnaden om investeringen skall vara lönsam</t>
      </text>
    </comment>
  </commentList>
</comments>
</file>

<file path=xl/comments/comment13.xml><?xml version="1.0" encoding="utf-8"?>
<comments xmlns="http://schemas.openxmlformats.org/spreadsheetml/2006/main">
  <authors>
    <author>Unknown Author</author>
  </authors>
  <commentList>
    <comment ref="B2" authorId="0" shapeId="0">
      <text>
        <t>Sätt "Ja" för att ta med denna åtgärd i sammanfattningsfliken (investering, energi- och kostnadsbesparing). Sätt "Nej" om åtgärden inte föreslås.</t>
      </text>
    </comment>
    <comment ref="C4" authorId="0" shapeId="0">
      <text>
        <t>Lars Abrahamsson:
Areauppgiften avser ofta 
 A-temp. Area=1 avser normalt 1 kvadratmeter vägg /tak eller 1 hus</t>
      </text>
    </comment>
    <comment ref="D5" authorId="0" shapeId="0">
      <text>
        <t>Lars Abrahamsson:
Energiprisutveckling och kalkylränta skall båda vara antingen nominella eller reala. För mer info se under Dokument på hemsidan</t>
      </text>
    </comment>
    <comment ref="F5" authorId="0" shapeId="0">
      <text>
        <t>Lars Abrahamsson:
Lönsamhetsgränsen uppnås när värdet på Differens (cell D42) är 0. Använd Verktyg/ Målsökning.
Målcell: D42 Värde: 0
Justerbar cell: C5, gå till denna cell!
Värdet i den justerbara cellen ändras nu till 7,0% Kom ihåg detta värde (7,0%) samt tryck Avbryt. Skriv in värdet 7,0% i cell E5.
(Som ett alternativ kan du ändra direkt i ruta C 5  till dess värdet i cell D42 är (nära)  0. Glöm då inte att ändra tillbaka till det ursprungliga värdena när du skrivit in internräntan i ruta E5</t>
      </text>
    </comment>
    <comment ref="F6" authorId="0" shapeId="0">
      <text>
        <t>Lars:
Investeringskostnaden delat med värdet av årlig besparing</t>
      </text>
    </comment>
    <comment ref="C9" authorId="0" shapeId="0">
      <text>
        <t>Lars Abrahamsson:
Det rörliga energipriset är ofta det som påverkas av en energiåtgärd. Om fasta eller sk halvfasta kostnader påverkas kan Edkalkyl behöva modifieras</t>
      </text>
    </comment>
    <comment ref="K10" authorId="0" shapeId="0">
      <text>
        <t>Eget nyckeltal för denna åtgärd (kr/m2 fasadyta exkl fönster). Inte samma mängdenhet som kr/m2 A-temp i fliken "Nyckeltal" (2 400 kr/m2 A-temp) - jämför inte direkt. Uppdatera mot aktuellt marknadspris.</t>
      </text>
    </comment>
    <comment ref="F20" authorId="0" shapeId="0">
      <text>
        <t>Lars Abrahamsson:
Detta är den högsta godtagbara investeringskostnaden om investeringen skall vara lönsam</t>
      </text>
    </comment>
  </commentList>
</comments>
</file>

<file path=xl/comments/comment14.xml><?xml version="1.0" encoding="utf-8"?>
<comments xmlns="http://schemas.openxmlformats.org/spreadsheetml/2006/main">
  <authors>
    <author>Unknown Author</author>
  </authors>
  <commentList>
    <comment ref="B2" authorId="0" shapeId="0">
      <text>
        <t>Sätt "Ja" för att ta med denna åtgärd i sammanfattningsfliken (investering, energi- och kostnadsbesparing). Sätt "Nej" om åtgärden inte föreslås.</t>
      </text>
    </comment>
    <comment ref="C4" authorId="0" shapeId="0">
      <text>
        <t>Lars Abrahamsson:
Areauppgiften avser ofta 
 A-temp. Area=1 avser normalt 1 kvadratmeter vägg /tak eller 1 hus</t>
      </text>
    </comment>
    <comment ref="D5" authorId="0" shapeId="0">
      <text>
        <t>Lars Abrahamsson:
Energiprisutveckling och kalkylränta skall båda vara antingen nominella eller reala. För mer info se under Dokument på hemsidan</t>
      </text>
    </comment>
    <comment ref="F5" authorId="0" shapeId="0">
      <text>
        <t>Lars Abrahamsson:
Lönsamhetsgränsen uppnås när värdet på Differens (cell D42) är 0. Använd Verktyg/ Målsökning.
Målcell: D42 Värde: 0
Justerbar cell: C5, gå till denna cell!
Värdet i den justerbara cellen ändras nu till 7,0% Kom ihåg detta värde (7,0%) samt tryck Avbryt. Skriv in värdet 7,0% i cell E5.
(Som ett alternativ kan du ändra direkt i ruta C 5  till dess värdet i cell D42 är (nära)  0. Glöm då inte att ändra tillbaka till det ursprungliga värdena när du skrivit in internräntan i ruta E5</t>
      </text>
    </comment>
    <comment ref="F6" authorId="0" shapeId="0">
      <text>
        <t>Lars:
Investeringskostnaden delat med värdet av årlig besparing</t>
      </text>
    </comment>
    <comment ref="C9" authorId="0" shapeId="0">
      <text>
        <t>Lars Abrahamsson:
Det rörliga energipriset är ofta det som påverkas av en energiåtgärd. Om fasta eller sk halvfasta kostnader påverkas kan Edkalkyl behöva modifieras</t>
      </text>
    </comment>
    <comment ref="F20" authorId="0" shapeId="0">
      <text>
        <t>Lars Abrahamsson:
Detta är den högsta godtagbara investeringskostnaden om investeringen skall vara lönsam</t>
      </text>
    </comment>
  </commentList>
</comments>
</file>

<file path=xl/comments/comment15.xml><?xml version="1.0" encoding="utf-8"?>
<comments xmlns="http://schemas.openxmlformats.org/spreadsheetml/2006/main">
  <authors>
    <author>Unknown Author</author>
  </authors>
  <commentList>
    <comment ref="B2" authorId="0" shapeId="0">
      <text>
        <t>Sätt "Ja" för att ta med denna åtgärd i sammanfattningsfliken (investering, energi- och kostnadsbesparing). Sätt "Nej" om åtgärden inte föreslås.</t>
      </text>
    </comment>
    <comment ref="C4" authorId="0" shapeId="0">
      <text>
        <t>Lars Abrahamsson:
Areauppgiften avser ofta 
 A-temp. Area=1 avser normalt 1 kvadratmeter vägg /tak eller 1 hus</t>
      </text>
    </comment>
    <comment ref="D5" authorId="0" shapeId="0">
      <text>
        <t>Lars Abrahamsson:
Energiprisutveckling och kalkylränta skall båda vara antingen nominella eller reala. För mer info se under Dokument på hemsidan</t>
      </text>
    </comment>
    <comment ref="F5" authorId="0" shapeId="0">
      <text>
        <t>Lars Abrahamsson:
Lönsamhetsgränsen uppnås när värdet på Differens (cell D42) är 0. Använd Verktyg/ Målsökning.
Målcell: D42 Värde: 0
Justerbar cell: C5, gå till denna cell!
Värdet i den justerbara cellen ändras nu till 7,0% Kom ihåg detta värde (7,0%) samt tryck Avbryt. Skriv in värdet 7,0% i cell E5.
(Som ett alternativ kan du ändra direkt i ruta C 5  till dess värdet i cell D42 är (nära)  0. Glöm då inte att ändra tillbaka till det ursprungliga värdena när du skrivit in internräntan i ruta E5</t>
      </text>
    </comment>
    <comment ref="F6" authorId="0" shapeId="0">
      <text>
        <t>Lars:
Investeringskostnaden delat med värdet av årlig besparing</t>
      </text>
    </comment>
    <comment ref="C9" authorId="0" shapeId="0">
      <text>
        <t>Lars Abrahamsson:
Det rörliga energipriset är ofta det som påverkas av en energiåtgärd. Om fasta eller sk halvfasta kostnader påverkas kan Edkalkyl behöva modifieras</t>
      </text>
    </comment>
    <comment ref="F20" authorId="0" shapeId="0">
      <text>
        <t>Lars Abrahamsson:
Detta är den högsta godtagbara investeringskostnaden om investeringen skall vara lönsam</t>
      </text>
    </comment>
  </commentList>
</comments>
</file>

<file path=xl/comments/comment16.xml><?xml version="1.0" encoding="utf-8"?>
<comments xmlns="http://schemas.openxmlformats.org/spreadsheetml/2006/main">
  <authors>
    <author>Unknown Author</author>
  </authors>
  <commentList>
    <comment ref="B2" authorId="0" shapeId="0">
      <text>
        <t>Sätt "Ja" för att ta med denna åtgärd i sammanfattningsfliken (investering, energi- och kostnadsbesparing). Sätt "Nej" om åtgärden inte föreslås.</t>
      </text>
    </comment>
    <comment ref="C4" authorId="0" shapeId="0">
      <text>
        <t>Lars Abrahamsson:
Areauppgiften avser ofta 
 A-temp. Area=1 avser normalt 1 kvadratmeter vägg /tak eller 1 hus</t>
      </text>
    </comment>
    <comment ref="D5" authorId="0" shapeId="0">
      <text>
        <t>Lars Abrahamsson:
Energiprisutveckling och kalkylränta skall båda vara antingen nominella eller reala. För mer info se under Dokument på hemsidan</t>
      </text>
    </comment>
    <comment ref="F5" authorId="0" shapeId="0">
      <text>
        <t>Lars Abrahamsson:
Lönsamhetsgränsen uppnås när värdet på Differens (cell D42) är 0. Använd Verktyg/ Målsökning.
Målcell: D42 Värde: 0
Justerbar cell: C5, gå till denna cell!
Värdet i den justerbara cellen ändras nu till 7,0% Kom ihåg detta värde (7,0%) samt tryck Avbryt. Skriv in värdet 7,0% i cell E5.
(Som ett alternativ kan du ändra direkt i ruta C 5  till dess värdet i cell D42 är (nära)  0. Glöm då inte att ändra tillbaka till det ursprungliga värdena när du skrivit in internräntan i ruta E5</t>
      </text>
    </comment>
    <comment ref="F6" authorId="0" shapeId="0">
      <text>
        <t>Lars:
Investeringskostnaden delat med värdet av årlig besparing</t>
      </text>
    </comment>
    <comment ref="C9" authorId="0" shapeId="0">
      <text>
        <t>Lars Abrahamsson:
Det rörliga energipriset är ofta det som påverkas av en energiåtgärd. Om fasta eller sk halvfasta kostnader påverkas kan Edkalkyl behöva modifieras</t>
      </text>
    </comment>
    <comment ref="F20" authorId="0" shapeId="0">
      <text>
        <t>Lars Abrahamsson:
Detta är den högsta godtagbara investeringskostnaden om investeringen skall vara lönsam</t>
      </text>
    </comment>
  </commentList>
</comments>
</file>

<file path=xl/comments/comment17.xml><?xml version="1.0" encoding="utf-8"?>
<comments xmlns="http://schemas.openxmlformats.org/spreadsheetml/2006/main">
  <authors>
    <author>Unknown Author</author>
  </authors>
  <commentList>
    <comment ref="B2" authorId="0" shapeId="0">
      <text>
        <t>Sätt "Ja" för att ta med denna åtgärd i sammanfattningsfliken (investering, energi- och kostnadsbesparing). Sätt "Nej" om åtgärden inte föreslås.</t>
      </text>
    </comment>
    <comment ref="C4" authorId="0" shapeId="0">
      <text>
        <t>Lars Abrahamsson:
Areauppgiften avser ofta 
 A-temp. Area=1 avser normalt 1 kvadratmeter vägg /tak eller 1 hus</t>
      </text>
    </comment>
    <comment ref="D5" authorId="0" shapeId="0">
      <text>
        <t>Lars Abrahamsson:
Energiprisutveckling och kalkylränta skall båda vara antingen nominella eller reala. För mer info se under Dokument på hemsidan</t>
      </text>
    </comment>
    <comment ref="F5" authorId="0" shapeId="0">
      <text>
        <t>Lars Abrahamsson:
Lönsamhetsgränsen uppnås när värdet på Differens (cell D42) är 0. Använd Verktyg/ Målsökning.
Målcell: D42 Värde: 0
Justerbar cell: C5, gå till denna cell!
Värdet i den justerbara cellen ändras nu till 7,0% Kom ihåg detta värde (7,0%) samt tryck Avbryt. Skriv in värdet 7,0% i cell E5.
(Som ett alternativ kan du ändra direkt i ruta C 5  till dess värdet i cell D42 är (nära)  0. Glöm då inte att ändra tillbaka till det ursprungliga värdena när du skrivit in internräntan i ruta E5</t>
      </text>
    </comment>
    <comment ref="F6" authorId="0" shapeId="0">
      <text>
        <t>Lars:
Investeringskostnaden delat med värdet av årlig besparing</t>
      </text>
    </comment>
    <comment ref="C9" authorId="0" shapeId="0">
      <text>
        <t>Lars Abrahamsson:
Det rörliga energipriset är ofta det som påverkas av en energiåtgärd. Om fasta eller sk halvfasta kostnader påverkas kan Edkalkyl behöva modifieras</t>
      </text>
    </comment>
    <comment ref="F20" authorId="0" shapeId="0">
      <text>
        <t>Lars Abrahamsson:
Detta är den högsta godtagbara investeringskostnaden om investeringen skall vara lönsam</t>
      </text>
    </comment>
  </commentList>
</comments>
</file>

<file path=xl/comments/comment18.xml><?xml version="1.0" encoding="utf-8"?>
<comments xmlns="http://schemas.openxmlformats.org/spreadsheetml/2006/main">
  <authors>
    <author>Unknown Author</author>
  </authors>
  <commentList>
    <comment ref="A1" authorId="0" shapeId="0">
      <text>
        <t>Skriv åtgärdens namn här. Namnet visas i Sammanfattning och i Gripen-fliken.</t>
      </text>
    </comment>
    <comment ref="B2" authorId="0" shapeId="0">
      <text>
        <t>Sätt "Ja" för att ta med denna åtgärd i sammanfattningsfliken (investering, energi- och kostnadsbesparing). Sätt "Nej" om åtgärden inte föreslås.</t>
      </text>
    </comment>
    <comment ref="C4" authorId="0" shapeId="0">
      <text>
        <t>Lars Abrahamsson:
Areauppgiften avser ofta 
 A-temp. Area=1 avser normalt 1 kvadratmeter vägg /tak eller 1 hus</t>
      </text>
    </comment>
    <comment ref="D5" authorId="0" shapeId="0">
      <text>
        <t>Lars Abrahamsson:
Energiprisutveckling och kalkylränta skall båda vara antingen nominella eller reala. För mer info se under Dokument på hemsidan</t>
      </text>
    </comment>
    <comment ref="F5" authorId="0" shapeId="0">
      <text>
        <t>Lars Abrahamsson:
Lönsamhetsgränsen uppnås när värdet på Differens (cell D42) är 0. Använd Verktyg/ Målsökning.
Målcell: D42 Värde: 0
Justerbar cell: C5, gå till denna cell!
Värdet i den justerbara cellen ändras nu till 7,0% Kom ihåg detta värde (7,0%) samt tryck Avbryt. Skriv in värdet 7,0% i cell E5.
(Som ett alternativ kan du ändra direkt i ruta C 5  till dess värdet i cell D42 är (nära)  0. Glöm då inte att ändra tillbaka till det ursprungliga värdena när du skrivit in internräntan i ruta E5</t>
      </text>
    </comment>
    <comment ref="F6" authorId="0" shapeId="0">
      <text>
        <t>Lars:
Investeringskostnaden delat med värdet av årlig besparing</t>
      </text>
    </comment>
    <comment ref="C9" authorId="0" shapeId="0">
      <text>
        <t>Lars Abrahamsson:
Det rörliga energipriset är ofta det som påverkas av en energiåtgärd. Om fasta eller sk halvfasta kostnader påverkas kan Edkalkyl behöva modifieras</t>
      </text>
    </comment>
    <comment ref="K11" authorId="0" shapeId="0">
      <text>
        <t>Ändrad köpt energi för uppvärmning och varmvatten, prissatt som energislag 1 (C8–C10). Minskning anges med minus.</t>
      </text>
    </comment>
    <comment ref="K12" authorId="0" shapeId="0">
      <text>
        <t>Ändrad köpt el, prissatt som energislag 2 (C11–C13). Minskning anges med minus.</t>
      </text>
    </comment>
    <comment ref="F20" authorId="0" shapeId="0">
      <text>
        <t>Lars Abrahamsson:
Detta är den högsta godtagbara investeringskostnaden om investeringen skall vara lönsam</t>
      </text>
    </comment>
    <comment ref="K23" authorId="0" shapeId="0">
      <text>
        <t>Utgångsläget påverkar inte besparingen, bara skillnaden före/efter räknas. Fastighetselen används som referens.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drawing1.xml><?xml version="1.0" encoding="utf-8"?>
<wsDr xmlns="http://schemas.openxmlformats.org/drawingml/2006/spreadsheetDrawing">
  <twoCellAnchor editAs="oneCell">
    <from>
      <col>4</col>
      <colOff>596880</colOff>
      <row>2</row>
      <rowOff>87120</rowOff>
    </from>
    <to>
      <col>4</col>
      <colOff>1203480</colOff>
      <row>5</row>
      <rowOff>16920</rowOff>
    </to>
    <pic>
      <nvPicPr>
        <cNvPr id="2" name="Bildobjekt 3" descr="HSB_Farg_Sv.png"/>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385240" y="649080"/>
          <a:ext cx="606600" cy="387000"/>
        </a:xfrm>
        <a:prstGeom xmlns:a="http://schemas.openxmlformats.org/drawingml/2006/main" prst="rect">
          <avLst/>
        </a:prstGeom>
        <a:ln xmlns:a="http://schemas.openxmlformats.org/drawingml/2006/main" w="0">
          <a:noFill/>
          <a:prstDash val="solid"/>
        </a:ln>
      </spPr>
    </pic>
    <clientData/>
  </twoCellAnchor>
</wsDr>
</file>

<file path=xl/drawings/drawing2.xml><?xml version="1.0" encoding="utf-8"?>
<wsDr xmlns="http://schemas.openxmlformats.org/drawingml/2006/spreadsheetDrawing">
  <twoCellAnchor editAs="oneCell">
    <from>
      <col>14</col>
      <colOff>237960</colOff>
      <row>0</row>
      <rowOff>0</rowOff>
    </from>
    <to>
      <col>32</col>
      <colOff>127080</colOff>
      <row>38</row>
      <rowOff>185040</rowOff>
    </to>
    <pic>
      <nvPicPr>
        <cNvPr id="2" name="Bildobjekt 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5641640" y="0"/>
          <a:ext cx="11376360" cy="7452720"/>
        </a:xfrm>
        <a:prstGeom xmlns:a="http://schemas.openxmlformats.org/drawingml/2006/main" prst="rect">
          <avLst/>
        </a:prstGeom>
        <a:ln xmlns:a="http://schemas.openxmlformats.org/drawingml/2006/main" w="0">
          <a:noFill/>
          <a:prstDash val="solid"/>
        </a:ln>
      </spPr>
    </pic>
    <clientData/>
  </twoCellAnchor>
</wsDr>
</file>

<file path=xl/drawings/drawing3.xml><?xml version="1.0" encoding="utf-8"?>
<wsDr xmlns="http://schemas.openxmlformats.org/drawingml/2006/spreadsheetDrawing">
  <twoCellAnchor editAs="oneCell">
    <from>
      <col>14</col>
      <colOff>542880</colOff>
      <row>2</row>
      <rowOff>66600</rowOff>
    </from>
    <to>
      <col>22</col>
      <colOff>299520</colOff>
      <row>26</row>
      <rowOff>23400</rowOff>
    </to>
    <pic>
      <nvPicPr>
        <cNvPr id="2" name="Bildobjekt 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5946560" y="952560"/>
          <a:ext cx="4862160" cy="4576320"/>
        </a:xfrm>
        <a:prstGeom xmlns:a="http://schemas.openxmlformats.org/drawingml/2006/main" prst="rect">
          <avLst/>
        </a:prstGeom>
        <a:ln xmlns:a="http://schemas.openxmlformats.org/drawingml/2006/main" w="0">
          <a:noFill/>
          <a:prstDash val="solid"/>
        </a:ln>
      </spPr>
    </pic>
    <clientData/>
  </twoCellAnchor>
</wsDr>
</file>

<file path=xl/drawings/drawing4.xml><?xml version="1.0" encoding="utf-8"?>
<wsDr xmlns="http://schemas.openxmlformats.org/drawingml/2006/spreadsheetDrawing">
  <twoCellAnchor editAs="oneCell">
    <from>
      <col>18</col>
      <colOff>200160</colOff>
      <row>0</row>
      <rowOff>0</rowOff>
    </from>
    <to>
      <col>36</col>
      <colOff>41760</colOff>
      <row>38</row>
      <rowOff>13320</rowOff>
    </to>
    <pic>
      <nvPicPr>
        <cNvPr id="3" name="Bildobjekt 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8156600" y="0"/>
          <a:ext cx="11328840" cy="78811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name="Office-tema">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1000"/>
              </a:schemeClr>
            </a:gs>
            <a:gs pos="68000">
              <a:schemeClr val="phClr">
                <a:tint val="77000"/>
              </a:schemeClr>
            </a:gs>
            <a:gs pos="81000">
              <a:schemeClr val="phClr">
                <a:tint val="79000"/>
              </a:schemeClr>
            </a:gs>
            <a:gs pos="86000">
              <a:schemeClr val="phClr">
                <a:tint val="73000"/>
              </a:schemeClr>
            </a:gs>
            <a:gs pos="100000">
              <a:schemeClr val="phClr">
                <a:tint val="35000"/>
              </a:schemeClr>
            </a:gs>
          </a:gsLst>
          <a:lin ang="5400000" scaled="1"/>
          <a:tileRect/>
        </a:gradFill>
        <a:gradFill>
          <a:gsLst>
            <a:gs pos="0">
              <a:schemeClr val="phClr">
                <a:tint val="73000"/>
              </a:schemeClr>
            </a:gs>
            <a:gs pos="25000">
              <a:schemeClr val="phClr">
                <a:tint val="96000"/>
                <a:shade val="80000"/>
              </a:schemeClr>
            </a:gs>
            <a:gs pos="38000">
              <a:schemeClr val="phClr">
                <a:tint val="96000"/>
                <a:shade val="59000"/>
              </a:schemeClr>
            </a:gs>
            <a:gs pos="55000">
              <a:schemeClr val="phClr">
                <a:shade val="57000"/>
              </a:schemeClr>
            </a:gs>
            <a:gs pos="80000">
              <a:schemeClr val="phClr">
                <a:shade val="56000"/>
              </a:schemeClr>
            </a:gs>
            <a:gs pos="88000">
              <a:schemeClr val="phClr">
                <a:shade val="63000"/>
              </a:schemeClr>
            </a:gs>
            <a:gs pos="100000">
              <a:schemeClr val="phClr">
                <a:tint val="99550"/>
              </a:schemeClr>
            </a:gs>
          </a:gsLst>
          <a:lin ang="5400000" scaled="1"/>
          <a:tileRect/>
        </a:gradFill>
      </a:fillStyleLst>
      <a:lnStyleLst>
        <a:ln w="9525" cap="flat" cmpd="sng" algn="ctr">
          <a:prstDash val="solid"/>
        </a:ln>
        <a:ln w="19050" cap="flat" cmpd="sng" algn="ctr">
          <a:prstDash val="solid"/>
        </a:ln>
        <a:ln w="1905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hyperlink" Target="mailto:peter.persson@hsb.se" TargetMode="External" Id="rId1"/><Relationship Type="http://schemas.openxmlformats.org/officeDocument/2006/relationships/drawing" Target="/xl/drawings/drawing1.xml" Id="rId2"/><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9.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0.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1.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5.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6.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7.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8.xml.rels><Relationships xmlns="http://schemas.openxmlformats.org/package/2006/relationships"><Relationship Type="http://schemas.openxmlformats.org/officeDocument/2006/relationships/drawing" Target="/xl/drawings/drawing2.xml" Id="rId1"/><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9.xml.rels><Relationships xmlns="http://schemas.openxmlformats.org/package/2006/relationships"><Relationship Type="http://schemas.openxmlformats.org/officeDocument/2006/relationships/drawing" Target="/xl/drawings/drawing3.xml" Id="rId1"/><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20.xml.rels><Relationships xmlns="http://schemas.openxmlformats.org/package/2006/relationships"><Relationship Type="http://schemas.openxmlformats.org/officeDocument/2006/relationships/drawing" Target="/xl/drawings/drawing4.xml" Id="rId1"/><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21.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22.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23.xml.rels><Relationships xmlns="http://schemas.openxmlformats.org/package/2006/relationships"><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24.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_rels/sheet25.xml.rels><Relationships xmlns="http://schemas.openxmlformats.org/package/2006/relationships"><Relationship Type="http://schemas.openxmlformats.org/officeDocument/2006/relationships/comments" Target="/xl/comments/comment18.xml" Id="comments"/><Relationship Type="http://schemas.openxmlformats.org/officeDocument/2006/relationships/vmlDrawing" Target="/xl/drawings/commentsDrawing18.vml" Id="anysvml"/></Relationships>
</file>

<file path=xl/worksheets/sheet1.xml><?xml version="1.0" encoding="utf-8"?>
<worksheet xmlns="http://schemas.openxmlformats.org/spreadsheetml/2006/main">
  <sheetPr>
    <outlinePr summaryBelow="1" summaryRight="1"/>
    <pageSetUpPr/>
  </sheetPr>
  <dimension ref="A1:B15"/>
  <sheetViews>
    <sheetView zoomScaleNormal="100" workbookViewId="0">
      <selection activeCell="E4" sqref="E4"/>
    </sheetView>
  </sheetViews>
  <sheetFormatPr baseColWidth="8" defaultColWidth="8.7265625" defaultRowHeight="14.5"/>
  <cols>
    <col width="6" customWidth="1" min="1" max="1"/>
    <col width="110" customWidth="1" min="2" max="2"/>
  </cols>
  <sheetData>
    <row r="1" ht="21.75" customHeight="1">
      <c r="A1" s="15" t="inlineStr">
        <is>
          <t>Arbetsgång energideklaration enligt BFS 2026:9 och 2026:10</t>
        </is>
      </c>
    </row>
    <row r="3" ht="39.75" customHeight="1">
      <c r="A3" s="16" t="n">
        <v>1</v>
      </c>
      <c r="B3" s="17" t="inlineStr">
        <is>
          <t>Byggnader: fyll i fastighet, kommun och mätperiod. En kolumn per fysisk byggnad med typ, antal lägenheter, A-temp för bostäder, lokaler per kategori och varmgarage.</t>
        </is>
      </c>
    </row>
    <row r="4" ht="39.75" customHeight="1">
      <c r="A4" s="16" t="n">
        <v>2</v>
      </c>
      <c r="B4" s="17" t="inlineStr">
        <is>
          <t>Mätdata: lägg in mätare för värme, tappvarmvatten och fjärrkyla och vilken byggnad de försörjer (Alla för gemensam central). Välj ändamål: kombinerad mätare (värme och tappvarmvatten) fördelas via vattenförbrukningen, medan separata mätare för uppvärmning respektive tappvarmvatten inkl. VVC (vanligt i nyproduktion) används direkt. Ange vattenmätare, andel varmvattenproduktion och årsverkningsgrad per värmekälla samt kulvertförluster.</t>
        </is>
      </c>
    </row>
    <row r="5" ht="39.75" customHeight="1">
      <c r="A5" s="16" t="n">
        <v>3</v>
      </c>
      <c r="B5" s="17" t="inlineStr">
        <is>
          <t>El: ange per byggnad köpt el från fastighetens elmätare, IMD-el och solceller (kWp, produktion, såld el). Besiktningen fördelar den gemensamma elen på fastighetsel, värmepump, elvärme, kyla, verksamhetsel och el utanför systemgränsen, och den egenanvända solelen fördelas på samma förbrukare. Allt visas i procent och kWh/år.</t>
        </is>
      </c>
    </row>
    <row r="6" ht="39.75" customHeight="1">
      <c r="A6" s="16" t="n">
        <v>4</v>
      </c>
      <c r="B6" s="17" t="inlineStr">
        <is>
          <t>Byggnader: kontrollera fördelningsnycklarna för gemensamma mätare. Ange manuell andel om A-temp eller antal lägenheter inte speglar verkligheten.</t>
        </is>
      </c>
    </row>
    <row r="7" ht="39.75" customHeight="1">
      <c r="A7" s="16" t="n">
        <v>5</v>
      </c>
      <c r="B7" s="17" t="inlineStr">
        <is>
          <t>Besiktningsprotokoll: ange i kolumn F vilken byggnad varje post i avsnitt 9 (verksamhetsel), 10 (fastighetsel) och 11 (elvärme) hör till. Upp till fyra tvättstugor (12.1–12.4) placeras på samma sätt. Besiktningens värden per byggnad används som andelar när den uppmätta elen fördelas i fliken El.</t>
        </is>
      </c>
    </row>
    <row r="8" ht="39.75" customHeight="1">
      <c r="A8" s="16" t="n">
        <v>6</v>
      </c>
      <c r="B8" s="17" t="inlineStr">
        <is>
          <t>Normalisering: ange faktisk innetemperatur, uteluftsflöde, återvinning och personer per lägenhet per byggnad, och välj Ja/Nej för de fyra normaliseringarna.</t>
        </is>
      </c>
    </row>
    <row r="9" ht="39.75" customHeight="1">
      <c r="A9" s="16" t="n">
        <v>7</v>
      </c>
      <c r="B9" s="17" t="inlineStr">
        <is>
          <t>Resultat: kontrollera energiprestandatal och energiklass per byggnad. Ange samma energiindex i Byggnader C10 som Gripen använder för att värdena ska stämma.</t>
        </is>
      </c>
    </row>
    <row r="10" ht="39.75" customHeight="1">
      <c r="A10" s="16" t="n">
        <v>8</v>
      </c>
      <c r="B10" s="17" t="inlineStr">
        <is>
          <t>Gripen: välj byggnad i B4 och för över de grå cellerna avsnitt för avsnitt. Upprepa för varje byggnad.</t>
        </is>
      </c>
    </row>
    <row r="11" ht="39.75" customHeight="1">
      <c r="A11" s="16" t="n">
        <v>9</v>
      </c>
      <c r="B11" s="17" t="inlineStr">
        <is>
          <t>Åtgärdsflikarna fungerar för hela fastigheten. Fliken Övrig åtgärd används för andra åtgärder. Besparingen fördelas per byggnad i fliken Gripen.</t>
        </is>
      </c>
    </row>
    <row r="12" ht="39.75" customHeight="1">
      <c r="A12" s="16" t="n">
        <v>10</v>
      </c>
      <c r="B12" s="17" t="inlineStr">
        <is>
          <t>Fliken Tidigare deklarationer fylls av webbverktyget som läser in gamla energideklarationer. Kontrollera A-temp, verksamhetsfördelning och byggnadstyp mot de nya kategorierna.</t>
        </is>
      </c>
    </row>
    <row r="13" ht="27.75" customHeight="1">
      <c r="A13" s="16" t="n"/>
      <c r="B13" s="17" t="n"/>
    </row>
    <row r="15">
      <c r="B15" s="18" t="inlineStr">
        <is>
          <t>Färger: orange = indata, grå = beräknat, grön = hämtat från annan flik. Regelvärden finns i fliken Regler BFS 2026.</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R30"/>
  <sheetViews>
    <sheetView zoomScale="160" zoomScaleNormal="160" workbookViewId="0">
      <selection activeCell="B2" sqref="B2"/>
    </sheetView>
  </sheetViews>
  <sheetFormatPr baseColWidth="8" defaultColWidth="8.7265625" defaultRowHeight="14.5"/>
  <cols>
    <col width="52.40625" customWidth="1" min="1" max="1"/>
    <col width="15" customWidth="1" min="2" max="3"/>
    <col width="16" customWidth="1" min="4" max="5"/>
    <col width="15" customWidth="1" min="6" max="6"/>
    <col width="14" customWidth="1" min="7" max="7"/>
    <col width="15.58984375" customWidth="1" min="8" max="8"/>
    <col hidden="1" width="40" customWidth="1" min="11" max="11"/>
    <col hidden="1" width="13" customWidth="1" min="12" max="18"/>
  </cols>
  <sheetData>
    <row r="1" ht="19.5" customHeight="1">
      <c r="A1" s="19" t="inlineStr">
        <is>
          <t>Sammanfattning – Energideklaration</t>
        </is>
      </c>
    </row>
    <row r="2" ht="15" customHeight="1">
      <c r="A2" s="20" t="inlineStr">
        <is>
          <t>Byggnad</t>
        </is>
      </c>
      <c r="B2">
        <f>IF(Besiktningsprotokoll!B4="","",Besiktningsprotokoll!B4)</f>
        <v/>
      </c>
    </row>
    <row r="3" ht="15" customHeight="1">
      <c r="A3" t="inlineStr">
        <is>
          <t>Adress</t>
        </is>
      </c>
      <c r="B3">
        <f>IF(Besiktningsprotokoll!B5="","",Besiktningsprotokoll!B5)</f>
        <v/>
      </c>
    </row>
    <row r="4" ht="15" customHeight="1">
      <c r="A4" t="inlineStr">
        <is>
          <t>Utförd av</t>
        </is>
      </c>
      <c r="B4">
        <f>Besiktningsprotokoll!D3&amp;" ("&amp;Besiktningsprotokoll!D4&amp;")"</f>
        <v/>
      </c>
    </row>
    <row r="6" ht="15.75" customHeight="1">
      <c r="A6" s="21" t="inlineStr">
        <is>
          <t>1. Nuvarande energianvändning</t>
        </is>
      </c>
    </row>
    <row r="7" ht="15" customHeight="1">
      <c r="A7" s="22" t="inlineStr">
        <is>
          <t>Kategori</t>
        </is>
      </c>
      <c r="B7" s="22" t="inlineStr">
        <is>
          <t>kWh/år</t>
        </is>
      </c>
      <c r="C7" s="22" t="inlineStr">
        <is>
          <t>Andel</t>
        </is>
      </c>
    </row>
    <row r="8" ht="15" customHeight="1">
      <c r="A8" s="23" t="inlineStr">
        <is>
          <t>Värme (uppvärmning, normaliserad, ej klimatkorrigerad)</t>
        </is>
      </c>
      <c r="B8" s="299">
        <f>Normalisering!I120</f>
        <v/>
      </c>
      <c r="C8" s="25">
        <f>B8/$B$12</f>
        <v/>
      </c>
    </row>
    <row r="9" ht="15" customHeight="1">
      <c r="A9" s="23" t="inlineStr">
        <is>
          <t>Varmvatten (normaliserat)</t>
        </is>
      </c>
      <c r="B9" s="299">
        <f>Normalisering!I132</f>
        <v/>
      </c>
      <c r="C9" s="25">
        <f>B9/$B$12</f>
        <v/>
      </c>
    </row>
    <row r="10" ht="15" customHeight="1">
      <c r="A10" s="23" t="inlineStr">
        <is>
          <t>Fastighetsel inom systemgräns (netto)</t>
        </is>
      </c>
      <c r="B10" s="299">
        <f>Normalisering!I139</f>
        <v/>
      </c>
      <c r="C10" s="25">
        <f>B10/$B$12</f>
        <v/>
      </c>
    </row>
    <row r="11" ht="15" customHeight="1">
      <c r="A11" s="23" t="inlineStr">
        <is>
          <t>Verksamhetsel</t>
        </is>
      </c>
      <c r="B11" s="299">
        <f>Normalisering!I144</f>
        <v/>
      </c>
      <c r="C11" s="25">
        <f>B11/$B$12</f>
        <v/>
      </c>
    </row>
    <row r="12" ht="15" customHeight="1">
      <c r="A12" s="26" t="inlineStr">
        <is>
          <t>Summa</t>
        </is>
      </c>
      <c r="B12" s="300">
        <f>SUM(B8:B11)</f>
        <v/>
      </c>
      <c r="C12" s="28" t="n">
        <v>1</v>
      </c>
    </row>
    <row r="13" ht="15" customHeight="1">
      <c r="A13" s="29" t="inlineStr">
        <is>
          <t>Summor för hela fastigheten. Resultat per byggnad finns i flikarna Resultat och Gripen.</t>
        </is>
      </c>
    </row>
    <row r="14" ht="15" customHeight="1">
      <c r="A14" s="20" t="inlineStr">
        <is>
          <t>Energiprestandatal fastigheten (kWh/m²,år)</t>
        </is>
      </c>
      <c r="B14" s="30">
        <f>Resultat!I13</f>
        <v/>
      </c>
    </row>
    <row r="15" ht="15" customHeight="1">
      <c r="A15" s="20" t="inlineStr">
        <is>
          <t>Energiklass fastigheten (BFS 2026:10)</t>
        </is>
      </c>
      <c r="B15">
        <f>Resultat!I24</f>
        <v/>
      </c>
    </row>
    <row r="16" ht="15.75" customHeight="1">
      <c r="A16" s="21" t="inlineStr">
        <is>
          <t>2. Föreslagna energiåtgärder</t>
        </is>
      </c>
    </row>
    <row r="17" ht="15" customHeight="1">
      <c r="A17" s="29" t="inlineStr">
        <is>
          <t>Markera "Ja" i respektive åtgärdsflik (cell B2). Aktiverade åtgärder sorteras efter kortast paybacktid. Ej aktiverade åtgärder hamnar sist.</t>
        </is>
      </c>
      <c r="K17" s="16" t="inlineStr">
        <is>
          <t>Hjälptabell i fast ordning (används för sorteringen och fliken Gripen)</t>
        </is>
      </c>
    </row>
    <row r="18" ht="30" customHeight="1">
      <c r="A18" s="31" t="inlineStr">
        <is>
          <t>Åtgärd</t>
        </is>
      </c>
      <c r="B18" s="31" t="inlineStr">
        <is>
          <t>Aktiverad</t>
        </is>
      </c>
      <c r="C18" s="31" t="inlineStr">
        <is>
          <t>Investering (kr)</t>
        </is>
      </c>
      <c r="D18" s="31" t="inlineStr">
        <is>
          <t>Energibesparing (kWh/år)</t>
        </is>
      </c>
      <c r="E18" s="31" t="inlineStr">
        <is>
          <t>Kostnadsbesparing (kr/år)</t>
        </is>
      </c>
      <c r="F18" s="31" t="inlineStr">
        <is>
          <t>Paybacktid (år)</t>
        </is>
      </c>
      <c r="G18" s="31" t="inlineStr">
        <is>
          <t>Lönsamhet</t>
        </is>
      </c>
      <c r="H18" s="31" t="inlineStr">
        <is>
          <t>Kommentar</t>
        </is>
      </c>
      <c r="K18" s="32" t="inlineStr">
        <is>
          <t>Åtgärd</t>
        </is>
      </c>
      <c r="L18" s="32" t="inlineStr">
        <is>
          <t>Aktiverad</t>
        </is>
      </c>
      <c r="M18" s="32" t="inlineStr">
        <is>
          <t>Investering (kr)</t>
        </is>
      </c>
      <c r="N18" s="32" t="inlineStr">
        <is>
          <t>Energibesparing (kWh/år)</t>
        </is>
      </c>
      <c r="O18" s="32" t="inlineStr">
        <is>
          <t>Kostnadsbesparing (kr/år)</t>
        </is>
      </c>
      <c r="P18" s="32" t="inlineStr">
        <is>
          <t>Paybacktid (år)</t>
        </is>
      </c>
      <c r="Q18" s="32" t="inlineStr">
        <is>
          <t>Lönsamhet</t>
        </is>
      </c>
      <c r="R18" s="16" t="inlineStr">
        <is>
          <t>Sorteringsnyckel</t>
        </is>
      </c>
    </row>
    <row r="19" ht="33.75" customHeight="1">
      <c r="A19" s="23">
        <f>IFERROR(IF(INDEX($K$19:$K$29,MATCH(SMALL($R$19:$R$29,1),$R$19:$R$29,0))="","",INDEX($K$19:$K$29,MATCH(SMALL($R$19:$R$29,1),$R$19:$R$29,0))),"")</f>
        <v/>
      </c>
      <c r="B19" s="33">
        <f>IFERROR(IF(INDEX($L$19:$L$29,MATCH(SMALL($R$19:$R$29,1),$R$19:$R$29,0))="","",INDEX($L$19:$L$29,MATCH(SMALL($R$19:$R$29,1),$R$19:$R$29,0))),"")</f>
        <v/>
      </c>
      <c r="C19" s="301">
        <f>IFERROR(IF(INDEX($M$19:$M$29,MATCH(SMALL($R$19:$R$29,1),$R$19:$R$29,0))="","",INDEX($M$19:$M$29,MATCH(SMALL($R$19:$R$29,1),$R$19:$R$29,0))),"")</f>
        <v/>
      </c>
      <c r="D19" s="299">
        <f>IFERROR(IF(INDEX($N$19:$N$29,MATCH(SMALL($R$19:$R$29,1),$R$19:$R$29,0))="","",INDEX($N$19:$N$29,MATCH(SMALL($R$19:$R$29,1),$R$19:$R$29,0))),"")</f>
        <v/>
      </c>
      <c r="E19" s="301">
        <f>IFERROR(IF(INDEX($O$19:$O$29,MATCH(SMALL($R$19:$R$29,1),$R$19:$R$29,0))="","",INDEX($O$19:$O$29,MATCH(SMALL($R$19:$R$29,1),$R$19:$R$29,0))),"")</f>
        <v/>
      </c>
      <c r="F19" s="302">
        <f>IFERROR(IF(INDEX($P$19:$P$29,MATCH(SMALL($R$19:$R$29,1),$R$19:$R$29,0))="","",INDEX($P$19:$P$29,MATCH(SMALL($R$19:$R$29,1),$R$19:$R$29,0))),"")</f>
        <v/>
      </c>
      <c r="G19" s="33">
        <f>IFERROR(IF(INDEX($Q$19:$Q$29,MATCH(SMALL($R$19:$R$29,1),$R$19:$R$29,0))="","",INDEX($Q$19:$Q$29,MATCH(SMALL($R$19:$R$29,1),$R$19:$R$29,0))),"")</f>
        <v/>
      </c>
      <c r="H19" s="36" t="inlineStr">
        <is>
          <t>Utförs i samband med fasadrenovering</t>
        </is>
      </c>
      <c r="K19" s="37">
        <f>'Installera bergvärme'!A1</f>
        <v/>
      </c>
      <c r="L19" s="37">
        <f>'Installera bergvärme'!B2</f>
        <v/>
      </c>
      <c r="M19" s="303">
        <f>IFERROR(IF('Installera bergvärme'!B2="Ja",'Installera bergvärme'!D20,""),"")</f>
        <v/>
      </c>
      <c r="N19" s="304">
        <f>IFERROR(IF('Installera bergvärme'!B2="Ja",'Installera bergvärme'!C35-'Installera bergvärme'!D35,""),"")</f>
        <v/>
      </c>
      <c r="O19" s="303">
        <f>IFERROR(IF('Installera bergvärme'!B2="Ja",'Installera bergvärme'!C34-'Installera bergvärme'!D34,""),"")</f>
        <v/>
      </c>
      <c r="P19" s="305">
        <f>IFERROR(IF('Installera bergvärme'!B2="Ja",'Installera bergvärme'!E6,""),"")</f>
        <v/>
      </c>
      <c r="Q19" s="41">
        <f>IFERROR(IF('Installera bergvärme'!B2="Ja",'Installera bergvärme'!D43,""),"")</f>
        <v/>
      </c>
      <c r="R19" s="42">
        <f>IF(L19="Ja",IF(AND(ISNUMBER(P19),N(P19)&gt;=0),P19,1000000),2000000)+ROW()/1000000</f>
        <v/>
      </c>
    </row>
    <row r="20" ht="69" customHeight="1">
      <c r="A20" s="23">
        <f>IFERROR(IF(INDEX($K$19:$K$29,MATCH(SMALL($R$19:$R$29,2),$R$19:$R$29,0))="","",INDEX($K$19:$K$29,MATCH(SMALL($R$19:$R$29,2),$R$19:$R$29,0))),"")</f>
        <v/>
      </c>
      <c r="B20" s="33">
        <f>IFERROR(IF(INDEX($L$19:$L$29,MATCH(SMALL($R$19:$R$29,2),$R$19:$R$29,0))="","",INDEX($L$19:$L$29,MATCH(SMALL($R$19:$R$29,2),$R$19:$R$29,0))),"")</f>
        <v/>
      </c>
      <c r="C20" s="301">
        <f>IFERROR(IF(INDEX($M$19:$M$29,MATCH(SMALL($R$19:$R$29,2),$R$19:$R$29,0))="","",INDEX($M$19:$M$29,MATCH(SMALL($R$19:$R$29,2),$R$19:$R$29,0))),"")</f>
        <v/>
      </c>
      <c r="D20" s="299">
        <f>IFERROR(IF(INDEX($N$19:$N$29,MATCH(SMALL($R$19:$R$29,2),$R$19:$R$29,0))="","",INDEX($N$19:$N$29,MATCH(SMALL($R$19:$R$29,2),$R$19:$R$29,0))),"")</f>
        <v/>
      </c>
      <c r="E20" s="301">
        <f>IFERROR(IF(INDEX($O$19:$O$29,MATCH(SMALL($R$19:$R$29,2),$R$19:$R$29,0))="","",INDEX($O$19:$O$29,MATCH(SMALL($R$19:$R$29,2),$R$19:$R$29,0))),"")</f>
        <v/>
      </c>
      <c r="F20" s="302">
        <f>IFERROR(IF(INDEX($P$19:$P$29,MATCH(SMALL($R$19:$R$29,2),$R$19:$R$29,0))="","",INDEX($P$19:$P$29,MATCH(SMALL($R$19:$R$29,2),$R$19:$R$29,0))),"")</f>
        <v/>
      </c>
      <c r="G20" s="33">
        <f>IFERROR(IF(INDEX($Q$19:$Q$29,MATCH(SMALL($R$19:$R$29,2),$R$19:$R$29,0))="","",INDEX($Q$19:$Q$29,MATCH(SMALL($R$19:$R$29,2),$R$19:$R$29,0))),"")</f>
        <v/>
      </c>
      <c r="H20" s="36" t="inlineStr">
        <is>
          <t>Utförs med framtida underhållsbyte av frånluftsfläktar</t>
        </is>
      </c>
      <c r="K20" s="37">
        <f>'Injustering av värmesystem'!A1</f>
        <v/>
      </c>
      <c r="L20" s="37">
        <f>'Injustering av värmesystem'!B2</f>
        <v/>
      </c>
      <c r="M20" s="303">
        <f>IFERROR(IF('Injustering av värmesystem'!B2="Ja",'Injustering av värmesystem'!D20,""),"")</f>
        <v/>
      </c>
      <c r="N20" s="304">
        <f>IFERROR(IF('Injustering av värmesystem'!B2="Ja",'Injustering av värmesystem'!C35-'Injustering av värmesystem'!D35,""),"")</f>
        <v/>
      </c>
      <c r="O20" s="303">
        <f>IFERROR(IF('Injustering av värmesystem'!B2="Ja",'Injustering av värmesystem'!C34-'Injustering av värmesystem'!D34,""),"")</f>
        <v/>
      </c>
      <c r="P20" s="305">
        <f>IFERROR(IF('Injustering av värmesystem'!B2="Ja",'Injustering av värmesystem'!E6,""),"")</f>
        <v/>
      </c>
      <c r="Q20" s="41">
        <f>IFERROR(IF('Injustering av värmesystem'!B2="Ja",'Injustering av värmesystem'!D43,""),"")</f>
        <v/>
      </c>
      <c r="R20" s="42">
        <f>IF(L20="Ja",IF(AND(ISNUMBER(P20),N(P20)&gt;=0),P20,1000000),2000000)+ROW()/1000000</f>
        <v/>
      </c>
    </row>
    <row r="21" ht="15" customHeight="1">
      <c r="A21" s="23">
        <f>IFERROR(IF(INDEX($K$19:$K$29,MATCH(SMALL($R$19:$R$29,3),$R$19:$R$29,0))="","",INDEX($K$19:$K$29,MATCH(SMALL($R$19:$R$29,3),$R$19:$R$29,0))),"")</f>
        <v/>
      </c>
      <c r="B21" s="33">
        <f>IFERROR(IF(INDEX($L$19:$L$29,MATCH(SMALL($R$19:$R$29,3),$R$19:$R$29,0))="","",INDEX($L$19:$L$29,MATCH(SMALL($R$19:$R$29,3),$R$19:$R$29,0))),"")</f>
        <v/>
      </c>
      <c r="C21" s="301">
        <f>IFERROR(IF(INDEX($M$19:$M$29,MATCH(SMALL($R$19:$R$29,3),$R$19:$R$29,0))="","",INDEX($M$19:$M$29,MATCH(SMALL($R$19:$R$29,3),$R$19:$R$29,0))),"")</f>
        <v/>
      </c>
      <c r="D21" s="299">
        <f>IFERROR(IF(INDEX($N$19:$N$29,MATCH(SMALL($R$19:$R$29,3),$R$19:$R$29,0))="","",INDEX($N$19:$N$29,MATCH(SMALL($R$19:$R$29,3),$R$19:$R$29,0))),"")</f>
        <v/>
      </c>
      <c r="E21" s="301">
        <f>IFERROR(IF(INDEX($O$19:$O$29,MATCH(SMALL($R$19:$R$29,3),$R$19:$R$29,0))="","",INDEX($O$19:$O$29,MATCH(SMALL($R$19:$R$29,3),$R$19:$R$29,0))),"")</f>
        <v/>
      </c>
      <c r="F21" s="302">
        <f>IFERROR(IF(INDEX($P$19:$P$29,MATCH(SMALL($R$19:$R$29,3),$R$19:$R$29,0))="","",INDEX($P$19:$P$29,MATCH(SMALL($R$19:$R$29,3),$R$19:$R$29,0))),"")</f>
        <v/>
      </c>
      <c r="G21" s="33">
        <f>IFERROR(IF(INDEX($Q$19:$Q$29,MATCH(SMALL($R$19:$R$29,3),$R$19:$R$29,0))="","",INDEX($Q$19:$Q$29,MATCH(SMALL($R$19:$R$29,3),$R$19:$R$29,0))),"")</f>
        <v/>
      </c>
      <c r="K21" s="37">
        <f>'Styrsystem för värme'!A1</f>
        <v/>
      </c>
      <c r="L21" s="37">
        <f>'Styrsystem för värme'!B2</f>
        <v/>
      </c>
      <c r="M21" s="303">
        <f>IFERROR(IF('Styrsystem för värme'!B2="Ja",'Styrsystem för värme'!D20,""),"")</f>
        <v/>
      </c>
      <c r="N21" s="304">
        <f>IFERROR(IF('Styrsystem för värme'!B2="Ja",'Styrsystem för värme'!C35-'Styrsystem för värme'!D35,""),"")</f>
        <v/>
      </c>
      <c r="O21" s="303">
        <f>IFERROR(IF('Styrsystem för värme'!B2="Ja",'Styrsystem för värme'!C34-'Styrsystem för värme'!D34,""),"")</f>
        <v/>
      </c>
      <c r="P21" s="305">
        <f>IFERROR(IF('Styrsystem för värme'!B2="Ja",'Styrsystem för värme'!E6,""),"")</f>
        <v/>
      </c>
      <c r="Q21" s="41">
        <f>IFERROR(IF('Styrsystem för värme'!B2="Ja",'Styrsystem för värme'!D43,""),"")</f>
        <v/>
      </c>
      <c r="R21" s="42">
        <f>IF(L21="Ja",IF(AND(ISNUMBER(P21),N(P21)&gt;=0),P21,1000000),2000000)+ROW()/1000000</f>
        <v/>
      </c>
    </row>
    <row r="22" ht="15" customHeight="1">
      <c r="A22" s="23">
        <f>IFERROR(IF(INDEX($K$19:$K$29,MATCH(SMALL($R$19:$R$29,4),$R$19:$R$29,0))="","",INDEX($K$19:$K$29,MATCH(SMALL($R$19:$R$29,4),$R$19:$R$29,0))),"")</f>
        <v/>
      </c>
      <c r="B22" s="33">
        <f>IFERROR(IF(INDEX($L$19:$L$29,MATCH(SMALL($R$19:$R$29,4),$R$19:$R$29,0))="","",INDEX($L$19:$L$29,MATCH(SMALL($R$19:$R$29,4),$R$19:$R$29,0))),"")</f>
        <v/>
      </c>
      <c r="C22" s="301">
        <f>IFERROR(IF(INDEX($M$19:$M$29,MATCH(SMALL($R$19:$R$29,4),$R$19:$R$29,0))="","",INDEX($M$19:$M$29,MATCH(SMALL($R$19:$R$29,4),$R$19:$R$29,0))),"")</f>
        <v/>
      </c>
      <c r="D22" s="299">
        <f>IFERROR(IF(INDEX($N$19:$N$29,MATCH(SMALL($R$19:$R$29,4),$R$19:$R$29,0))="","",INDEX($N$19:$N$29,MATCH(SMALL($R$19:$R$29,4),$R$19:$R$29,0))),"")</f>
        <v/>
      </c>
      <c r="E22" s="301">
        <f>IFERROR(IF(INDEX($O$19:$O$29,MATCH(SMALL($R$19:$R$29,4),$R$19:$R$29,0))="","",INDEX($O$19:$O$29,MATCH(SMALL($R$19:$R$29,4),$R$19:$R$29,0))),"")</f>
        <v/>
      </c>
      <c r="F22" s="302">
        <f>IFERROR(IF(INDEX($P$19:$P$29,MATCH(SMALL($R$19:$R$29,4),$R$19:$R$29,0))="","",INDEX($P$19:$P$29,MATCH(SMALL($R$19:$R$29,4),$R$19:$R$29,0))),"")</f>
        <v/>
      </c>
      <c r="G22" s="33">
        <f>IFERROR(IF(INDEX($Q$19:$Q$29,MATCH(SMALL($R$19:$R$29,4),$R$19:$R$29,0))="","",INDEX($Q$19:$Q$29,MATCH(SMALL($R$19:$R$29,4),$R$19:$R$29,0))),"")</f>
        <v/>
      </c>
      <c r="K22" s="37">
        <f>'Tilläggisolering av vindsbjälk'!A1</f>
        <v/>
      </c>
      <c r="L22" s="37">
        <f>'Tilläggisolering av vindsbjälk'!B2</f>
        <v/>
      </c>
      <c r="M22" s="303">
        <f>IFERROR(IF('Tilläggisolering av vindsbjälk'!B2="Ja",'Tilläggisolering av vindsbjälk'!D20,""),"")</f>
        <v/>
      </c>
      <c r="N22" s="304">
        <f>IFERROR(IF('Tilläggisolering av vindsbjälk'!B2="Ja",'Tilläggisolering av vindsbjälk'!C35-'Tilläggisolering av vindsbjälk'!D35,""),"")</f>
        <v/>
      </c>
      <c r="O22" s="303">
        <f>IFERROR(IF('Tilläggisolering av vindsbjälk'!B2="Ja",'Tilläggisolering av vindsbjälk'!C34-'Tilläggisolering av vindsbjälk'!D34,""),"")</f>
        <v/>
      </c>
      <c r="P22" s="305">
        <f>IFERROR(IF('Tilläggisolering av vindsbjälk'!B2="Ja",'Tilläggisolering av vindsbjälk'!E6,""),"")</f>
        <v/>
      </c>
      <c r="Q22" s="41">
        <f>IFERROR(IF('Tilläggisolering av vindsbjälk'!B2="Ja",'Tilläggisolering av vindsbjälk'!D43,""),"")</f>
        <v/>
      </c>
      <c r="R22" s="42">
        <f>IF(L22="Ja",IF(AND(ISNUMBER(P22),N(P22)&gt;=0),P22,1000000),2000000)+ROW()/1000000</f>
        <v/>
      </c>
    </row>
    <row r="23" ht="15" customHeight="1">
      <c r="A23" s="23">
        <f>IFERROR(IF(INDEX($K$19:$K$29,MATCH(SMALL($R$19:$R$29,5),$R$19:$R$29,0))="","",INDEX($K$19:$K$29,MATCH(SMALL($R$19:$R$29,5),$R$19:$R$29,0))),"")</f>
        <v/>
      </c>
      <c r="B23" s="33">
        <f>IFERROR(IF(INDEX($L$19:$L$29,MATCH(SMALL($R$19:$R$29,5),$R$19:$R$29,0))="","",INDEX($L$19:$L$29,MATCH(SMALL($R$19:$R$29,5),$R$19:$R$29,0))),"")</f>
        <v/>
      </c>
      <c r="C23" s="301">
        <f>IFERROR(IF(INDEX($M$19:$M$29,MATCH(SMALL($R$19:$R$29,5),$R$19:$R$29,0))="","",INDEX($M$19:$M$29,MATCH(SMALL($R$19:$R$29,5),$R$19:$R$29,0))),"")</f>
        <v/>
      </c>
      <c r="D23" s="299">
        <f>IFERROR(IF(INDEX($N$19:$N$29,MATCH(SMALL($R$19:$R$29,5),$R$19:$R$29,0))="","",INDEX($N$19:$N$29,MATCH(SMALL($R$19:$R$29,5),$R$19:$R$29,0))),"")</f>
        <v/>
      </c>
      <c r="E23" s="301">
        <f>IFERROR(IF(INDEX($O$19:$O$29,MATCH(SMALL($R$19:$R$29,5),$R$19:$R$29,0))="","",INDEX($O$19:$O$29,MATCH(SMALL($R$19:$R$29,5),$R$19:$R$29,0))),"")</f>
        <v/>
      </c>
      <c r="F23" s="302">
        <f>IFERROR(IF(INDEX($P$19:$P$29,MATCH(SMALL($R$19:$R$29,5),$R$19:$R$29,0))="","",INDEX($P$19:$P$29,MATCH(SMALL($R$19:$R$29,5),$R$19:$R$29,0))),"")</f>
        <v/>
      </c>
      <c r="G23" s="33">
        <f>IFERROR(IF(INDEX($Q$19:$Q$29,MATCH(SMALL($R$19:$R$29,5),$R$19:$R$29,0))="","",INDEX($Q$19:$Q$29,MATCH(SMALL($R$19:$R$29,5),$R$19:$R$29,0))),"")</f>
        <v/>
      </c>
      <c r="K23" s="37">
        <f>'Byte fönster'!A1</f>
        <v/>
      </c>
      <c r="L23" s="37">
        <f>'Byte fönster'!B2</f>
        <v/>
      </c>
      <c r="M23" s="303">
        <f>IFERROR(IF('Byte fönster'!B2="Ja",'Byte fönster'!D20,""),"")</f>
        <v/>
      </c>
      <c r="N23" s="304">
        <f>IFERROR(IF('Byte fönster'!B2="Ja",'Byte fönster'!C35-'Byte fönster'!D35,""),"")</f>
        <v/>
      </c>
      <c r="O23" s="303">
        <f>IFERROR(IF('Byte fönster'!B2="Ja",'Byte fönster'!C34-'Byte fönster'!D34,""),"")</f>
        <v/>
      </c>
      <c r="P23" s="305">
        <f>IFERROR(IF('Byte fönster'!B2="Ja",'Byte fönster'!E6,""),"")</f>
        <v/>
      </c>
      <c r="Q23" s="41">
        <f>IFERROR(IF('Byte fönster'!B2="Ja",'Byte fönster'!D43,""),"")</f>
        <v/>
      </c>
      <c r="R23" s="42">
        <f>IF(L23="Ja",IF(AND(ISNUMBER(P23),N(P23)&gt;=0),P23,1000000),2000000)+ROW()/1000000</f>
        <v/>
      </c>
    </row>
    <row r="24" ht="15" customHeight="1">
      <c r="A24" s="23">
        <f>IFERROR(IF(INDEX($K$19:$K$29,MATCH(SMALL($R$19:$R$29,6),$R$19:$R$29,0))="","",INDEX($K$19:$K$29,MATCH(SMALL($R$19:$R$29,6),$R$19:$R$29,0))),"")</f>
        <v/>
      </c>
      <c r="B24" s="33">
        <f>IFERROR(IF(INDEX($L$19:$L$29,MATCH(SMALL($R$19:$R$29,6),$R$19:$R$29,0))="","",INDEX($L$19:$L$29,MATCH(SMALL($R$19:$R$29,6),$R$19:$R$29,0))),"")</f>
        <v/>
      </c>
      <c r="C24" s="301">
        <f>IFERROR(IF(INDEX($M$19:$M$29,MATCH(SMALL($R$19:$R$29,6),$R$19:$R$29,0))="","",INDEX($M$19:$M$29,MATCH(SMALL($R$19:$R$29,6),$R$19:$R$29,0))),"")</f>
        <v/>
      </c>
      <c r="D24" s="299">
        <f>IFERROR(IF(INDEX($N$19:$N$29,MATCH(SMALL($R$19:$R$29,6),$R$19:$R$29,0))="","",INDEX($N$19:$N$29,MATCH(SMALL($R$19:$R$29,6),$R$19:$R$29,0))),"")</f>
        <v/>
      </c>
      <c r="E24" s="301">
        <f>IFERROR(IF(INDEX($O$19:$O$29,MATCH(SMALL($R$19:$R$29,6),$R$19:$R$29,0))="","",INDEX($O$19:$O$29,MATCH(SMALL($R$19:$R$29,6),$R$19:$R$29,0))),"")</f>
        <v/>
      </c>
      <c r="F24" s="302">
        <f>IFERROR(IF(INDEX($P$19:$P$29,MATCH(SMALL($R$19:$R$29,6),$R$19:$R$29,0))="","",INDEX($P$19:$P$29,MATCH(SMALL($R$19:$R$29,6),$R$19:$R$29,0))),"")</f>
        <v/>
      </c>
      <c r="G24" s="33">
        <f>IFERROR(IF(INDEX($Q$19:$Q$29,MATCH(SMALL($R$19:$R$29,6),$R$19:$R$29,0))="","",INDEX($Q$19:$Q$29,MATCH(SMALL($R$19:$R$29,6),$R$19:$R$29,0))),"")</f>
        <v/>
      </c>
      <c r="K24" s="37">
        <f>'Tilläggisol fasad'!A1</f>
        <v/>
      </c>
      <c r="L24" s="37">
        <f>'Tilläggisol fasad'!B2</f>
        <v/>
      </c>
      <c r="M24" s="303">
        <f>IFERROR(IF('Tilläggisol fasad'!B2="Ja",'Tilläggisol fasad'!D20,""),"")</f>
        <v/>
      </c>
      <c r="N24" s="304">
        <f>IFERROR(IF('Tilläggisol fasad'!B2="Ja",'Tilläggisol fasad'!C35-'Tilläggisol fasad'!D35,""),"")</f>
        <v/>
      </c>
      <c r="O24" s="303">
        <f>IFERROR(IF('Tilläggisol fasad'!B2="Ja",'Tilläggisol fasad'!C34-'Tilläggisol fasad'!D34,""),"")</f>
        <v/>
      </c>
      <c r="P24" s="305">
        <f>IFERROR(IF('Tilläggisol fasad'!B2="Ja",'Tilläggisol fasad'!E6,""),"")</f>
        <v/>
      </c>
      <c r="Q24" s="41">
        <f>IFERROR(IF('Tilläggisol fasad'!B2="Ja",'Tilläggisol fasad'!D43,""),"")</f>
        <v/>
      </c>
      <c r="R24" s="42">
        <f>IF(L24="Ja",IF(AND(ISNUMBER(P24),N(P24)&gt;=0),P24,1000000),2000000)+ROW()/1000000</f>
        <v/>
      </c>
    </row>
    <row r="25" ht="15" customHeight="1">
      <c r="A25" s="23">
        <f>IFERROR(IF(INDEX($K$19:$K$29,MATCH(SMALL($R$19:$R$29,7),$R$19:$R$29,0))="","",INDEX($K$19:$K$29,MATCH(SMALL($R$19:$R$29,7),$R$19:$R$29,0))),"")</f>
        <v/>
      </c>
      <c r="B25" s="33">
        <f>IFERROR(IF(INDEX($L$19:$L$29,MATCH(SMALL($R$19:$R$29,7),$R$19:$R$29,0))="","",INDEX($L$19:$L$29,MATCH(SMALL($R$19:$R$29,7),$R$19:$R$29,0))),"")</f>
        <v/>
      </c>
      <c r="C25" s="301">
        <f>IFERROR(IF(INDEX($M$19:$M$29,MATCH(SMALL($R$19:$R$29,7),$R$19:$R$29,0))="","",INDEX($M$19:$M$29,MATCH(SMALL($R$19:$R$29,7),$R$19:$R$29,0))),"")</f>
        <v/>
      </c>
      <c r="D25" s="299">
        <f>IFERROR(IF(INDEX($N$19:$N$29,MATCH(SMALL($R$19:$R$29,7),$R$19:$R$29,0))="","",INDEX($N$19:$N$29,MATCH(SMALL($R$19:$R$29,7),$R$19:$R$29,0))),"")</f>
        <v/>
      </c>
      <c r="E25" s="301">
        <f>IFERROR(IF(INDEX($O$19:$O$29,MATCH(SMALL($R$19:$R$29,7),$R$19:$R$29,0))="","",INDEX($O$19:$O$29,MATCH(SMALL($R$19:$R$29,7),$R$19:$R$29,0))),"")</f>
        <v/>
      </c>
      <c r="F25" s="302">
        <f>IFERROR(IF(INDEX($P$19:$P$29,MATCH(SMALL($R$19:$R$29,7),$R$19:$R$29,0))="","",INDEX($P$19:$P$29,MATCH(SMALL($R$19:$R$29,7),$R$19:$R$29,0))),"")</f>
        <v/>
      </c>
      <c r="G25" s="33">
        <f>IFERROR(IF(INDEX($Q$19:$Q$29,MATCH(SMALL($R$19:$R$29,7),$R$19:$R$29,0))="","",INDEX($Q$19:$Q$29,MATCH(SMALL($R$19:$R$29,7),$R$19:$R$29,0))),"")</f>
        <v/>
      </c>
      <c r="K25" s="37">
        <f>'Installation F-återvinning'!A1</f>
        <v/>
      </c>
      <c r="L25" s="37">
        <f>'Installation F-återvinning'!B2</f>
        <v/>
      </c>
      <c r="M25" s="303">
        <f>IFERROR(IF('Installation F-återvinning'!B2="Ja",'Installation F-återvinning'!D20,""),"")</f>
        <v/>
      </c>
      <c r="N25" s="304">
        <f>IFERROR(IF('Installation F-återvinning'!B2="Ja",'Installation F-återvinning'!C35-'Installation F-återvinning'!D35,""),"")</f>
        <v/>
      </c>
      <c r="O25" s="303">
        <f>IFERROR(IF('Installation F-återvinning'!B2="Ja",'Installation F-återvinning'!C34-'Installation F-återvinning'!D34,""),"")</f>
        <v/>
      </c>
      <c r="P25" s="305">
        <f>IFERROR(IF('Installation F-återvinning'!B2="Ja",'Installation F-återvinning'!E6,""),"")</f>
        <v/>
      </c>
      <c r="Q25" s="41">
        <f>IFERROR(IF('Installation F-återvinning'!B2="Ja",'Installation F-återvinning'!D43,""),"")</f>
        <v/>
      </c>
      <c r="R25" s="42">
        <f>IF(L25="Ja",IF(AND(ISNUMBER(P25),N(P25)&gt;=0),P25,1000000),2000000)+ROW()/1000000</f>
        <v/>
      </c>
    </row>
    <row r="26" ht="15" customHeight="1">
      <c r="A26" s="23">
        <f>IFERROR(IF(INDEX($K$19:$K$29,MATCH(SMALL($R$19:$R$29,8),$R$19:$R$29,0))="","",INDEX($K$19:$K$29,MATCH(SMALL($R$19:$R$29,8),$R$19:$R$29,0))),"")</f>
        <v/>
      </c>
      <c r="B26" s="33">
        <f>IFERROR(IF(INDEX($L$19:$L$29,MATCH(SMALL($R$19:$R$29,8),$R$19:$R$29,0))="","",INDEX($L$19:$L$29,MATCH(SMALL($R$19:$R$29,8),$R$19:$R$29,0))),"")</f>
        <v/>
      </c>
      <c r="C26" s="301">
        <f>IFERROR(IF(INDEX($M$19:$M$29,MATCH(SMALL($R$19:$R$29,8),$R$19:$R$29,0))="","",INDEX($M$19:$M$29,MATCH(SMALL($R$19:$R$29,8),$R$19:$R$29,0))),"")</f>
        <v/>
      </c>
      <c r="D26" s="299">
        <f>IFERROR(IF(INDEX($N$19:$N$29,MATCH(SMALL($R$19:$R$29,8),$R$19:$R$29,0))="","",INDEX($N$19:$N$29,MATCH(SMALL($R$19:$R$29,8),$R$19:$R$29,0))),"")</f>
        <v/>
      </c>
      <c r="E26" s="301">
        <f>IFERROR(IF(INDEX($O$19:$O$29,MATCH(SMALL($R$19:$R$29,8),$R$19:$R$29,0))="","",INDEX($O$19:$O$29,MATCH(SMALL($R$19:$R$29,8),$R$19:$R$29,0))),"")</f>
        <v/>
      </c>
      <c r="F26" s="302">
        <f>IFERROR(IF(INDEX($P$19:$P$29,MATCH(SMALL($R$19:$R$29,8),$R$19:$R$29,0))="","",INDEX($P$19:$P$29,MATCH(SMALL($R$19:$R$29,8),$R$19:$R$29,0))),"")</f>
        <v/>
      </c>
      <c r="G26" s="33">
        <f>IFERROR(IF(INDEX($Q$19:$Q$29,MATCH(SMALL($R$19:$R$29,8),$R$19:$R$29,0))="","",INDEX($Q$19:$Q$29,MATCH(SMALL($R$19:$R$29,8),$R$19:$R$29,0))),"")</f>
        <v/>
      </c>
      <c r="K26" s="37">
        <f>'Installation av solceller'!A1</f>
        <v/>
      </c>
      <c r="L26" s="37">
        <f>'Installation av solceller'!B2</f>
        <v/>
      </c>
      <c r="M26" s="303">
        <f>IFERROR(IF('Installation av solceller'!B2="Ja",'Installation av solceller'!D20,""),"")</f>
        <v/>
      </c>
      <c r="N26" s="304">
        <f>IFERROR(IF('Installation av solceller'!B2="Ja",'Installation av solceller'!C35-'Installation av solceller'!D35,""),"")</f>
        <v/>
      </c>
      <c r="O26" s="303">
        <f>IFERROR(IF('Installation av solceller'!B2="Ja",'Installation av solceller'!C34-'Installation av solceller'!D34,""),"")</f>
        <v/>
      </c>
      <c r="P26" s="305">
        <f>IFERROR(IF('Installation av solceller'!B2="Ja",'Installation av solceller'!E6,""),"")</f>
        <v/>
      </c>
      <c r="Q26" s="41">
        <f>IFERROR(IF('Installation av solceller'!B2="Ja",'Installation av solceller'!D43,""),"")</f>
        <v/>
      </c>
      <c r="R26" s="42">
        <f>IF(L26="Ja",IF(AND(ISNUMBER(P26),N(P26)&gt;=0),P26,1000000),2000000)+ROW()/1000000</f>
        <v/>
      </c>
    </row>
    <row r="27" ht="15" customHeight="1">
      <c r="A27" s="23">
        <f>IFERROR(IF(INDEX($K$19:$K$29,MATCH(SMALL($R$19:$R$29,9),$R$19:$R$29,0))="","",INDEX($K$19:$K$29,MATCH(SMALL($R$19:$R$29,9),$R$19:$R$29,0))),"")</f>
        <v/>
      </c>
      <c r="B27" s="33">
        <f>IFERROR(IF(INDEX($L$19:$L$29,MATCH(SMALL($R$19:$R$29,9),$R$19:$R$29,0))="","",INDEX($L$19:$L$29,MATCH(SMALL($R$19:$R$29,9),$R$19:$R$29,0))),"")</f>
        <v/>
      </c>
      <c r="C27" s="301">
        <f>IFERROR(IF(INDEX($M$19:$M$29,MATCH(SMALL($R$19:$R$29,9),$R$19:$R$29,0))="","",INDEX($M$19:$M$29,MATCH(SMALL($R$19:$R$29,9),$R$19:$R$29,0))),"")</f>
        <v/>
      </c>
      <c r="D27" s="299">
        <f>IFERROR(IF(INDEX($N$19:$N$29,MATCH(SMALL($R$19:$R$29,9),$R$19:$R$29,0))="","",INDEX($N$19:$N$29,MATCH(SMALL($R$19:$R$29,9),$R$19:$R$29,0))),"")</f>
        <v/>
      </c>
      <c r="E27" s="301">
        <f>IFERROR(IF(INDEX($O$19:$O$29,MATCH(SMALL($R$19:$R$29,9),$R$19:$R$29,0))="","",INDEX($O$19:$O$29,MATCH(SMALL($R$19:$R$29,9),$R$19:$R$29,0))),"")</f>
        <v/>
      </c>
      <c r="F27" s="302">
        <f>IFERROR(IF(INDEX($P$19:$P$29,MATCH(SMALL($R$19:$R$29,9),$R$19:$R$29,0))="","",INDEX($P$19:$P$29,MATCH(SMALL($R$19:$R$29,9),$R$19:$R$29,0))),"")</f>
        <v/>
      </c>
      <c r="G27" s="33">
        <f>IFERROR(IF(INDEX($Q$19:$Q$29,MATCH(SMALL($R$19:$R$29,9),$R$19:$R$29,0))="","",INDEX($Q$19:$Q$29,MATCH(SMALL($R$19:$R$29,9),$R$19:$R$29,0))),"")</f>
        <v/>
      </c>
      <c r="K27" s="37">
        <f>'Byte av pump'!A1</f>
        <v/>
      </c>
      <c r="L27" s="37">
        <f>'Byte av pump'!B2</f>
        <v/>
      </c>
      <c r="M27" s="303">
        <f>IFERROR(IF('Byte av pump'!B2="Ja",'Byte av pump'!D20,""),"")</f>
        <v/>
      </c>
      <c r="N27" s="304">
        <f>IFERROR(IF('Byte av pump'!B2="Ja",'Byte av pump'!C35-'Byte av pump'!D35,""),"")</f>
        <v/>
      </c>
      <c r="O27" s="303">
        <f>IFERROR(IF('Byte av pump'!B2="Ja",'Byte av pump'!C34-'Byte av pump'!D34,""),"")</f>
        <v/>
      </c>
      <c r="P27" s="305">
        <f>IFERROR(IF('Byte av pump'!B2="Ja",'Byte av pump'!E6,""),"")</f>
        <v/>
      </c>
      <c r="Q27" s="41">
        <f>IFERROR(IF('Byte av pump'!B2="Ja",'Byte av pump'!D43,""),"")</f>
        <v/>
      </c>
      <c r="R27" s="42">
        <f>IF(L27="Ja",IF(AND(ISNUMBER(P27),N(P27)&gt;=0),P27,1000000),2000000)+ROW()/1000000</f>
        <v/>
      </c>
    </row>
    <row r="28" ht="15" customHeight="1">
      <c r="A28" s="23">
        <f>IFERROR(IF(INDEX($K$19:$K$29,MATCH(SMALL($R$19:$R$29,10),$R$19:$R$29,0))="","",INDEX($K$19:$K$29,MATCH(SMALL($R$19:$R$29,10),$R$19:$R$29,0))),"")</f>
        <v/>
      </c>
      <c r="B28" s="33">
        <f>IFERROR(IF(INDEX($L$19:$L$29,MATCH(SMALL($R$19:$R$29,10),$R$19:$R$29,0))="","",INDEX($L$19:$L$29,MATCH(SMALL($R$19:$R$29,10),$R$19:$R$29,0))),"")</f>
        <v/>
      </c>
      <c r="C28" s="301">
        <f>IFERROR(IF(INDEX($M$19:$M$29,MATCH(SMALL($R$19:$R$29,10),$R$19:$R$29,0))="","",INDEX($M$19:$M$29,MATCH(SMALL($R$19:$R$29,10),$R$19:$R$29,0))),"")</f>
        <v/>
      </c>
      <c r="D28" s="299">
        <f>IFERROR(IF(INDEX($N$19:$N$29,MATCH(SMALL($R$19:$R$29,10),$R$19:$R$29,0))="","",INDEX($N$19:$N$29,MATCH(SMALL($R$19:$R$29,10),$R$19:$R$29,0))),"")</f>
        <v/>
      </c>
      <c r="E28" s="301">
        <f>IFERROR(IF(INDEX($O$19:$O$29,MATCH(SMALL($R$19:$R$29,10),$R$19:$R$29,0))="","",INDEX($O$19:$O$29,MATCH(SMALL($R$19:$R$29,10),$R$19:$R$29,0))),"")</f>
        <v/>
      </c>
      <c r="F28" s="302">
        <f>IFERROR(IF(INDEX($P$19:$P$29,MATCH(SMALL($R$19:$R$29,10),$R$19:$R$29,0))="","",INDEX($P$19:$P$29,MATCH(SMALL($R$19:$R$29,10),$R$19:$R$29,0))),"")</f>
        <v/>
      </c>
      <c r="G28" s="33">
        <f>IFERROR(IF(INDEX($Q$19:$Q$29,MATCH(SMALL($R$19:$R$29,10),$R$19:$R$29,0))="","",INDEX($Q$19:$Q$29,MATCH(SMALL($R$19:$R$29,10),$R$19:$R$29,0))),"")</f>
        <v/>
      </c>
      <c r="K28" s="37">
        <f>'Byte av fläkt'!A1</f>
        <v/>
      </c>
      <c r="L28" s="37">
        <f>'Byte av fläkt'!B2</f>
        <v/>
      </c>
      <c r="M28" s="303">
        <f>IFERROR(IF('Byte av fläkt'!B2="Ja",'Byte av fläkt'!D20,""),"")</f>
        <v/>
      </c>
      <c r="N28" s="304">
        <f>IFERROR(IF('Byte av fläkt'!B2="Ja",'Byte av fläkt'!C35-'Byte av fläkt'!D35,""),"")</f>
        <v/>
      </c>
      <c r="O28" s="303">
        <f>IFERROR(IF('Byte av fläkt'!B2="Ja",'Byte av fläkt'!C34-'Byte av fläkt'!D34,""),"")</f>
        <v/>
      </c>
      <c r="P28" s="305">
        <f>IFERROR(IF('Byte av fläkt'!B2="Ja",'Byte av fläkt'!E6,""),"")</f>
        <v/>
      </c>
      <c r="Q28" s="41">
        <f>IFERROR(IF('Byte av fläkt'!B2="Ja",'Byte av fläkt'!D43,""),"")</f>
        <v/>
      </c>
      <c r="R28" s="42">
        <f>IF(L28="Ja",IF(AND(ISNUMBER(P28),N(P28)&gt;=0),P28,1000000),2000000)+ROW()/1000000</f>
        <v/>
      </c>
    </row>
    <row r="29" ht="15" customHeight="1">
      <c r="A29" s="23">
        <f>IFERROR(IF(INDEX($K$19:$K$29,MATCH(SMALL($R$19:$R$29,11),$R$19:$R$29,0))="","",INDEX($K$19:$K$29,MATCH(SMALL($R$19:$R$29,11),$R$19:$R$29,0))),"")</f>
        <v/>
      </c>
      <c r="B29" s="33">
        <f>IFERROR(IF(INDEX($L$19:$L$29,MATCH(SMALL($R$19:$R$29,11),$R$19:$R$29,0))="","",INDEX($L$19:$L$29,MATCH(SMALL($R$19:$R$29,11),$R$19:$R$29,0))),"")</f>
        <v/>
      </c>
      <c r="C29" s="301">
        <f>IFERROR(IF(INDEX($M$19:$M$29,MATCH(SMALL($R$19:$R$29,11),$R$19:$R$29,0))="","",INDEX($M$19:$M$29,MATCH(SMALL($R$19:$R$29,11),$R$19:$R$29,0))),"")</f>
        <v/>
      </c>
      <c r="D29" s="299">
        <f>IFERROR(IF(INDEX($N$19:$N$29,MATCH(SMALL($R$19:$R$29,11),$R$19:$R$29,0))="","",INDEX($N$19:$N$29,MATCH(SMALL($R$19:$R$29,11),$R$19:$R$29,0))),"")</f>
        <v/>
      </c>
      <c r="E29" s="301">
        <f>IFERROR(IF(INDEX($O$19:$O$29,MATCH(SMALL($R$19:$R$29,11),$R$19:$R$29,0))="","",INDEX($O$19:$O$29,MATCH(SMALL($R$19:$R$29,11),$R$19:$R$29,0))),"")</f>
        <v/>
      </c>
      <c r="F29" s="302">
        <f>IFERROR(IF(INDEX($P$19:$P$29,MATCH(SMALL($R$19:$R$29,11),$R$19:$R$29,0))="","",INDEX($P$19:$P$29,MATCH(SMALL($R$19:$R$29,11),$R$19:$R$29,0))),"")</f>
        <v/>
      </c>
      <c r="G29" s="33">
        <f>IFERROR(IF(INDEX($Q$19:$Q$29,MATCH(SMALL($R$19:$R$29,11),$R$19:$R$29,0))="","",INDEX($Q$19:$Q$29,MATCH(SMALL($R$19:$R$29,11),$R$19:$R$29,0))),"")</f>
        <v/>
      </c>
      <c r="K29" s="37">
        <f>'Övrig åtgärd'!A1</f>
        <v/>
      </c>
      <c r="L29" s="37">
        <f>'Övrig åtgärd'!B2</f>
        <v/>
      </c>
      <c r="M29" s="303">
        <f>IFERROR(IF('Övrig åtgärd'!B2="Ja",'Övrig åtgärd'!D20,""),"")</f>
        <v/>
      </c>
      <c r="N29" s="304">
        <f>IFERROR(IF('Övrig åtgärd'!B2="Ja",'Övrig åtgärd'!C35-'Övrig åtgärd'!D35,""),"")</f>
        <v/>
      </c>
      <c r="O29" s="303">
        <f>IFERROR(IF('Övrig åtgärd'!B2="Ja",'Övrig åtgärd'!C34-'Övrig åtgärd'!D34,""),"")</f>
        <v/>
      </c>
      <c r="P29" s="305">
        <f>IFERROR(IF('Övrig åtgärd'!B2="Ja",'Övrig åtgärd'!E6,""),"")</f>
        <v/>
      </c>
      <c r="Q29" s="41">
        <f>IFERROR(IF('Övrig åtgärd'!B2="Ja",'Övrig åtgärd'!D43,""),"")</f>
        <v/>
      </c>
      <c r="R29" s="42">
        <f>IF(L29="Ja",IF(AND(ISNUMBER(P29),N(P29)&gt;=0),P29,1000000),2000000)+ROW()/1000000</f>
        <v/>
      </c>
    </row>
    <row r="30" ht="15" customHeight="1">
      <c r="A30" s="26" t="inlineStr">
        <is>
          <t>Summa aktiverade åtgärder</t>
        </is>
      </c>
      <c r="B30" s="43" t="n"/>
      <c r="C30" s="306">
        <f>SUM(C19:C29)</f>
        <v/>
      </c>
      <c r="D30" s="300">
        <f>SUM(D19:D29)</f>
        <v/>
      </c>
      <c r="E30" s="306">
        <f>SUM(E19:E29)</f>
        <v/>
      </c>
      <c r="F30" s="43" t="n"/>
      <c r="G30" s="43" t="n"/>
    </row>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I52"/>
  <sheetViews>
    <sheetView zoomScaleNormal="100" workbookViewId="0">
      <pane xSplit="2" ySplit="12" topLeftCell="C13" activePane="bottomRight" state="frozen"/>
      <selection pane="topRight" activeCell="C1" sqref="C1"/>
      <selection pane="bottomLeft" activeCell="A28" sqref="A28"/>
      <selection pane="bottomRight" activeCell="D48" sqref="D48"/>
    </sheetView>
  </sheetViews>
  <sheetFormatPr baseColWidth="8" defaultColWidth="8.7265625" defaultRowHeight="14.5"/>
  <cols>
    <col width="46" customWidth="1" min="1" max="1"/>
    <col width="4" customWidth="1" min="2" max="2"/>
    <col width="14" customWidth="1" min="3" max="9"/>
  </cols>
  <sheetData>
    <row r="1" ht="21.75" customHeight="1">
      <c r="A1" s="15" t="inlineStr">
        <is>
          <t>Byggnader och A-temp</t>
        </is>
      </c>
    </row>
    <row r="2" ht="15" customHeight="1">
      <c r="A2" s="18" t="inlineStr">
        <is>
          <t>En kolumn per fysisk byggnad, varje byggnad blir en egen energideklaration i Gripen. Lämna oanvända kolumner tomma.</t>
        </is>
      </c>
    </row>
    <row r="4" ht="15" customHeight="1">
      <c r="A4" s="297" t="inlineStr">
        <is>
          <t>Fastighet</t>
        </is>
      </c>
    </row>
    <row r="5" ht="15" customHeight="1">
      <c r="A5" s="37" t="inlineStr">
        <is>
          <t>Fastighetsbeteckning</t>
        </is>
      </c>
      <c r="C5" s="46" t="n"/>
      <c r="D5" s="307" t="n"/>
      <c r="E5" s="308" t="n"/>
    </row>
    <row r="6" ht="15" customHeight="1">
      <c r="A6" s="37" t="inlineStr">
        <is>
          <t>Kommun</t>
        </is>
      </c>
      <c r="C6" s="46" t="inlineStr">
        <is>
          <t>Karlstad</t>
        </is>
      </c>
    </row>
    <row r="7" ht="15" customHeight="1">
      <c r="A7" s="37" t="inlineStr">
        <is>
          <t>Geografisk justeringsfaktor Fgeo</t>
        </is>
      </c>
      <c r="C7" s="309">
        <f>IFERROR(INDEX('Regler BFS 2026'!$B$30:$B$319,MATCH(C6,'Regler BFS 2026'!$A$30:$A$319,0)),"Välj kommun")</f>
        <v/>
      </c>
    </row>
    <row r="8" ht="15" customHeight="1">
      <c r="A8" s="37" t="inlineStr">
        <is>
          <t>Mätperiod från och med (ÅÅMM)</t>
        </is>
      </c>
      <c r="C8" s="48" t="n"/>
    </row>
    <row r="9" ht="15" customHeight="1">
      <c r="A9" s="37" t="inlineStr">
        <is>
          <t>Mätperiod till och med (ÅÅMM)</t>
        </is>
      </c>
      <c r="C9" s="48" t="n"/>
    </row>
    <row r="10" ht="15" customHeight="1">
      <c r="A10" s="37" t="inlineStr">
        <is>
          <t>Energiindex för mätperioden (endast kontroll av Etal)</t>
        </is>
      </c>
      <c r="C10" s="49" t="n">
        <v>1</v>
      </c>
    </row>
    <row r="12" ht="15.75" customHeight="1">
      <c r="A12" s="50" t="inlineStr">
        <is>
          <t>Byggnad</t>
        </is>
      </c>
      <c r="B12" s="50" t="n"/>
      <c r="C12" s="51" t="inlineStr">
        <is>
          <t>Byggnad 1</t>
        </is>
      </c>
      <c r="D12" s="51" t="inlineStr">
        <is>
          <t>Byggnad 2</t>
        </is>
      </c>
      <c r="E12" s="51" t="inlineStr">
        <is>
          <t>Byggnad 3</t>
        </is>
      </c>
      <c r="F12" s="51" t="inlineStr">
        <is>
          <t>Byggnad 4</t>
        </is>
      </c>
      <c r="G12" s="51" t="inlineStr">
        <is>
          <t>Byggnad 5</t>
        </is>
      </c>
      <c r="H12" s="51" t="inlineStr">
        <is>
          <t>Byggnad 6</t>
        </is>
      </c>
      <c r="I12" s="51" t="inlineStr">
        <is>
          <t>Summa</t>
        </is>
      </c>
    </row>
    <row r="13" ht="15" customHeight="1">
      <c r="A13" s="37" t="inlineStr">
        <is>
          <t>Egen beteckning</t>
        </is>
      </c>
      <c r="C13" s="46" t="n"/>
      <c r="D13" s="46" t="n"/>
      <c r="E13" s="46" t="n"/>
      <c r="F13" s="46" t="n"/>
      <c r="G13" s="46" t="n"/>
      <c r="H13" s="46" t="n"/>
    </row>
    <row r="14" ht="15" customHeight="1">
      <c r="A14" s="37" t="inlineStr">
        <is>
          <t>Adress</t>
        </is>
      </c>
      <c r="C14" s="46" t="n"/>
      <c r="D14" s="46" t="n"/>
      <c r="E14" s="46" t="n"/>
      <c r="F14" s="46" t="n"/>
      <c r="G14" s="46" t="n"/>
      <c r="H14" s="46" t="n"/>
    </row>
    <row r="15" ht="15" customHeight="1">
      <c r="A15" s="37" t="inlineStr">
        <is>
          <t>Husnummer / byggnads-ID</t>
        </is>
      </c>
      <c r="C15" s="46" t="n"/>
      <c r="D15" s="46" t="n"/>
      <c r="E15" s="46" t="n"/>
      <c r="F15" s="46" t="n"/>
      <c r="G15" s="46" t="n"/>
      <c r="H15" s="46" t="n"/>
    </row>
    <row r="16" ht="15" customHeight="1">
      <c r="A16" s="37" t="inlineStr">
        <is>
          <t>Byggnadstyp (bostadsdel)</t>
        </is>
      </c>
      <c r="C16" s="46" t="inlineStr">
        <is>
          <t>Flerbostadshus</t>
        </is>
      </c>
      <c r="D16" s="46" t="inlineStr">
        <is>
          <t>Flerbostadshus</t>
        </is>
      </c>
      <c r="E16" s="46" t="inlineStr">
        <is>
          <t>Flerbostadshus</t>
        </is>
      </c>
      <c r="F16" s="46" t="inlineStr">
        <is>
          <t>Flerbostadshus</t>
        </is>
      </c>
      <c r="G16" s="46" t="inlineStr">
        <is>
          <t>Flerbostadshus</t>
        </is>
      </c>
      <c r="H16" s="46" t="inlineStr">
        <is>
          <t>Flerbostadshus</t>
        </is>
      </c>
    </row>
    <row r="17" ht="15" customHeight="1">
      <c r="A17" s="37" t="inlineStr">
        <is>
          <t>Nybyggnadsår</t>
        </is>
      </c>
      <c r="C17" s="52" t="n"/>
      <c r="D17" s="52" t="n"/>
      <c r="E17" s="52" t="n"/>
      <c r="F17" s="52" t="n"/>
      <c r="G17" s="52" t="n"/>
      <c r="H17" s="52" t="n"/>
    </row>
    <row r="18" ht="15" customHeight="1">
      <c r="A18" s="37" t="inlineStr">
        <is>
          <t>Antal lägenheter</t>
        </is>
      </c>
      <c r="C18" s="52" t="n"/>
      <c r="D18" s="52" t="n"/>
      <c r="E18" s="52" t="n"/>
      <c r="F18" s="52" t="n"/>
      <c r="G18" s="52" t="n"/>
      <c r="H18" s="52" t="n"/>
      <c r="I18" s="53">
        <f>SUM(C18:H18)</f>
        <v/>
      </c>
    </row>
    <row r="20" ht="15" customHeight="1">
      <c r="A20" s="297" t="inlineStr">
        <is>
          <t>A-temp per byggnad (m²)</t>
        </is>
      </c>
    </row>
    <row r="21" ht="15" customHeight="1">
      <c r="A21" s="16" t="inlineStr">
        <is>
          <t>A-temp bostäder inkl. biarea</t>
        </is>
      </c>
      <c r="C21" s="54" t="n"/>
      <c r="D21" s="54" t="n"/>
      <c r="E21" s="54" t="n"/>
      <c r="F21" s="54" t="n"/>
      <c r="G21" s="54" t="n"/>
      <c r="H21" s="54" t="n"/>
      <c r="I21" s="55">
        <f>SUM(C21:H21)</f>
        <v/>
      </c>
    </row>
    <row r="23" ht="15" customHeight="1">
      <c r="A23" s="297" t="inlineStr">
        <is>
          <t>A-temp lokaler per kategori enligt BFS 2026:9 (m²)</t>
        </is>
      </c>
    </row>
    <row r="24" ht="15" customHeight="1">
      <c r="A24" s="37" t="inlineStr">
        <is>
          <t>Kontor</t>
        </is>
      </c>
      <c r="C24" s="54" t="n"/>
      <c r="D24" s="54" t="n"/>
      <c r="E24" s="54" t="n"/>
      <c r="F24" s="54" t="n"/>
      <c r="G24" s="54" t="n"/>
      <c r="H24" s="54" t="n"/>
      <c r="I24" s="55">
        <f>SUM(C24:H24)</f>
        <v/>
      </c>
    </row>
    <row r="25" ht="15" customHeight="1">
      <c r="A25" s="37" t="inlineStr">
        <is>
          <t>Utbildning</t>
        </is>
      </c>
      <c r="C25" s="54" t="n"/>
      <c r="D25" s="54" t="n"/>
      <c r="E25" s="54" t="n"/>
      <c r="F25" s="54" t="n"/>
      <c r="G25" s="54" t="n"/>
      <c r="H25" s="54" t="n"/>
      <c r="I25" s="55">
        <f>SUM(C25:H25)</f>
        <v/>
      </c>
    </row>
    <row r="26" ht="15" customHeight="1">
      <c r="A26" s="37" t="inlineStr">
        <is>
          <t>Sjukhus</t>
        </is>
      </c>
      <c r="C26" s="54" t="n"/>
      <c r="D26" s="54" t="n"/>
      <c r="E26" s="54" t="n"/>
      <c r="F26" s="54" t="n"/>
      <c r="G26" s="54" t="n"/>
      <c r="H26" s="54" t="n"/>
      <c r="I26" s="55">
        <f>SUM(C26:H26)</f>
        <v/>
      </c>
    </row>
    <row r="27" ht="15" customHeight="1">
      <c r="A27" s="37" t="inlineStr">
        <is>
          <t>Logi och restaurang</t>
        </is>
      </c>
      <c r="C27" s="54" t="n"/>
      <c r="D27" s="54" t="n"/>
      <c r="E27" s="54" t="n"/>
      <c r="F27" s="54" t="n"/>
      <c r="G27" s="54" t="n"/>
      <c r="H27" s="54" t="n"/>
      <c r="I27" s="55">
        <f>SUM(C27:H27)</f>
        <v/>
      </c>
    </row>
    <row r="28" ht="15" customHeight="1">
      <c r="A28" s="37" t="inlineStr">
        <is>
          <t>Idrott</t>
        </is>
      </c>
      <c r="C28" s="54" t="n"/>
      <c r="D28" s="54" t="n"/>
      <c r="E28" s="54" t="n"/>
      <c r="F28" s="54" t="n"/>
      <c r="G28" s="54" t="n"/>
      <c r="H28" s="54" t="n"/>
      <c r="I28" s="55">
        <f>SUM(C28:H28)</f>
        <v/>
      </c>
    </row>
    <row r="29" ht="15" customHeight="1">
      <c r="A29" s="37" t="inlineStr">
        <is>
          <t>Handel och kultur</t>
        </is>
      </c>
      <c r="C29" s="54" t="n"/>
      <c r="D29" s="54" t="n"/>
      <c r="E29" s="54" t="n"/>
      <c r="F29" s="54" t="n"/>
      <c r="G29" s="54" t="n"/>
      <c r="H29" s="54" t="n"/>
      <c r="I29" s="55">
        <f>SUM(C29:H29)</f>
        <v/>
      </c>
    </row>
    <row r="30" ht="15" customHeight="1">
      <c r="A30" s="37" t="inlineStr">
        <is>
          <t>Annan typ av energianvändande byggnad</t>
        </is>
      </c>
      <c r="C30" s="54" t="n"/>
      <c r="D30" s="54" t="n"/>
      <c r="E30" s="54" t="n"/>
      <c r="F30" s="54" t="n"/>
      <c r="G30" s="54" t="n"/>
      <c r="H30" s="54" t="n"/>
      <c r="I30" s="55">
        <f>SUM(C30:H30)</f>
        <v/>
      </c>
    </row>
    <row r="31" ht="15" customHeight="1">
      <c r="A31" s="37" t="inlineStr">
        <is>
          <t>Varmgarage (m²)</t>
        </is>
      </c>
      <c r="C31" s="54" t="n"/>
      <c r="D31" s="54" t="n"/>
      <c r="E31" s="54" t="n"/>
      <c r="F31" s="54" t="n"/>
      <c r="G31" s="54" t="n"/>
      <c r="H31" s="54" t="n"/>
      <c r="I31" s="55">
        <f>SUM(C31:H31)</f>
        <v/>
      </c>
    </row>
    <row r="32" ht="15" customHeight="1">
      <c r="A32" s="16" t="inlineStr">
        <is>
          <t>A-temp totalt (m²)</t>
        </is>
      </c>
      <c r="C32" s="55">
        <f>C21+SUM(C24:C31)</f>
        <v/>
      </c>
      <c r="D32" s="55">
        <f>D21+SUM(D24:D31)</f>
        <v/>
      </c>
      <c r="E32" s="55">
        <f>E21+SUM(E24:E31)</f>
        <v/>
      </c>
      <c r="F32" s="55">
        <f>F21+SUM(F24:F31)</f>
        <v/>
      </c>
      <c r="G32" s="55">
        <f>G21+SUM(G24:G31)</f>
        <v/>
      </c>
      <c r="H32" s="55">
        <f>H21+SUM(H24:H31)</f>
        <v/>
      </c>
      <c r="I32" s="55">
        <f>I21+SUM(I24:I31)</f>
        <v/>
      </c>
    </row>
    <row r="33" ht="15" customHeight="1">
      <c r="A33" s="37" t="inlineStr">
        <is>
          <t>Andel av fastighetens A-temp</t>
        </is>
      </c>
      <c r="C33" s="56">
        <f>IFERROR(C32/$I$32,0)</f>
        <v/>
      </c>
      <c r="D33" s="56">
        <f>IFERROR(D32/$I$32,0)</f>
        <v/>
      </c>
      <c r="E33" s="56">
        <f>IFERROR(E32/$I$32,0)</f>
        <v/>
      </c>
      <c r="F33" s="56">
        <f>IFERROR(F32/$I$32,0)</f>
        <v/>
      </c>
      <c r="G33" s="56">
        <f>IFERROR(G32/$I$32,0)</f>
        <v/>
      </c>
      <c r="H33" s="56">
        <f>IFERROR(H32/$I$32,0)</f>
        <v/>
      </c>
      <c r="I33" s="56">
        <f>IFERROR(I32/$I$32,0)</f>
        <v/>
      </c>
    </row>
    <row r="35" ht="15" customHeight="1">
      <c r="A35" s="297" t="inlineStr">
        <is>
          <t>Fördelning av gemensamma mätare</t>
        </is>
      </c>
    </row>
    <row r="36" ht="15" customHeight="1">
      <c r="A36" s="18" t="inlineStr">
        <is>
          <t>Används för mätare som försörjer "Alla" byggnader, t.ex. en fjärrvärmecentral med kulvert. Manuell andel ersätter den automatiska.</t>
        </is>
      </c>
    </row>
    <row r="37" ht="15" customHeight="1">
      <c r="A37" s="37" t="inlineStr">
        <is>
          <t>Uppvärmning, automatisk andel (A-temp)</t>
        </is>
      </c>
      <c r="C37" s="56">
        <f>IFERROR(C32/$I$32,0)</f>
        <v/>
      </c>
      <c r="D37" s="56">
        <f>IFERROR(D32/$I$32,0)</f>
        <v/>
      </c>
      <c r="E37" s="56">
        <f>IFERROR(E32/$I$32,0)</f>
        <v/>
      </c>
      <c r="F37" s="56">
        <f>IFERROR(F32/$I$32,0)</f>
        <v/>
      </c>
      <c r="G37" s="56">
        <f>IFERROR(G32/$I$32,0)</f>
        <v/>
      </c>
      <c r="H37" s="56">
        <f>IFERROR(H32/$I$32,0)</f>
        <v/>
      </c>
      <c r="I37" s="56">
        <f>SUM(C37:H37)</f>
        <v/>
      </c>
    </row>
    <row r="38" ht="15" customHeight="1">
      <c r="A38" s="37" t="inlineStr">
        <is>
          <t>Uppvärmning, manuell andel</t>
        </is>
      </c>
      <c r="C38" s="57" t="n"/>
      <c r="D38" s="57" t="n"/>
      <c r="E38" s="57" t="n"/>
      <c r="F38" s="57" t="n"/>
      <c r="G38" s="57" t="n"/>
      <c r="H38" s="57" t="n"/>
      <c r="I38" s="56">
        <f>SUM(C38:H38)</f>
        <v/>
      </c>
    </row>
    <row r="39" ht="15" customHeight="1">
      <c r="A39" s="37" t="inlineStr">
        <is>
          <t>Uppvärmning, använd andel</t>
        </is>
      </c>
      <c r="C39" s="56">
        <f>IF(C38="",C37,C38)</f>
        <v/>
      </c>
      <c r="D39" s="56">
        <f>IF(D38="",D37,D38)</f>
        <v/>
      </c>
      <c r="E39" s="56">
        <f>IF(E38="",E37,E38)</f>
        <v/>
      </c>
      <c r="F39" s="56">
        <f>IF(F38="",F37,F38)</f>
        <v/>
      </c>
      <c r="G39" s="56">
        <f>IF(G38="",G37,G38)</f>
        <v/>
      </c>
      <c r="H39" s="56">
        <f>IF(H38="",H37,H38)</f>
        <v/>
      </c>
      <c r="I39" s="56">
        <f>SUM(C39:H39)</f>
        <v/>
      </c>
    </row>
    <row r="40" ht="15" customHeight="1">
      <c r="A40" s="37" t="inlineStr">
        <is>
          <t>Tappvarmvatten, automatisk andel (lägenheter, annars A-temp)</t>
        </is>
      </c>
      <c r="C40" s="56">
        <f>IF($I$18&gt;0,IFERROR(C18/$I$18,0),IFERROR(C32/$I$32,0))</f>
        <v/>
      </c>
      <c r="D40" s="56">
        <f>IF($I$18&gt;0,IFERROR(D18/$I$18,0),IFERROR(D32/$I$32,0))</f>
        <v/>
      </c>
      <c r="E40" s="56">
        <f>IF($I$18&gt;0,IFERROR(E18/$I$18,0),IFERROR(E32/$I$32,0))</f>
        <v/>
      </c>
      <c r="F40" s="56">
        <f>IF($I$18&gt;0,IFERROR(F18/$I$18,0),IFERROR(F32/$I$32,0))</f>
        <v/>
      </c>
      <c r="G40" s="56">
        <f>IF($I$18&gt;0,IFERROR(G18/$I$18,0),IFERROR(G32/$I$32,0))</f>
        <v/>
      </c>
      <c r="H40" s="56">
        <f>IF($I$18&gt;0,IFERROR(H18/$I$18,0),IFERROR(H32/$I$32,0))</f>
        <v/>
      </c>
      <c r="I40" s="56">
        <f>SUM(C40:H40)</f>
        <v/>
      </c>
    </row>
    <row r="41" ht="15" customHeight="1">
      <c r="A41" s="37" t="inlineStr">
        <is>
          <t>Tappvarmvatten, manuell andel</t>
        </is>
      </c>
      <c r="C41" s="57" t="n"/>
      <c r="D41" s="57" t="n"/>
      <c r="E41" s="57" t="n"/>
      <c r="F41" s="57" t="n"/>
      <c r="G41" s="57" t="n"/>
      <c r="H41" s="57" t="n"/>
      <c r="I41" s="56">
        <f>SUM(C41:H41)</f>
        <v/>
      </c>
    </row>
    <row r="42" ht="15" customHeight="1">
      <c r="A42" s="37" t="inlineStr">
        <is>
          <t>Tappvarmvatten, använd andel</t>
        </is>
      </c>
      <c r="C42" s="56">
        <f>IF(C41="",C40,C41)</f>
        <v/>
      </c>
      <c r="D42" s="56">
        <f>IF(D41="",D40,D41)</f>
        <v/>
      </c>
      <c r="E42" s="56">
        <f>IF(E41="",E40,E41)</f>
        <v/>
      </c>
      <c r="F42" s="56">
        <f>IF(F41="",F40,F41)</f>
        <v/>
      </c>
      <c r="G42" s="56">
        <f>IF(G41="",G40,G41)</f>
        <v/>
      </c>
      <c r="H42" s="56">
        <f>IF(H41="",H40,H41)</f>
        <v/>
      </c>
      <c r="I42" s="56">
        <f>SUM(C42:H42)</f>
        <v/>
      </c>
    </row>
    <row r="43" ht="15" customHeight="1">
      <c r="A43" s="37" t="inlineStr">
        <is>
          <t>El, kyla och övrigt (A-temp)</t>
        </is>
      </c>
      <c r="C43" s="56">
        <f>IFERROR(C32/$I$32,0)</f>
        <v/>
      </c>
      <c r="D43" s="56">
        <f>IFERROR(D32/$I$32,0)</f>
        <v/>
      </c>
      <c r="E43" s="56">
        <f>IFERROR(E32/$I$32,0)</f>
        <v/>
      </c>
      <c r="F43" s="56">
        <f>IFERROR(F32/$I$32,0)</f>
        <v/>
      </c>
      <c r="G43" s="56">
        <f>IFERROR(G32/$I$32,0)</f>
        <v/>
      </c>
      <c r="H43" s="56">
        <f>IFERROR(H32/$I$32,0)</f>
        <v/>
      </c>
      <c r="I43" s="56">
        <f>SUM(C43:H43)</f>
        <v/>
      </c>
    </row>
    <row r="44" ht="15" customHeight="1">
      <c r="A44" s="37" t="inlineStr">
        <is>
          <t>Hushållsel (A-temp bostäder)</t>
        </is>
      </c>
      <c r="C44" s="56">
        <f>IF($I$21&gt;0,IFERROR(C21/$I$21,0),C43)</f>
        <v/>
      </c>
      <c r="D44" s="56">
        <f>IF($I$21&gt;0,IFERROR(D21/$I$21,0),D43)</f>
        <v/>
      </c>
      <c r="E44" s="56">
        <f>IF($I$21&gt;0,IFERROR(E21/$I$21,0),E43)</f>
        <v/>
      </c>
      <c r="F44" s="56">
        <f>IF($I$21&gt;0,IFERROR(F21/$I$21,0),F43)</f>
        <v/>
      </c>
      <c r="G44" s="56">
        <f>IF($I$21&gt;0,IFERROR(G21/$I$21,0),G43)</f>
        <v/>
      </c>
      <c r="H44" s="56">
        <f>IF($I$21&gt;0,IFERROR(H21/$I$21,0),H43)</f>
        <v/>
      </c>
      <c r="I44" s="56">
        <f>SUM(C44:H44)</f>
        <v/>
      </c>
    </row>
    <row r="46" ht="15" customHeight="1">
      <c r="A46" s="297" t="inlineStr">
        <is>
          <t>Egenanvänd solel som minskar energiprestandatalet (från fliken El)</t>
        </is>
      </c>
    </row>
    <row r="47" ht="15" customHeight="1">
      <c r="A47" s="37" t="inlineStr">
        <is>
          <t>Till fastighetsenergi</t>
        </is>
      </c>
      <c r="C47" s="58">
        <f>El!C128</f>
        <v/>
      </c>
      <c r="D47" s="58">
        <f>El!D128</f>
        <v/>
      </c>
      <c r="E47" s="58">
        <f>El!E128</f>
        <v/>
      </c>
      <c r="F47" s="58">
        <f>El!F128</f>
        <v/>
      </c>
      <c r="G47" s="58">
        <f>El!G128</f>
        <v/>
      </c>
      <c r="H47" s="58">
        <f>El!H128</f>
        <v/>
      </c>
      <c r="I47" s="55">
        <f>SUM(C47:H47)</f>
        <v/>
      </c>
    </row>
    <row r="48" ht="15" customHeight="1">
      <c r="A48" s="37" t="inlineStr">
        <is>
          <t>Till värmepump, elvärme och komfortkyla</t>
        </is>
      </c>
      <c r="C48" s="58">
        <f>El!C132</f>
        <v/>
      </c>
      <c r="D48" s="58">
        <f>El!D132</f>
        <v/>
      </c>
      <c r="E48" s="58">
        <f>El!E132</f>
        <v/>
      </c>
      <c r="F48" s="58">
        <f>El!F132</f>
        <v/>
      </c>
      <c r="G48" s="58">
        <f>El!G132</f>
        <v/>
      </c>
      <c r="H48" s="58">
        <f>El!H132</f>
        <v/>
      </c>
      <c r="I48" s="55">
        <f>SUM(C48:H48)</f>
        <v/>
      </c>
    </row>
    <row r="50" ht="15" customHeight="1">
      <c r="A50" s="297" t="inlineStr">
        <is>
          <t>Tidigare energideklaration (för jämförelse)</t>
        </is>
      </c>
    </row>
    <row r="51" ht="15" customHeight="1">
      <c r="A51" s="37" t="inlineStr">
        <is>
          <t>Energiprestanda, primärenergital (kWh/m²,år)</t>
        </is>
      </c>
      <c r="C51" s="52" t="n"/>
      <c r="D51" s="52" t="n"/>
      <c r="E51" s="52" t="n"/>
      <c r="F51" s="52" t="n"/>
      <c r="G51" s="52" t="n"/>
      <c r="H51" s="52" t="n"/>
    </row>
    <row r="52" ht="15" customHeight="1">
      <c r="A52" s="37" t="inlineStr">
        <is>
          <t>Energiklass</t>
        </is>
      </c>
      <c r="C52" s="46" t="n"/>
      <c r="D52" s="46" t="n"/>
      <c r="E52" s="46" t="n"/>
      <c r="F52" s="46" t="n"/>
      <c r="G52" s="46" t="n"/>
      <c r="H52" s="46" t="n"/>
    </row>
    <row r="61" ht="15" customHeight="1"/>
    <row r="62" ht="15" customHeight="1"/>
    <row r="63" ht="15" customHeight="1"/>
  </sheetData>
  <mergeCells count="1">
    <mergeCell ref="C5:E5"/>
  </mergeCells>
  <dataValidations count="2">
    <dataValidation sqref="C6" showDropDown="0" showInputMessage="0" showErrorMessage="0" allowBlank="0" type="list">
      <formula1>'Regler BFS 2026'!$A$30:$A$319</formula1>
    </dataValidation>
    <dataValidation sqref="C16:H16" showDropDown="0" showInputMessage="0" showErrorMessage="0" allowBlank="1" type="list">
      <formula1>'Regler BFS 2026'!$A$25:$A$26</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H51"/>
  <sheetViews>
    <sheetView tabSelected="1" zoomScale="55" zoomScaleNormal="55" workbookViewId="0">
      <pane xSplit="2" ySplit="4" topLeftCell="C5" activePane="bottomRight" state="frozen"/>
      <selection pane="topRight" activeCell="C1" sqref="C1"/>
      <selection pane="bottomLeft" activeCell="A5" sqref="A5"/>
      <selection pane="bottomRight" activeCell="A1" sqref="A1"/>
    </sheetView>
  </sheetViews>
  <sheetFormatPr baseColWidth="8" defaultColWidth="8.6796875" defaultRowHeight="14.5"/>
  <cols>
    <col width="44" customWidth="1" min="1" max="1"/>
    <col width="3" customWidth="1" min="2" max="2"/>
    <col width="24" customWidth="1" min="3" max="8"/>
  </cols>
  <sheetData>
    <row r="1" ht="21.75" customHeight="1">
      <c r="A1" s="15" t="inlineStr">
        <is>
          <t>Tidigare energideklarationer</t>
        </is>
      </c>
    </row>
    <row r="2" ht="15" customHeight="1">
      <c r="A2" s="18" t="inlineStr">
        <is>
          <t>Uppgifter inlästa från tidigare energideklarationer. Används som referens och av Gripen-exporten. Energivärdena gäller den tidigare mätperioden.</t>
        </is>
      </c>
    </row>
    <row r="4" ht="15" customHeight="1">
      <c r="A4" s="16" t="inlineStr">
        <is>
          <t>Byggnad</t>
        </is>
      </c>
      <c r="C4" s="16">
        <f>Byggnader!C12</f>
        <v/>
      </c>
      <c r="D4" s="16">
        <f>Byggnader!D12</f>
        <v/>
      </c>
      <c r="E4" s="16">
        <f>Byggnader!E12</f>
        <v/>
      </c>
      <c r="F4" s="16">
        <f>Byggnader!F12</f>
        <v/>
      </c>
      <c r="G4" s="16">
        <f>Byggnader!G12</f>
        <v/>
      </c>
      <c r="H4" s="16">
        <f>Byggnader!H12</f>
        <v/>
      </c>
    </row>
    <row r="5" ht="15" customHeight="1">
      <c r="A5" s="37" t="inlineStr">
        <is>
          <t>Energideklarations-ID</t>
        </is>
      </c>
      <c r="C5" s="59" t="n"/>
      <c r="D5" s="59" t="n"/>
      <c r="E5" s="59" t="n"/>
      <c r="F5" s="59" t="n"/>
      <c r="G5" s="59" t="n"/>
      <c r="H5" s="59" t="n"/>
    </row>
    <row r="6" ht="15" customHeight="1">
      <c r="A6" s="37" t="inlineStr">
        <is>
          <t>Blankettversion</t>
        </is>
      </c>
      <c r="C6" s="59" t="n"/>
      <c r="D6" s="59" t="n"/>
      <c r="E6" s="59" t="n"/>
      <c r="F6" s="59" t="n"/>
      <c r="G6" s="59" t="n"/>
      <c r="H6" s="59" t="n"/>
    </row>
    <row r="7" ht="15" customHeight="1">
      <c r="A7" s="37" t="inlineStr">
        <is>
          <t>Datum för godkännande</t>
        </is>
      </c>
      <c r="C7" s="59" t="n"/>
      <c r="D7" s="59" t="n"/>
      <c r="E7" s="59" t="n"/>
      <c r="F7" s="59" t="n"/>
      <c r="G7" s="59" t="n"/>
      <c r="H7" s="59" t="n"/>
    </row>
    <row r="8" ht="15" customHeight="1">
      <c r="A8" s="37" t="inlineStr">
        <is>
          <t>Län</t>
        </is>
      </c>
      <c r="C8" s="59" t="n"/>
      <c r="D8" s="59" t="n"/>
      <c r="E8" s="59" t="n"/>
      <c r="F8" s="59" t="n"/>
      <c r="G8" s="59" t="n"/>
      <c r="H8" s="59" t="n"/>
    </row>
    <row r="9" ht="15" customHeight="1">
      <c r="A9" s="37" t="inlineStr">
        <is>
          <t>Kommun</t>
        </is>
      </c>
      <c r="C9" s="59" t="n"/>
      <c r="D9" s="59" t="n"/>
      <c r="E9" s="59" t="n"/>
      <c r="F9" s="59" t="n"/>
      <c r="G9" s="59" t="n"/>
      <c r="H9" s="59" t="n"/>
    </row>
    <row r="10" ht="15" customHeight="1">
      <c r="A10" s="37" t="inlineStr">
        <is>
          <t>Fastighetsbeteckning</t>
        </is>
      </c>
      <c r="C10" s="59" t="n"/>
      <c r="D10" s="59" t="n"/>
      <c r="E10" s="59" t="n"/>
      <c r="F10" s="59" t="n"/>
      <c r="G10" s="59" t="n"/>
      <c r="H10" s="59" t="n"/>
    </row>
    <row r="11" ht="15" customHeight="1">
      <c r="A11" s="37" t="inlineStr">
        <is>
          <t>Egen beteckning</t>
        </is>
      </c>
      <c r="C11" s="59" t="n"/>
      <c r="D11" s="59" t="n"/>
      <c r="E11" s="59" t="n"/>
      <c r="F11" s="59" t="n"/>
      <c r="G11" s="59" t="n"/>
      <c r="H11" s="59" t="n"/>
    </row>
    <row r="12" ht="15" customHeight="1">
      <c r="A12" s="37" t="inlineStr">
        <is>
          <t>Husnummer</t>
        </is>
      </c>
      <c r="C12" s="59" t="n"/>
      <c r="D12" s="59" t="n"/>
      <c r="E12" s="59" t="n"/>
      <c r="F12" s="59" t="n"/>
      <c r="G12" s="59" t="n"/>
      <c r="H12" s="59" t="n"/>
    </row>
    <row r="13" ht="15" customHeight="1">
      <c r="A13" s="37" t="inlineStr">
        <is>
          <t>Prefix byggnadsid</t>
        </is>
      </c>
      <c r="C13" s="59" t="n"/>
      <c r="D13" s="59" t="n"/>
      <c r="E13" s="59" t="n"/>
      <c r="F13" s="59" t="n"/>
      <c r="G13" s="59" t="n"/>
      <c r="H13" s="59" t="n"/>
    </row>
    <row r="14" ht="15" customHeight="1">
      <c r="A14" s="37" t="inlineStr">
        <is>
          <t>Byggnadsid</t>
        </is>
      </c>
      <c r="C14" s="59" t="n"/>
      <c r="D14" s="59" t="n"/>
      <c r="E14" s="59" t="n"/>
      <c r="F14" s="59" t="n"/>
      <c r="G14" s="59" t="n"/>
      <c r="H14" s="59" t="n"/>
    </row>
    <row r="15" ht="15" customHeight="1">
      <c r="A15" s="37" t="inlineStr">
        <is>
          <t>Adresser (adress; postnr; postort | …)</t>
        </is>
      </c>
      <c r="C15" s="59" t="n"/>
      <c r="D15" s="59" t="n"/>
      <c r="E15" s="59" t="n"/>
      <c r="F15" s="59" t="n"/>
      <c r="G15" s="59" t="n"/>
      <c r="H15" s="59" t="n"/>
    </row>
    <row r="16" ht="15" customHeight="1">
      <c r="A16" s="37" t="inlineStr">
        <is>
          <t>Typkod</t>
        </is>
      </c>
      <c r="C16" s="59" t="n"/>
      <c r="D16" s="59" t="n"/>
      <c r="E16" s="59" t="n"/>
      <c r="F16" s="59" t="n"/>
      <c r="G16" s="59" t="n"/>
      <c r="H16" s="59" t="n"/>
    </row>
    <row r="17" ht="15" customHeight="1">
      <c r="A17" s="37" t="inlineStr">
        <is>
          <t>Byggnadskategori</t>
        </is>
      </c>
      <c r="C17" s="59" t="n"/>
      <c r="D17" s="59" t="n"/>
      <c r="E17" s="59" t="n"/>
      <c r="F17" s="59" t="n"/>
      <c r="G17" s="59" t="n"/>
      <c r="H17" s="59" t="n"/>
    </row>
    <row r="18" ht="15" customHeight="1">
      <c r="A18" s="37" t="inlineStr">
        <is>
          <t>Byggnadstyp</t>
        </is>
      </c>
      <c r="C18" s="59" t="n"/>
      <c r="D18" s="59" t="n"/>
      <c r="E18" s="59" t="n"/>
      <c r="F18" s="59" t="n"/>
      <c r="G18" s="59" t="n"/>
      <c r="H18" s="59" t="n"/>
    </row>
    <row r="19" ht="15" customHeight="1">
      <c r="A19" s="37" t="inlineStr">
        <is>
          <t>Nybyggnadsår</t>
        </is>
      </c>
      <c r="C19" s="59" t="n"/>
      <c r="D19" s="59" t="n"/>
      <c r="E19" s="59" t="n"/>
      <c r="F19" s="59" t="n"/>
      <c r="G19" s="59" t="n"/>
      <c r="H19" s="59" t="n"/>
    </row>
    <row r="20" ht="15" customHeight="1">
      <c r="A20" s="37" t="inlineStr">
        <is>
          <t>A-temp exkl. garage (m²)</t>
        </is>
      </c>
      <c r="C20" s="59" t="n"/>
      <c r="D20" s="59" t="n"/>
      <c r="E20" s="59" t="n"/>
      <c r="F20" s="59" t="n"/>
      <c r="G20" s="59" t="n"/>
      <c r="H20" s="59" t="n"/>
    </row>
    <row r="21" ht="15" customHeight="1">
      <c r="A21" s="37" t="inlineStr">
        <is>
          <t>Avarmgarage (m²)</t>
        </is>
      </c>
      <c r="C21" s="59" t="n"/>
      <c r="D21" s="59" t="n"/>
      <c r="E21" s="59" t="n"/>
      <c r="F21" s="59" t="n"/>
      <c r="G21" s="59" t="n"/>
      <c r="H21" s="59" t="n"/>
    </row>
    <row r="22" ht="15" customHeight="1">
      <c r="A22" s="37" t="inlineStr">
        <is>
          <t>Antal uppvärmda källarplan</t>
        </is>
      </c>
      <c r="C22" s="59" t="n"/>
      <c r="D22" s="59" t="n"/>
      <c r="E22" s="59" t="n"/>
      <c r="F22" s="59" t="n"/>
      <c r="G22" s="59" t="n"/>
      <c r="H22" s="59" t="n"/>
    </row>
    <row r="23" ht="15" customHeight="1">
      <c r="A23" s="37" t="inlineStr">
        <is>
          <t>Antal våningsplan</t>
        </is>
      </c>
      <c r="C23" s="59" t="n"/>
      <c r="D23" s="59" t="n"/>
      <c r="E23" s="59" t="n"/>
      <c r="F23" s="59" t="n"/>
      <c r="G23" s="59" t="n"/>
      <c r="H23" s="59" t="n"/>
    </row>
    <row r="24" ht="15" customHeight="1">
      <c r="A24" s="37" t="inlineStr">
        <is>
          <t>Antal trapphus</t>
        </is>
      </c>
      <c r="C24" s="59" t="n"/>
      <c r="D24" s="59" t="n"/>
      <c r="E24" s="59" t="n"/>
      <c r="F24" s="59" t="n"/>
      <c r="G24" s="59" t="n"/>
      <c r="H24" s="59" t="n"/>
    </row>
    <row r="25" ht="15" customHeight="1">
      <c r="A25" s="37" t="inlineStr">
        <is>
          <t>Antal lägenheter</t>
        </is>
      </c>
      <c r="C25" s="59" t="n"/>
      <c r="D25" s="59" t="n"/>
      <c r="E25" s="59" t="n"/>
      <c r="F25" s="59" t="n"/>
      <c r="G25" s="59" t="n"/>
      <c r="H25" s="59" t="n"/>
    </row>
    <row r="26" ht="15" customHeight="1">
      <c r="A26" s="37" t="inlineStr">
        <is>
          <t>Verksamhetsfördelning</t>
        </is>
      </c>
      <c r="C26" s="59" t="n"/>
      <c r="D26" s="59" t="n"/>
      <c r="E26" s="59" t="n"/>
      <c r="F26" s="59" t="n"/>
      <c r="G26" s="59" t="n"/>
      <c r="H26" s="59" t="n"/>
    </row>
    <row r="27" ht="15" customHeight="1">
      <c r="A27" s="37" t="inlineStr">
        <is>
          <t>Projekterat uteluftsflöde (l/s,m²)</t>
        </is>
      </c>
      <c r="C27" s="59" t="n"/>
      <c r="D27" s="59" t="n"/>
      <c r="E27" s="59" t="n"/>
      <c r="F27" s="59" t="n"/>
      <c r="G27" s="59" t="n"/>
      <c r="H27" s="59" t="n"/>
    </row>
    <row r="28" ht="15" customHeight="1">
      <c r="A28" s="37" t="inlineStr">
        <is>
          <t>Mätperiod</t>
        </is>
      </c>
      <c r="C28" s="59" t="n"/>
      <c r="D28" s="59" t="n"/>
      <c r="E28" s="59" t="n"/>
      <c r="F28" s="59" t="n"/>
      <c r="G28" s="59" t="n"/>
      <c r="H28" s="59" t="n"/>
    </row>
    <row r="29" ht="15" customHeight="1">
      <c r="A29" s="37" t="inlineStr">
        <is>
          <t>Fjärrvärme uppvärmning (kWh)</t>
        </is>
      </c>
      <c r="C29" s="59" t="n"/>
      <c r="D29" s="59" t="n"/>
      <c r="E29" s="59" t="n"/>
      <c r="F29" s="59" t="n"/>
      <c r="G29" s="59" t="n"/>
      <c r="H29" s="59" t="n"/>
    </row>
    <row r="30" ht="15" customHeight="1">
      <c r="A30" s="37" t="inlineStr">
        <is>
          <t>Fjärrvärme tappvarmvatten (kWh)</t>
        </is>
      </c>
      <c r="C30" s="59" t="n"/>
      <c r="D30" s="59" t="n"/>
      <c r="E30" s="59" t="n"/>
      <c r="F30" s="59" t="n"/>
      <c r="G30" s="59" t="n"/>
      <c r="H30" s="59" t="n"/>
    </row>
    <row r="31" ht="15" customHeight="1">
      <c r="A31" s="37" t="inlineStr">
        <is>
          <t>Övriga värmekällor (kWh)</t>
        </is>
      </c>
      <c r="C31" s="59" t="n"/>
      <c r="D31" s="59" t="n"/>
      <c r="E31" s="59" t="n"/>
      <c r="F31" s="59" t="n"/>
      <c r="G31" s="59" t="n"/>
      <c r="H31" s="59" t="n"/>
    </row>
    <row r="32" ht="15" customHeight="1">
      <c r="A32" s="37" t="inlineStr">
        <is>
          <t>Fastighetsel (kWh)</t>
        </is>
      </c>
      <c r="C32" s="59" t="n"/>
      <c r="D32" s="59" t="n"/>
      <c r="E32" s="59" t="n"/>
      <c r="F32" s="59" t="n"/>
      <c r="G32" s="59" t="n"/>
      <c r="H32" s="59" t="n"/>
    </row>
    <row r="33" ht="15" customHeight="1">
      <c r="A33" s="37" t="inlineStr">
        <is>
          <t>Hushållsel (kWh)</t>
        </is>
      </c>
      <c r="C33" s="59" t="n"/>
      <c r="D33" s="59" t="n"/>
      <c r="E33" s="59" t="n"/>
      <c r="F33" s="59" t="n"/>
      <c r="G33" s="59" t="n"/>
      <c r="H33" s="59" t="n"/>
    </row>
    <row r="34" ht="15" customHeight="1">
      <c r="A34" s="37" t="inlineStr">
        <is>
          <t>Verksamhetsel (kWh)</t>
        </is>
      </c>
      <c r="C34" s="59" t="n"/>
      <c r="D34" s="59" t="n"/>
      <c r="E34" s="59" t="n"/>
      <c r="F34" s="59" t="n"/>
      <c r="G34" s="59" t="n"/>
      <c r="H34" s="59" t="n"/>
    </row>
    <row r="35" ht="15" customHeight="1">
      <c r="A35" s="37" t="inlineStr">
        <is>
          <t>Komfortkyla och fjärrkyla (kWh)</t>
        </is>
      </c>
      <c r="C35" s="59" t="n"/>
      <c r="D35" s="59" t="n"/>
      <c r="E35" s="59" t="n"/>
      <c r="F35" s="59" t="n"/>
      <c r="G35" s="59" t="n"/>
      <c r="H35" s="59" t="n"/>
    </row>
    <row r="36" ht="15" customHeight="1">
      <c r="A36" s="37" t="inlineStr">
        <is>
          <t>Solceller area (m²)</t>
        </is>
      </c>
      <c r="C36" s="59" t="n"/>
      <c r="D36" s="59" t="n"/>
      <c r="E36" s="59" t="n"/>
      <c r="F36" s="59" t="n"/>
      <c r="G36" s="59" t="n"/>
      <c r="H36" s="59" t="n"/>
    </row>
    <row r="37" ht="15" customHeight="1">
      <c r="A37" s="37" t="inlineStr">
        <is>
          <t>Solceller beräknad produktion (kWh/år)</t>
        </is>
      </c>
      <c r="C37" s="59" t="n"/>
      <c r="D37" s="59" t="n"/>
      <c r="E37" s="59" t="n"/>
      <c r="F37" s="59" t="n"/>
      <c r="G37" s="59" t="n"/>
      <c r="H37" s="59" t="n"/>
    </row>
    <row r="38" ht="15" customHeight="1">
      <c r="A38" s="37" t="inlineStr">
        <is>
          <t>Normalårskorrigerad energianvändning (kWh)</t>
        </is>
      </c>
      <c r="C38" s="59" t="n"/>
      <c r="D38" s="59" t="n"/>
      <c r="E38" s="59" t="n"/>
      <c r="F38" s="59" t="n"/>
      <c r="G38" s="59" t="n"/>
      <c r="H38" s="59" t="n"/>
    </row>
    <row r="39" ht="15" customHeight="1">
      <c r="A39" s="37" t="inlineStr">
        <is>
          <t>Energiprestanda (kWh/m²,år)</t>
        </is>
      </c>
      <c r="C39" s="59" t="n"/>
      <c r="D39" s="59" t="n"/>
      <c r="E39" s="59" t="n"/>
      <c r="F39" s="59" t="n"/>
      <c r="G39" s="59" t="n"/>
      <c r="H39" s="59" t="n"/>
    </row>
    <row r="40" ht="15" customHeight="1">
      <c r="A40" s="37" t="inlineStr">
        <is>
          <t>Typ av energiprestanda</t>
        </is>
      </c>
      <c r="C40" s="59" t="n"/>
      <c r="D40" s="59" t="n"/>
      <c r="E40" s="59" t="n"/>
      <c r="F40" s="59" t="n"/>
      <c r="G40" s="59" t="n"/>
      <c r="H40" s="59" t="n"/>
    </row>
    <row r="41" ht="15" customHeight="1">
      <c r="A41" s="37" t="inlineStr">
        <is>
          <t>Krav ny byggnad (kWh/m²,år)</t>
        </is>
      </c>
      <c r="C41" s="59" t="n"/>
      <c r="D41" s="59" t="n"/>
      <c r="E41" s="59" t="n"/>
      <c r="F41" s="59" t="n"/>
      <c r="G41" s="59" t="n"/>
      <c r="H41" s="59" t="n"/>
    </row>
    <row r="42" ht="15" customHeight="1">
      <c r="A42" s="37" t="inlineStr">
        <is>
          <t>Energiklass</t>
        </is>
      </c>
      <c r="C42" s="59" t="n"/>
      <c r="D42" s="59" t="n"/>
      <c r="E42" s="59" t="n"/>
      <c r="F42" s="59" t="n"/>
      <c r="G42" s="59" t="n"/>
      <c r="H42" s="59" t="n"/>
    </row>
    <row r="43" ht="15" customHeight="1">
      <c r="A43" s="37" t="inlineStr">
        <is>
          <t>Typ av ventilationssystem</t>
        </is>
      </c>
      <c r="C43" s="59" t="n"/>
      <c r="D43" s="59" t="n"/>
      <c r="E43" s="59" t="n"/>
      <c r="F43" s="59" t="n"/>
      <c r="G43" s="59" t="n"/>
      <c r="H43" s="59" t="n"/>
    </row>
    <row r="44" ht="15" customHeight="1">
      <c r="A44" s="37" t="inlineStr">
        <is>
          <t>Krav på OVK</t>
        </is>
      </c>
      <c r="C44" s="59" t="n"/>
      <c r="D44" s="59" t="n"/>
      <c r="E44" s="59" t="n"/>
      <c r="F44" s="59" t="n"/>
      <c r="G44" s="59" t="n"/>
      <c r="H44" s="59" t="n"/>
    </row>
    <row r="45" ht="15" customHeight="1">
      <c r="A45" s="37" t="inlineStr">
        <is>
          <t>OVK utförd</t>
        </is>
      </c>
      <c r="C45" s="59" t="n"/>
      <c r="D45" s="59" t="n"/>
      <c r="E45" s="59" t="n"/>
      <c r="F45" s="59" t="n"/>
      <c r="G45" s="59" t="n"/>
      <c r="H45" s="59" t="n"/>
    </row>
    <row r="46" ht="15" customHeight="1">
      <c r="A46" s="37" t="inlineStr">
        <is>
          <t>OVK utan anmärkning</t>
        </is>
      </c>
      <c r="C46" s="59" t="n"/>
      <c r="D46" s="59" t="n"/>
      <c r="E46" s="59" t="n"/>
      <c r="F46" s="59" t="n"/>
      <c r="G46" s="59" t="n"/>
      <c r="H46" s="59" t="n"/>
    </row>
    <row r="47" ht="15" customHeight="1">
      <c r="A47" s="37" t="inlineStr">
        <is>
          <t>Radon mätt / halt (Bq/m³)</t>
        </is>
      </c>
      <c r="C47" s="59" t="n"/>
      <c r="D47" s="59" t="n"/>
      <c r="E47" s="59" t="n"/>
      <c r="F47" s="59" t="n"/>
      <c r="G47" s="59" t="n"/>
      <c r="H47" s="59" t="n"/>
    </row>
    <row r="48" ht="15" customHeight="1">
      <c r="A48" s="37" t="inlineStr">
        <is>
          <t>Nominell effekt (kW) / bedömningsgrund</t>
        </is>
      </c>
      <c r="C48" s="59" t="n"/>
      <c r="D48" s="59" t="n"/>
      <c r="E48" s="59" t="n"/>
      <c r="F48" s="59" t="n"/>
      <c r="G48" s="59" t="n"/>
      <c r="H48" s="59" t="n"/>
    </row>
    <row r="49" ht="15" customHeight="1">
      <c r="A49" s="37" t="inlineStr">
        <is>
          <t>Besiktigad på plats</t>
        </is>
      </c>
      <c r="C49" s="59" t="n"/>
      <c r="D49" s="59" t="n"/>
      <c r="E49" s="59" t="n"/>
      <c r="F49" s="59" t="n"/>
      <c r="G49" s="59" t="n"/>
      <c r="H49" s="59" t="n"/>
    </row>
    <row r="50" ht="15" customHeight="1">
      <c r="A50" s="37" t="inlineStr">
        <is>
          <t>Kommentar</t>
        </is>
      </c>
      <c r="C50" s="59" t="n"/>
      <c r="D50" s="59" t="n"/>
      <c r="E50" s="59" t="n"/>
      <c r="F50" s="59" t="n"/>
      <c r="G50" s="59" t="n"/>
      <c r="H50" s="59" t="n"/>
    </row>
    <row r="51" ht="15" customHeight="1">
      <c r="A51" s="37" t="inlineStr">
        <is>
          <t>Inläsningskommentarer</t>
        </is>
      </c>
      <c r="C51" s="59" t="n"/>
      <c r="D51" s="59" t="n"/>
      <c r="E51" s="59" t="n"/>
      <c r="F51" s="59" t="n"/>
      <c r="G51" s="59" t="n"/>
      <c r="H51" s="59" t="n"/>
    </row>
  </sheetData>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O70"/>
  <sheetViews>
    <sheetView zoomScale="85" zoomScaleNormal="85" workbookViewId="0">
      <pane ySplit="5" topLeftCell="A6" activePane="bottomLeft" state="frozen"/>
      <selection pane="bottomLeft" activeCell="H2" sqref="H2:U21"/>
    </sheetView>
  </sheetViews>
  <sheetFormatPr baseColWidth="8" defaultColWidth="8.7265625" defaultRowHeight="14.5"/>
  <cols>
    <col width="46" customWidth="1" min="1" max="1"/>
    <col width="24" customWidth="1" min="2" max="2"/>
    <col width="30" customWidth="1" min="3" max="3"/>
    <col width="14" customWidth="1" min="4" max="5"/>
    <col width="40" customWidth="1" min="6" max="6"/>
    <col width="10.40625" customWidth="1" min="9" max="9"/>
    <col width="12.40625" customWidth="1" min="12" max="12"/>
  </cols>
  <sheetData>
    <row r="1" ht="21.75" customHeight="1">
      <c r="A1" s="15" t="inlineStr">
        <is>
          <t>Köpt energi och vatten</t>
        </is>
      </c>
    </row>
    <row r="2" ht="15" customHeight="1">
      <c r="A2" s="18" t="inlineStr">
        <is>
          <t>Ange uppmätt energi för värme, tappvarmvatten och fjärrkyla för mätperioden, ej normalårskorrigerad. Välj vilken byggnad mätaren försörjer, eller Alla om den är gemensam. El anges i fliken El.</t>
        </is>
      </c>
    </row>
    <row r="4" ht="15" customHeight="1">
      <c r="A4" s="297" t="inlineStr">
        <is>
          <t>Energimätare</t>
        </is>
      </c>
    </row>
    <row r="5" ht="25.5" customHeight="1">
      <c r="A5" s="50" t="inlineStr">
        <is>
          <t>Mätare / benämning</t>
        </is>
      </c>
      <c r="B5" s="50" t="inlineStr">
        <is>
          <t>Energibärare</t>
        </is>
      </c>
      <c r="C5" s="50" t="inlineStr">
        <is>
          <t>Ändamål</t>
        </is>
      </c>
      <c r="D5" s="50" t="inlineStr">
        <is>
          <t>Försörjer</t>
        </is>
      </c>
      <c r="E5" s="50" t="inlineStr">
        <is>
          <t>kWh</t>
        </is>
      </c>
      <c r="F5" s="50" t="inlineStr">
        <is>
          <t>Kommentar</t>
        </is>
      </c>
    </row>
    <row r="6" ht="15" customHeight="1">
      <c r="A6" s="46" t="n"/>
      <c r="B6" s="46" t="n"/>
      <c r="C6" s="46" t="n"/>
      <c r="D6" s="46" t="n"/>
      <c r="E6" s="54" t="n"/>
      <c r="F6" s="46" t="n"/>
    </row>
    <row r="7" ht="15" customHeight="1">
      <c r="A7" s="46" t="n"/>
      <c r="B7" s="46" t="n"/>
      <c r="C7" s="46" t="n"/>
      <c r="D7" s="46" t="n"/>
      <c r="E7" s="54" t="n"/>
      <c r="F7" s="46" t="n"/>
    </row>
    <row r="8" ht="15" customHeight="1">
      <c r="A8" s="46" t="n"/>
      <c r="B8" s="46" t="n"/>
      <c r="C8" s="46" t="n"/>
      <c r="D8" s="46" t="n"/>
      <c r="E8" s="54" t="n"/>
      <c r="F8" s="46" t="n"/>
    </row>
    <row r="9" ht="15" customHeight="1">
      <c r="A9" s="46" t="n"/>
      <c r="B9" s="46" t="n"/>
      <c r="C9" s="46" t="n"/>
      <c r="D9" s="46" t="n"/>
      <c r="E9" s="54" t="n"/>
      <c r="F9" s="46" t="n"/>
    </row>
    <row r="10" ht="15" customHeight="1">
      <c r="A10" s="46" t="n"/>
      <c r="B10" s="46" t="n"/>
      <c r="C10" s="46" t="n"/>
      <c r="D10" s="46" t="n"/>
      <c r="E10" s="54" t="n"/>
      <c r="F10" s="46" t="n"/>
    </row>
    <row r="11" ht="15" customHeight="1">
      <c r="A11" s="46" t="n"/>
      <c r="B11" s="46" t="n"/>
      <c r="C11" s="46" t="n"/>
      <c r="D11" s="46" t="n"/>
      <c r="E11" s="54" t="n"/>
      <c r="F11" s="46" t="n"/>
    </row>
    <row r="12" ht="15" customHeight="1">
      <c r="A12" s="46" t="n"/>
      <c r="B12" s="46" t="n"/>
      <c r="C12" s="46" t="n"/>
      <c r="D12" s="46" t="n"/>
      <c r="E12" s="54" t="n"/>
      <c r="F12" s="46" t="n"/>
    </row>
    <row r="13" ht="15" customHeight="1">
      <c r="A13" s="46" t="n"/>
      <c r="B13" s="46" t="n"/>
      <c r="C13" s="46" t="n"/>
      <c r="D13" s="46" t="n"/>
      <c r="E13" s="54" t="n"/>
      <c r="F13" s="46" t="n"/>
    </row>
    <row r="14" ht="15" customHeight="1">
      <c r="A14" s="46" t="n"/>
      <c r="B14" s="46" t="n"/>
      <c r="C14" s="46" t="n"/>
      <c r="D14" s="46" t="n"/>
      <c r="E14" s="54" t="n"/>
      <c r="F14" s="46" t="n"/>
    </row>
    <row r="15" ht="15" customHeight="1">
      <c r="A15" s="46" t="n"/>
      <c r="B15" s="46" t="n"/>
      <c r="C15" s="46" t="n"/>
      <c r="D15" s="46" t="n"/>
      <c r="E15" s="54" t="n"/>
      <c r="F15" s="46" t="n"/>
    </row>
    <row r="16" ht="15" customHeight="1">
      <c r="A16" s="46" t="n"/>
      <c r="B16" s="46" t="n"/>
      <c r="C16" s="46" t="n"/>
      <c r="D16" s="46" t="n"/>
      <c r="E16" s="54" t="n"/>
      <c r="F16" s="46" t="n"/>
    </row>
    <row r="17" ht="15" customHeight="1">
      <c r="A17" s="46" t="n"/>
      <c r="B17" s="46" t="n"/>
      <c r="C17" s="46" t="n"/>
      <c r="D17" s="46" t="n"/>
      <c r="E17" s="54" t="n"/>
      <c r="F17" s="46" t="n"/>
    </row>
    <row r="18" ht="15" customHeight="1">
      <c r="A18" s="46" t="n"/>
      <c r="B18" s="46" t="n"/>
      <c r="C18" s="46" t="n"/>
      <c r="D18" s="46" t="n"/>
      <c r="E18" s="54" t="n"/>
      <c r="F18" s="46" t="n"/>
      <c r="M18" s="60" t="n"/>
    </row>
    <row r="19" ht="15" customHeight="1">
      <c r="A19" s="46" t="n"/>
      <c r="B19" s="46" t="n"/>
      <c r="C19" s="46" t="n"/>
      <c r="D19" s="46" t="n"/>
      <c r="E19" s="54" t="n"/>
      <c r="F19" s="46" t="n"/>
      <c r="M19" s="60" t="n"/>
    </row>
    <row r="20" ht="15" customHeight="1">
      <c r="A20" s="46" t="n"/>
      <c r="B20" s="46" t="n"/>
      <c r="C20" s="46" t="n"/>
      <c r="D20" s="46" t="n"/>
      <c r="E20" s="54" t="n"/>
      <c r="F20" s="46" t="n"/>
    </row>
    <row r="21" ht="15" customHeight="1">
      <c r="A21" s="46" t="n"/>
      <c r="B21" s="46" t="n"/>
      <c r="C21" s="46" t="n"/>
      <c r="D21" s="46" t="n"/>
      <c r="E21" s="54" t="n"/>
      <c r="F21" s="46" t="n"/>
      <c r="M21" s="30" t="n"/>
      <c r="O21" s="60" t="n"/>
    </row>
    <row r="22" ht="15" customHeight="1">
      <c r="A22" s="46" t="n"/>
      <c r="B22" s="46" t="n"/>
      <c r="C22" s="46" t="n"/>
      <c r="D22" s="46" t="n"/>
      <c r="E22" s="54" t="n"/>
      <c r="F22" s="46" t="n"/>
    </row>
    <row r="23" ht="15" customHeight="1">
      <c r="A23" s="46" t="n"/>
      <c r="B23" s="46" t="n"/>
      <c r="C23" s="46" t="n"/>
      <c r="D23" s="46" t="n"/>
      <c r="E23" s="54" t="n"/>
      <c r="F23" s="46" t="n"/>
    </row>
    <row r="24" ht="15" customHeight="1">
      <c r="A24" s="46" t="n"/>
      <c r="B24" s="46" t="n"/>
      <c r="C24" s="46" t="n"/>
      <c r="D24" s="46" t="n"/>
      <c r="E24" s="54" t="n"/>
      <c r="F24" s="46" t="n"/>
    </row>
    <row r="25" ht="15" customHeight="1">
      <c r="A25" s="46" t="n"/>
      <c r="B25" s="46" t="n"/>
      <c r="C25" s="46" t="n"/>
      <c r="D25" s="46" t="n"/>
      <c r="E25" s="54" t="n"/>
      <c r="F25" s="46" t="n"/>
    </row>
    <row r="26" ht="15" customHeight="1">
      <c r="A26" s="18" t="inlineStr">
        <is>
          <t>Ändamål: "Värme och tappvarmvatten" = kombinerad mätare, fördelas på uppvärmning/tappvarmvatten via vattenförbrukningen. "Endast uppvärmning" och "Endast tappvarmvatten inkl. VVC" = separata mätare (t.ex. nyproduktion), värdet används direkt utan fördelning.</t>
        </is>
      </c>
    </row>
    <row r="27" ht="15" customHeight="1">
      <c r="A27" s="297" t="inlineStr">
        <is>
          <t>Vattenmätare</t>
        </is>
      </c>
    </row>
    <row r="28" ht="25.5" customHeight="1">
      <c r="A28" s="50" t="inlineStr">
        <is>
          <t>Mätare / benämning</t>
        </is>
      </c>
      <c r="B28" s="50" t="inlineStr">
        <is>
          <t>Försörjer</t>
        </is>
      </c>
      <c r="C28" s="50" t="inlineStr">
        <is>
          <t>m³</t>
        </is>
      </c>
    </row>
    <row r="29" ht="15" customHeight="1">
      <c r="A29" s="46" t="n"/>
      <c r="B29" s="46" t="n"/>
      <c r="C29" s="54" t="n"/>
    </row>
    <row r="30" ht="15" customHeight="1">
      <c r="A30" s="46" t="n"/>
      <c r="B30" s="46" t="n"/>
      <c r="C30" s="54" t="n"/>
    </row>
    <row r="31" ht="15" customHeight="1">
      <c r="A31" s="46" t="n"/>
      <c r="B31" s="46" t="n"/>
      <c r="C31" s="54" t="n"/>
    </row>
    <row r="32" ht="15" customHeight="1">
      <c r="A32" s="46" t="n"/>
      <c r="B32" s="46" t="n"/>
      <c r="C32" s="54" t="n"/>
    </row>
    <row r="33" ht="15" customHeight="1">
      <c r="A33" s="46" t="n"/>
      <c r="B33" s="46" t="n"/>
      <c r="C33" s="54" t="n"/>
    </row>
    <row r="34" ht="15" customHeight="1">
      <c r="A34" s="46" t="n"/>
      <c r="B34" s="46" t="n"/>
      <c r="C34" s="54" t="n"/>
    </row>
    <row r="35" ht="15" customHeight="1">
      <c r="A35" s="46" t="n"/>
      <c r="B35" s="46" t="n"/>
      <c r="C35" s="54" t="n"/>
    </row>
    <row r="36" ht="15" customHeight="1">
      <c r="A36" s="46" t="n"/>
      <c r="B36" s="46" t="n"/>
      <c r="C36" s="54" t="n"/>
    </row>
    <row r="37" ht="15" customHeight="1">
      <c r="A37" s="16" t="inlineStr">
        <is>
          <t>Summa vatten (m³)</t>
        </is>
      </c>
      <c r="C37" s="55">
        <f>SUM(C29:C36)</f>
        <v/>
      </c>
    </row>
    <row r="39" ht="15" customHeight="1">
      <c r="A39" s="297" t="inlineStr">
        <is>
          <t>Tappvarmvatten</t>
        </is>
      </c>
    </row>
    <row r="40" ht="15" customHeight="1">
      <c r="A40" s="37" t="inlineStr">
        <is>
          <t>Andel varmvatten av total vattenförbrukning</t>
        </is>
      </c>
      <c r="B40" s="61" t="n">
        <v>0.35</v>
      </c>
    </row>
    <row r="41" ht="15" customHeight="1">
      <c r="A41" s="37" t="inlineStr">
        <is>
          <t>Energiinnehåll i varmvatten (kWh/m³)</t>
        </is>
      </c>
      <c r="B41" s="52" t="n">
        <v>55</v>
      </c>
    </row>
    <row r="42" ht="15" customHeight="1">
      <c r="A42" s="37" t="inlineStr">
        <is>
          <t>Verkningsgrad varmvattensystem inkl. VVC</t>
        </is>
      </c>
      <c r="B42" s="61" t="n">
        <v>1</v>
      </c>
    </row>
    <row r="43" ht="15" customHeight="1">
      <c r="A43" s="37" t="inlineStr">
        <is>
          <t>Faktiskt energibehov om vattenmätning saknas (kWh/m²,år)</t>
        </is>
      </c>
      <c r="B43" s="52" t="n">
        <v>25</v>
      </c>
    </row>
    <row r="45" ht="15" customHeight="1">
      <c r="A45" s="297" t="inlineStr">
        <is>
          <t>Värmeproduktion</t>
        </is>
      </c>
    </row>
    <row r="46" ht="25.5" customHeight="1">
      <c r="A46" s="50" t="inlineStr">
        <is>
          <t>Värmekälla</t>
        </is>
      </c>
      <c r="B46" s="50" t="inlineStr">
        <is>
          <t>Köpt energi kWh/år</t>
        </is>
      </c>
      <c r="C46" s="50" t="inlineStr">
        <is>
          <t>Andel av varmvattenproduktion (kombinerade mätare)</t>
        </is>
      </c>
      <c r="D46" s="50" t="inlineStr">
        <is>
          <t>Årsverkningsgrad</t>
        </is>
      </c>
      <c r="E46" s="50" t="inlineStr">
        <is>
          <t>Viktningsfaktor</t>
        </is>
      </c>
      <c r="F46" s="50" t="inlineStr">
        <is>
          <t>Energikälla i Gripen</t>
        </is>
      </c>
    </row>
    <row r="47" ht="15" customHeight="1">
      <c r="A47" s="37" t="inlineStr">
        <is>
          <t>Fjärrvärme</t>
        </is>
      </c>
      <c r="B47" s="55">
        <f>SUMIFS($E$6:$E$25,$B$6:$B$25,"Fjärrvärme",$C$6:$C$25,"Värme och tappvarmvatten")+SUMIFS($E$6:$E$25,$B$6:$B$25,"Fjärrvärme",$C$6:$C$25,"Endast uppvärmning")+SUMIFS($E$6:$E$25,$B$6:$B$25,"Fjärrvärme",$C$6:$C$25,"Endast tappvarmvatten inkl. VVC")</f>
        <v/>
      </c>
      <c r="C47" s="62" t="n">
        <v>1</v>
      </c>
      <c r="D47" s="61" t="n">
        <v>1</v>
      </c>
      <c r="E47" s="309">
        <f>'Regler BFS 2026'!$B$5</f>
        <v/>
      </c>
      <c r="F47" s="46" t="inlineStr">
        <is>
          <t>Fjärrvärme</t>
        </is>
      </c>
    </row>
    <row r="48" ht="15" customHeight="1">
      <c r="A48" s="37" t="inlineStr">
        <is>
          <t>Värmepump (el)</t>
        </is>
      </c>
      <c r="B48" s="55">
        <f>El!I129</f>
        <v/>
      </c>
      <c r="C48" s="62" t="n">
        <v>0</v>
      </c>
      <c r="D48" s="61" t="n">
        <v>2.5</v>
      </c>
      <c r="E48" s="309">
        <f>'Regler BFS 2026'!$B$4</f>
        <v/>
      </c>
      <c r="F48" s="46" t="inlineStr">
        <is>
          <t>Värmepump – välj typ</t>
        </is>
      </c>
    </row>
    <row r="49" ht="15" customHeight="1">
      <c r="A49" s="37" t="inlineStr">
        <is>
          <t>Elvärme</t>
        </is>
      </c>
      <c r="B49" s="55">
        <f>El!I130</f>
        <v/>
      </c>
      <c r="C49" s="62" t="n">
        <v>0</v>
      </c>
      <c r="D49" s="61" t="n">
        <v>1</v>
      </c>
      <c r="E49" s="309">
        <f>'Regler BFS 2026'!$B$4</f>
        <v/>
      </c>
      <c r="F49" s="46" t="inlineStr">
        <is>
          <t>El – välj typ</t>
        </is>
      </c>
    </row>
    <row r="50" ht="15" customHeight="1">
      <c r="A50" s="37" t="inlineStr">
        <is>
          <t>Olja</t>
        </is>
      </c>
      <c r="B50" s="55">
        <f>SUMIFS($E$6:$E$25,$B$6:$B$25,"Olja",$C$6:$C$25,"Värme och tappvarmvatten")+SUMIFS($E$6:$E$25,$B$6:$B$25,"Olja",$C$6:$C$25,"Endast uppvärmning")+SUMIFS($E$6:$E$25,$B$6:$B$25,"Olja",$C$6:$C$25,"Endast tappvarmvatten inkl. VVC")</f>
        <v/>
      </c>
      <c r="C50" s="62" t="n">
        <v>0</v>
      </c>
      <c r="D50" s="61" t="n">
        <v>0.85</v>
      </c>
      <c r="E50" s="309">
        <f>'Regler BFS 2026'!$B$8</f>
        <v/>
      </c>
      <c r="F50" s="46" t="inlineStr">
        <is>
          <t>Olja</t>
        </is>
      </c>
    </row>
    <row r="51" ht="15" customHeight="1">
      <c r="A51" s="37" t="inlineStr">
        <is>
          <t>Gas</t>
        </is>
      </c>
      <c r="B51" s="55">
        <f>SUMIFS($E$6:$E$25,$B$6:$B$25,"Gas",$C$6:$C$25,"Värme och tappvarmvatten")+SUMIFS($E$6:$E$25,$B$6:$B$25,"Gas",$C$6:$C$25,"Endast uppvärmning")+SUMIFS($E$6:$E$25,$B$6:$B$25,"Gas",$C$6:$C$25,"Endast tappvarmvatten inkl. VVC")</f>
        <v/>
      </c>
      <c r="C51" s="62" t="n">
        <v>0</v>
      </c>
      <c r="D51" s="61" t="n">
        <v>0.9</v>
      </c>
      <c r="E51" s="309">
        <f>'Regler BFS 2026'!$B$8</f>
        <v/>
      </c>
      <c r="F51" s="46" t="inlineStr">
        <is>
          <t>Gas</t>
        </is>
      </c>
    </row>
    <row r="52" ht="15" customHeight="1">
      <c r="A52" s="37" t="inlineStr">
        <is>
          <t>Pellets/flis/briketter</t>
        </is>
      </c>
      <c r="B52" s="55">
        <f>SUMIFS($E$6:$E$25,$B$6:$B$25,"Pellets/flis/briketter",$C$6:$C$25,"Värme och tappvarmvatten")+SUMIFS($E$6:$E$25,$B$6:$B$25,"Pellets/flis/briketter",$C$6:$C$25,"Endast uppvärmning")+SUMIFS($E$6:$E$25,$B$6:$B$25,"Pellets/flis/briketter",$C$6:$C$25,"Endast tappvarmvatten inkl. VVC")</f>
        <v/>
      </c>
      <c r="C52" s="62" t="n">
        <v>0</v>
      </c>
      <c r="D52" s="61" t="n">
        <v>0.85</v>
      </c>
      <c r="E52" s="309">
        <f>'Regler BFS 2026'!$B$7</f>
        <v/>
      </c>
      <c r="F52" s="46" t="inlineStr">
        <is>
          <t>Flis/pellets/briketter</t>
        </is>
      </c>
    </row>
    <row r="53" ht="15" customHeight="1">
      <c r="A53" s="37" t="inlineStr">
        <is>
          <t>Ved</t>
        </is>
      </c>
      <c r="B53" s="55">
        <f>SUMIFS($E$6:$E$25,$B$6:$B$25,"Ved",$C$6:$C$25,"Värme och tappvarmvatten")+SUMIFS($E$6:$E$25,$B$6:$B$25,"Ved",$C$6:$C$25,"Endast uppvärmning")+SUMIFS($E$6:$E$25,$B$6:$B$25,"Ved",$C$6:$C$25,"Endast tappvarmvatten inkl. VVC")</f>
        <v/>
      </c>
      <c r="C53" s="62" t="n">
        <v>0</v>
      </c>
      <c r="D53" s="61" t="n">
        <v>0.75</v>
      </c>
      <c r="E53" s="309">
        <f>'Regler BFS 2026'!$B$7</f>
        <v/>
      </c>
      <c r="F53" s="46" t="inlineStr">
        <is>
          <t>Ved</t>
        </is>
      </c>
    </row>
    <row r="54" ht="15" customHeight="1">
      <c r="A54" s="37" t="inlineStr">
        <is>
          <t>Övrigt biobränsle</t>
        </is>
      </c>
      <c r="B54" s="55">
        <f>SUMIFS($E$6:$E$25,$B$6:$B$25,"Övrigt biobränsle",$C$6:$C$25,"Värme och tappvarmvatten")+SUMIFS($E$6:$E$25,$B$6:$B$25,"Övrigt biobränsle",$C$6:$C$25,"Endast uppvärmning")+SUMIFS($E$6:$E$25,$B$6:$B$25,"Övrigt biobränsle",$C$6:$C$25,"Endast tappvarmvatten inkl. VVC")</f>
        <v/>
      </c>
      <c r="C54" s="62" t="n">
        <v>0</v>
      </c>
      <c r="D54" s="61" t="n">
        <v>0.85</v>
      </c>
      <c r="E54" s="309">
        <f>'Regler BFS 2026'!$B$7</f>
        <v/>
      </c>
      <c r="F54" s="46" t="inlineStr">
        <is>
          <t>Övrigt biobränsle</t>
        </is>
      </c>
    </row>
    <row r="55" ht="15" customHeight="1">
      <c r="A55" s="16" t="inlineStr">
        <is>
          <t>Summa</t>
        </is>
      </c>
      <c r="B55" s="55">
        <f>SUM(B47:B54)</f>
        <v/>
      </c>
      <c r="C55" s="63">
        <f>SUM(C47:C54)</f>
        <v/>
      </c>
    </row>
    <row r="56" ht="15" customHeight="1">
      <c r="A56" s="37" t="inlineStr">
        <is>
          <t>Kulvertförluster (kWh/år)</t>
        </is>
      </c>
      <c r="B56" s="54" t="n">
        <v>0</v>
      </c>
    </row>
    <row r="57" ht="15" customHeight="1">
      <c r="A57" s="37" t="inlineStr">
        <is>
          <t>Kulvertförluster hanteras</t>
        </is>
      </c>
      <c r="B57" s="46" t="inlineStr">
        <is>
          <t>Fördelas på byggnaderna</t>
        </is>
      </c>
    </row>
    <row r="59" ht="15" customHeight="1">
      <c r="A59" s="297" t="inlineStr">
        <is>
          <t>El</t>
        </is>
      </c>
      <c r="B59" s="37" t="n"/>
      <c r="C59" s="37" t="n"/>
      <c r="D59" s="37" t="n"/>
      <c r="E59" s="37" t="n"/>
      <c r="F59" s="37" t="n"/>
    </row>
    <row r="60" ht="25.5" customHeight="1">
      <c r="A60" s="64" t="inlineStr">
        <is>
          <t>All el, IMD och solceller anges i fliken El. Här anges bara värme, tappvarmvatten och fjärrkyla.</t>
        </is>
      </c>
      <c r="B60" s="65" t="n"/>
      <c r="C60" s="65" t="n"/>
      <c r="D60" s="65" t="n"/>
      <c r="E60" s="65" t="n"/>
      <c r="F60" s="37" t="n"/>
    </row>
    <row r="61" ht="15" customHeight="1">
      <c r="A61" s="37" t="n"/>
      <c r="B61" s="66" t="n"/>
      <c r="C61" s="37" t="n"/>
      <c r="D61" s="37" t="n"/>
      <c r="E61" s="37" t="n"/>
      <c r="F61" s="37" t="n"/>
    </row>
    <row r="62" ht="15" customHeight="1">
      <c r="A62" s="37" t="n"/>
      <c r="B62" s="66" t="n"/>
      <c r="C62" s="66" t="n"/>
      <c r="D62" s="66" t="n"/>
      <c r="E62" s="66" t="n"/>
      <c r="F62" s="37" t="n"/>
    </row>
    <row r="63" ht="15" customHeight="1">
      <c r="A63" s="37" t="n"/>
      <c r="B63" s="66" t="n"/>
      <c r="C63" s="66" t="n"/>
      <c r="D63" s="66" t="n"/>
      <c r="E63" s="66" t="n"/>
      <c r="F63" s="37" t="n"/>
    </row>
    <row r="64" ht="15" customHeight="1">
      <c r="A64" s="37" t="n"/>
      <c r="B64" s="66" t="n"/>
      <c r="C64" s="66" t="n"/>
      <c r="D64" s="66" t="n"/>
      <c r="E64" s="66" t="n"/>
      <c r="F64" s="37" t="n"/>
    </row>
    <row r="65" ht="15" customHeight="1">
      <c r="A65" s="37" t="n"/>
      <c r="B65" s="66" t="n"/>
      <c r="C65" s="66" t="n"/>
      <c r="D65" s="66" t="n"/>
      <c r="E65" s="66" t="n"/>
      <c r="F65" s="37" t="n"/>
    </row>
    <row r="66" ht="15" customHeight="1">
      <c r="A66" s="37" t="n"/>
      <c r="B66" s="66" t="n"/>
      <c r="C66" s="66" t="n"/>
      <c r="D66" s="66" t="n"/>
      <c r="E66" s="37" t="n"/>
      <c r="F66" s="37" t="n"/>
    </row>
    <row r="67" ht="15" customHeight="1">
      <c r="A67" s="37" t="n"/>
      <c r="B67" s="66" t="n"/>
      <c r="C67" s="66" t="n"/>
      <c r="D67" s="66" t="n"/>
      <c r="E67" s="37" t="n"/>
      <c r="F67" s="37" t="n"/>
    </row>
    <row r="68" ht="15" customHeight="1">
      <c r="A68" s="37" t="n"/>
      <c r="B68" s="37" t="n"/>
      <c r="C68" s="37" t="n"/>
      <c r="D68" s="66" t="n"/>
      <c r="E68" s="66" t="n"/>
      <c r="F68" s="37" t="n"/>
    </row>
    <row r="69" ht="15" customHeight="1">
      <c r="A69" s="37" t="n"/>
      <c r="B69" s="37" t="n"/>
      <c r="C69" s="37" t="n"/>
      <c r="D69" s="66" t="n"/>
      <c r="E69" s="37" t="n"/>
      <c r="F69" s="37" t="n"/>
    </row>
    <row r="70" ht="15" customHeight="1">
      <c r="A70" s="37" t="n"/>
      <c r="B70" s="37" t="n"/>
      <c r="C70" s="37" t="n"/>
      <c r="D70" s="66" t="n"/>
      <c r="E70" s="37" t="n"/>
      <c r="F70" s="37" t="n"/>
    </row>
  </sheetData>
  <dataValidations count="4">
    <dataValidation sqref="B6:B25" showDropDown="0" showInputMessage="0" showErrorMessage="0" allowBlank="1" type="list">
      <formula1>'Regler BFS 2026'!$U$5:$U$12</formula1>
    </dataValidation>
    <dataValidation sqref="C6:C25" showDropDown="0" showInputMessage="0" showErrorMessage="0" allowBlank="1" type="list">
      <formula1>'Regler BFS 2026'!$V$5:$V$11</formula1>
    </dataValidation>
    <dataValidation sqref="B29:B36 D6:D25" showDropDown="0" showInputMessage="0" showErrorMessage="0" allowBlank="1" type="list">
      <formula1>'Regler BFS 2026'!$W$5:$W$11</formula1>
    </dataValidation>
    <dataValidation sqref="B57" showDropDown="0" showInputMessage="0" showErrorMessage="0" allowBlank="1" type="list">
      <formula1>'Regler BFS 2026'!$Y$5:$Y$6</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I155"/>
  <sheetViews>
    <sheetView zoomScale="70" zoomScaleNormal="70" workbookViewId="0">
      <pane xSplit="2" ySplit="10" topLeftCell="C17" activePane="bottomRight" state="frozen"/>
      <selection pane="topRight" activeCell="C1" sqref="C1"/>
      <selection pane="bottomLeft" activeCell="A11" sqref="A11"/>
      <selection pane="bottomRight" activeCell="C12" sqref="C12"/>
    </sheetView>
  </sheetViews>
  <sheetFormatPr baseColWidth="8" defaultColWidth="8.6796875" defaultRowHeight="14.5"/>
  <cols>
    <col width="54" customWidth="1" min="1" max="1"/>
    <col width="13" customWidth="1" min="2" max="9"/>
  </cols>
  <sheetData>
    <row r="1" ht="22.75" customHeight="1">
      <c r="A1" s="15" t="inlineStr">
        <is>
          <t>El och solceller</t>
        </is>
      </c>
    </row>
    <row r="2">
      <c r="A2" s="18" t="inlineStr">
        <is>
          <t>Fyll i uppmätt el från fastighetens elmätare, IMD och solceller. Besiktningen fördelar sedan den gemensamma elen på förbrukarna, och den egenanvända solelen fördelas på samma förbrukare.</t>
        </is>
      </c>
    </row>
    <row r="4">
      <c r="A4" s="297" t="inlineStr">
        <is>
          <t>Gemensamt för fastigheten</t>
        </is>
      </c>
    </row>
    <row r="5">
      <c r="A5" s="37" t="inlineStr">
        <is>
          <t>Specifik solproduktion (kWh/kWp,år)</t>
        </is>
      </c>
      <c r="C5" s="54" t="n">
        <v>900</v>
      </c>
    </row>
    <row r="6">
      <c r="A6" s="37" t="inlineStr">
        <is>
          <t>Total solproduktion, om produktion per byggnad saknas (kWh/år)</t>
        </is>
      </c>
      <c r="C6" s="54" t="n"/>
    </row>
    <row r="7">
      <c r="A7" s="37" t="inlineStr">
        <is>
          <t>Total såld el, om såld el per byggnad saknas (kWh/år)</t>
        </is>
      </c>
      <c r="C7" s="54" t="n"/>
    </row>
    <row r="9">
      <c r="A9" s="297" t="inlineStr">
        <is>
          <t>Uppmätt el och solceller per byggnad</t>
        </is>
      </c>
    </row>
    <row r="10">
      <c r="A10" s="16" t="inlineStr">
        <is>
          <t>Byggnad</t>
        </is>
      </c>
      <c r="C10" s="16">
        <f>Byggnader!C12</f>
        <v/>
      </c>
      <c r="D10" s="16">
        <f>Byggnader!D12</f>
        <v/>
      </c>
      <c r="E10" s="16">
        <f>Byggnader!E12</f>
        <v/>
      </c>
      <c r="F10" s="16">
        <f>Byggnader!F12</f>
        <v/>
      </c>
      <c r="G10" s="16">
        <f>Byggnader!G12</f>
        <v/>
      </c>
      <c r="H10" s="16">
        <f>Byggnader!H12</f>
        <v/>
      </c>
      <c r="I10" s="16" t="inlineStr">
        <is>
          <t>Summa</t>
        </is>
      </c>
    </row>
    <row r="11">
      <c r="A11" s="37" t="inlineStr">
        <is>
          <t>Köpt el enligt fastighetens elmätare (kWh/år)</t>
        </is>
      </c>
      <c r="C11" s="54" t="n"/>
      <c r="D11" s="54" t="n"/>
      <c r="E11" s="54" t="n"/>
      <c r="F11" s="54" t="n"/>
      <c r="G11" s="54" t="n"/>
      <c r="H11" s="54" t="n"/>
      <c r="I11" s="55">
        <f>SUM(C11:H11)</f>
        <v/>
      </c>
    </row>
    <row r="12">
      <c r="A12" s="37" t="inlineStr">
        <is>
          <t>Varav IMD-el till lägenheter (kWh/år)</t>
        </is>
      </c>
      <c r="C12" s="54" t="n"/>
      <c r="D12" s="54" t="n"/>
      <c r="E12" s="54" t="n"/>
      <c r="F12" s="54" t="n"/>
      <c r="G12" s="54" t="n"/>
      <c r="H12" s="54" t="n"/>
      <c r="I12" s="55">
        <f>SUM(C12:H12)</f>
        <v/>
      </c>
    </row>
    <row r="13">
      <c r="A13" s="37" t="inlineStr">
        <is>
          <t>Hushållsel med egna abonnemang, om känd (kWh/år)</t>
        </is>
      </c>
      <c r="C13" s="54" t="n"/>
      <c r="D13" s="54" t="n"/>
      <c r="E13" s="54" t="n"/>
      <c r="F13" s="54" t="n"/>
      <c r="G13" s="54" t="n"/>
      <c r="H13" s="54" t="n"/>
      <c r="I13" s="55">
        <f>SUM(C13:H13)</f>
        <v/>
      </c>
    </row>
    <row r="14">
      <c r="A14" s="37" t="inlineStr">
        <is>
          <t>Solceller, installerad effekt (kWp)</t>
        </is>
      </c>
      <c r="C14" s="310" t="n"/>
      <c r="D14" s="310" t="n"/>
      <c r="E14" s="310" t="n"/>
      <c r="F14" s="310" t="n"/>
      <c r="G14" s="310" t="n"/>
      <c r="H14" s="310" t="n"/>
      <c r="I14" s="309">
        <f>SUM(C14:H14)</f>
        <v/>
      </c>
    </row>
    <row r="15">
      <c r="A15" s="37" t="inlineStr">
        <is>
          <t>Solceller, uppmätt årsproduktion (kWh/år)</t>
        </is>
      </c>
      <c r="C15" s="54" t="n"/>
      <c r="D15" s="54" t="n"/>
      <c r="E15" s="54" t="n"/>
      <c r="F15" s="54" t="n"/>
      <c r="G15" s="54" t="n"/>
      <c r="H15" s="54" t="n"/>
      <c r="I15" s="55">
        <f>SUM(C15:H15)</f>
        <v/>
      </c>
    </row>
    <row r="16">
      <c r="A16" s="37" t="inlineStr">
        <is>
          <t>Solceller, såld el, överskott (kWh/år)</t>
        </is>
      </c>
      <c r="C16" s="54" t="n"/>
      <c r="D16" s="54" t="n"/>
      <c r="E16" s="54" t="n"/>
      <c r="F16" s="54" t="n"/>
      <c r="G16" s="54" t="n"/>
      <c r="H16" s="54" t="n"/>
      <c r="I16" s="55">
        <f>SUM(C16:H16)</f>
        <v/>
      </c>
    </row>
    <row r="17">
      <c r="A17" s="37" t="inlineStr">
        <is>
          <t>Solproduktion (kWh/år)</t>
        </is>
      </c>
      <c r="C17" s="55">
        <f>IF(C15&lt;&gt;"",C15,IF($C$6&gt;0,$C$6*IF($I$14&gt;0,C14/$I$14,Byggnader!C33),C14*$C$5))</f>
        <v/>
      </c>
      <c r="D17" s="55">
        <f>IF(D15&lt;&gt;"",D15,IF($C$6&gt;0,$C$6*IF($I$14&gt;0,D14/$I$14,Byggnader!D33),D14*$C$5))</f>
        <v/>
      </c>
      <c r="E17" s="55">
        <f>IF(E15&lt;&gt;"",E15,IF($C$6&gt;0,$C$6*IF($I$14&gt;0,E14/$I$14,Byggnader!E33),E14*$C$5))</f>
        <v/>
      </c>
      <c r="F17" s="55">
        <f>IF(F15&lt;&gt;"",F15,IF($C$6&gt;0,$C$6*IF($I$14&gt;0,F14/$I$14,Byggnader!F33),F14*$C$5))</f>
        <v/>
      </c>
      <c r="G17" s="55">
        <f>IF(G15&lt;&gt;"",G15,IF($C$6&gt;0,$C$6*IF($I$14&gt;0,G14/$I$14,Byggnader!G33),G14*$C$5))</f>
        <v/>
      </c>
      <c r="H17" s="55">
        <f>IF(H15&lt;&gt;"",H15,IF($C$6&gt;0,$C$6*IF($I$14&gt;0,H14/$I$14,Byggnader!H33),H14*$C$5))</f>
        <v/>
      </c>
      <c r="I17" s="55">
        <f>SUM(C17:H17)</f>
        <v/>
      </c>
    </row>
    <row r="18">
      <c r="A18" s="37" t="inlineStr">
        <is>
          <t>Såld el (kWh/år)</t>
        </is>
      </c>
      <c r="C18" s="55">
        <f>IF(C16&lt;&gt;"",C16,N($C$7)*IFERROR(C17/$I$17,0))</f>
        <v/>
      </c>
      <c r="D18" s="55">
        <f>IF(D16&lt;&gt;"",D16,N($C$7)*IFERROR(D17/$I$17,0))</f>
        <v/>
      </c>
      <c r="E18" s="55">
        <f>IF(E16&lt;&gt;"",E16,N($C$7)*IFERROR(E17/$I$17,0))</f>
        <v/>
      </c>
      <c r="F18" s="55">
        <f>IF(F16&lt;&gt;"",F16,N($C$7)*IFERROR(F17/$I$17,0))</f>
        <v/>
      </c>
      <c r="G18" s="55">
        <f>IF(G16&lt;&gt;"",G16,N($C$7)*IFERROR(G17/$I$17,0))</f>
        <v/>
      </c>
      <c r="H18" s="55">
        <f>IF(H16&lt;&gt;"",H16,N($C$7)*IFERROR(H17/$I$17,0))</f>
        <v/>
      </c>
      <c r="I18" s="55">
        <f>SUM(C18:H18)</f>
        <v/>
      </c>
    </row>
    <row r="19">
      <c r="A19" s="16" t="inlineStr">
        <is>
          <t>Egenanvänd solel (kWh/år)</t>
        </is>
      </c>
      <c r="C19" s="55">
        <f>MAX(0,C17-C18)</f>
        <v/>
      </c>
      <c r="D19" s="55">
        <f>MAX(0,D17-D18)</f>
        <v/>
      </c>
      <c r="E19" s="55">
        <f>MAX(0,E17-E18)</f>
        <v/>
      </c>
      <c r="F19" s="55">
        <f>MAX(0,F17-F18)</f>
        <v/>
      </c>
      <c r="G19" s="55">
        <f>MAX(0,G17-G18)</f>
        <v/>
      </c>
      <c r="H19" s="55">
        <f>MAX(0,H17-H18)</f>
        <v/>
      </c>
      <c r="I19" s="55">
        <f>SUM(C19:H19)</f>
        <v/>
      </c>
    </row>
    <row r="20">
      <c r="A20" s="37" t="inlineStr">
        <is>
          <t>Total elanvändning bakom mätaren (kWh/år)</t>
        </is>
      </c>
      <c r="C20" s="55">
        <f>C11+C19</f>
        <v/>
      </c>
      <c r="D20" s="55">
        <f>D11+D19</f>
        <v/>
      </c>
      <c r="E20" s="55">
        <f>E11+E19</f>
        <v/>
      </c>
      <c r="F20" s="55">
        <f>F11+F19</f>
        <v/>
      </c>
      <c r="G20" s="55">
        <f>G11+G19</f>
        <v/>
      </c>
      <c r="H20" s="55">
        <f>H11+H19</f>
        <v/>
      </c>
      <c r="I20" s="55">
        <f>SUM(C20:H20)</f>
        <v/>
      </c>
    </row>
    <row r="21">
      <c r="A21" s="16" t="inlineStr">
        <is>
          <t>Gemensam el att fördela, exkl. IMD (kWh/år)</t>
        </is>
      </c>
      <c r="C21" s="55">
        <f>MAX(0,C20-C12)</f>
        <v/>
      </c>
      <c r="D21" s="55">
        <f>MAX(0,D20-D12)</f>
        <v/>
      </c>
      <c r="E21" s="55">
        <f>MAX(0,E20-E12)</f>
        <v/>
      </c>
      <c r="F21" s="55">
        <f>MAX(0,F20-F12)</f>
        <v/>
      </c>
      <c r="G21" s="55">
        <f>MAX(0,G20-G12)</f>
        <v/>
      </c>
      <c r="H21" s="55">
        <f>MAX(0,H20-H12)</f>
        <v/>
      </c>
      <c r="I21" s="55">
        <f>SUM(C21:H21)</f>
        <v/>
      </c>
    </row>
    <row r="23">
      <c r="A23" s="297" t="inlineStr">
        <is>
          <t>Besiktningens fördelning av den gemensamma elen</t>
        </is>
      </c>
    </row>
    <row r="24" ht="25.5" customHeight="1">
      <c r="A24" s="50" t="inlineStr">
        <is>
          <t>Förbrukare</t>
        </is>
      </c>
      <c r="B24" s="50" t="inlineStr">
        <is>
          <t>Ingår i energiprestanda</t>
        </is>
      </c>
      <c r="C24" s="50" t="inlineStr">
        <is>
          <t>Besiktningens beräkning kWh/år</t>
        </is>
      </c>
      <c r="D24" s="50" t="inlineStr">
        <is>
          <t>Andel</t>
        </is>
      </c>
    </row>
    <row r="25">
      <c r="A25" s="37" t="inlineStr">
        <is>
          <t>Fastighetsel (ventilation, pumpar, belysning, styrning)</t>
        </is>
      </c>
      <c r="B25" s="291" t="inlineStr">
        <is>
          <t>Ja</t>
        </is>
      </c>
      <c r="C25" s="54">
        <f>Besiktningsprotokoll!D125</f>
        <v/>
      </c>
      <c r="D25" s="56">
        <f>IFERROR(C25/SUM($C$25:$C$30),0)</f>
        <v/>
      </c>
    </row>
    <row r="26">
      <c r="A26" s="37" t="inlineStr">
        <is>
          <t>Värmepump</t>
        </is>
      </c>
      <c r="B26" s="291" t="inlineStr">
        <is>
          <t>Ja</t>
        </is>
      </c>
      <c r="C26" s="54">
        <f>Besiktningsprotokoll!G88</f>
        <v/>
      </c>
      <c r="D26" s="56">
        <f>IFERROR(C26/SUM($C$25:$C$30),0)</f>
        <v/>
      </c>
    </row>
    <row r="27">
      <c r="A27" s="37" t="inlineStr">
        <is>
          <t>Elvärme</t>
        </is>
      </c>
      <c r="B27" s="291" t="inlineStr">
        <is>
          <t>Ja</t>
        </is>
      </c>
      <c r="C27" s="54">
        <f>Besiktningsprotokoll!D130</f>
        <v/>
      </c>
      <c r="D27" s="56">
        <f>IFERROR(C27/SUM($C$25:$C$30),0)</f>
        <v/>
      </c>
    </row>
    <row r="28">
      <c r="A28" s="37" t="inlineStr">
        <is>
          <t>El för komfortkyla</t>
        </is>
      </c>
      <c r="B28" s="291" t="inlineStr">
        <is>
          <t>Ja</t>
        </is>
      </c>
      <c r="C28" s="54">
        <f>Besiktningsprotokoll!J88</f>
        <v/>
      </c>
      <c r="D28" s="56">
        <f>IFERROR(C28/SUM($C$25:$C$30),0)</f>
        <v/>
      </c>
    </row>
    <row r="29">
      <c r="A29" s="37" t="inlineStr">
        <is>
          <t>Verksamhetsel (tvättstugor, motorvärmare, utebelysning)</t>
        </is>
      </c>
      <c r="B29" s="291" t="inlineStr">
        <is>
          <t>Nej</t>
        </is>
      </c>
      <c r="C29" s="54">
        <f>Besiktningsprotokoll!E8</f>
        <v/>
      </c>
      <c r="D29" s="56">
        <f>IFERROR(C29/SUM($C$25:$C$30),0)</f>
        <v/>
      </c>
    </row>
    <row r="30">
      <c r="A30" s="37" t="inlineStr">
        <is>
          <t>El utanför systemgräns (hiss, värmekablar m.m.)</t>
        </is>
      </c>
      <c r="B30" s="291" t="inlineStr">
        <is>
          <t>Nej</t>
        </is>
      </c>
      <c r="C30" s="54" t="n">
        <v>0</v>
      </c>
      <c r="D30" s="56">
        <f>IFERROR(C30/SUM($C$25:$C$30),0)</f>
        <v/>
      </c>
    </row>
    <row r="31">
      <c r="A31" s="16" t="inlineStr">
        <is>
          <t>Summa</t>
        </is>
      </c>
      <c r="C31" s="55">
        <f>SUM(C25:C30)</f>
        <v/>
      </c>
      <c r="D31" s="56">
        <f>SUM(D25:D30)</f>
        <v/>
      </c>
    </row>
    <row r="32">
      <c r="A32" s="37" t="inlineStr">
        <is>
          <t>Besiktningens summa jämfört med uppmätt gemensam el</t>
        </is>
      </c>
      <c r="C32" s="69">
        <f>IFERROR(C31/$I$21-1,0)</f>
        <v/>
      </c>
    </row>
    <row r="34">
      <c r="A34" s="297" t="inlineStr">
        <is>
          <t>Manuell andel per byggnad (%), lämna tomt för besiktningens andel (rad 150–155)</t>
        </is>
      </c>
    </row>
    <row r="35">
      <c r="A35" s="16" t="inlineStr">
        <is>
          <t>Byggnad</t>
        </is>
      </c>
      <c r="C35" s="16">
        <f>Byggnader!C12</f>
        <v/>
      </c>
      <c r="D35" s="16">
        <f>Byggnader!D12</f>
        <v/>
      </c>
      <c r="E35" s="16">
        <f>Byggnader!E12</f>
        <v/>
      </c>
      <c r="F35" s="16">
        <f>Byggnader!F12</f>
        <v/>
      </c>
      <c r="G35" s="16">
        <f>Byggnader!G12</f>
        <v/>
      </c>
      <c r="H35" s="16">
        <f>Byggnader!H12</f>
        <v/>
      </c>
      <c r="I35" s="16" t="inlineStr">
        <is>
          <t>Summa</t>
        </is>
      </c>
    </row>
    <row r="36">
      <c r="A36" s="37" t="inlineStr">
        <is>
          <t>Fastighetsel (ventilation, pumpar, belysning, styrning)</t>
        </is>
      </c>
      <c r="C36" s="57" t="n"/>
      <c r="D36" s="57" t="n"/>
      <c r="E36" s="57" t="n"/>
      <c r="F36" s="57" t="n"/>
      <c r="G36" s="57" t="n"/>
      <c r="H36" s="57" t="n"/>
    </row>
    <row r="37">
      <c r="A37" s="37" t="inlineStr">
        <is>
          <t>Värmepump</t>
        </is>
      </c>
      <c r="C37" s="57" t="n"/>
      <c r="D37" s="57" t="n"/>
      <c r="E37" s="57" t="n"/>
      <c r="F37" s="57" t="n"/>
      <c r="G37" s="57" t="n"/>
      <c r="H37" s="57" t="n"/>
    </row>
    <row r="38">
      <c r="A38" s="37" t="inlineStr">
        <is>
          <t>Elvärme</t>
        </is>
      </c>
      <c r="C38" s="57" t="n"/>
      <c r="D38" s="57" t="n"/>
      <c r="E38" s="57" t="n"/>
      <c r="F38" s="57" t="n"/>
      <c r="G38" s="57" t="n"/>
      <c r="H38" s="57" t="n"/>
    </row>
    <row r="39">
      <c r="A39" s="37" t="inlineStr">
        <is>
          <t>El för komfortkyla</t>
        </is>
      </c>
      <c r="C39" s="57" t="n"/>
      <c r="D39" s="57" t="n"/>
      <c r="E39" s="57" t="n"/>
      <c r="F39" s="57" t="n"/>
      <c r="G39" s="57" t="n"/>
      <c r="H39" s="57" t="n"/>
    </row>
    <row r="40">
      <c r="A40" s="37" t="inlineStr">
        <is>
          <t>Verksamhetsel (tvättstugor, motorvärmare, utebelysning)</t>
        </is>
      </c>
      <c r="C40" s="57" t="n"/>
      <c r="D40" s="57" t="n"/>
      <c r="E40" s="57" t="n"/>
      <c r="F40" s="57" t="n"/>
      <c r="G40" s="57" t="n"/>
      <c r="H40" s="57" t="n"/>
    </row>
    <row r="41">
      <c r="A41" s="37" t="inlineStr">
        <is>
          <t>El utanför systemgräns (hiss, värmekablar m.m.)</t>
        </is>
      </c>
      <c r="C41" s="57" t="n"/>
      <c r="D41" s="57" t="n"/>
      <c r="E41" s="57" t="n"/>
      <c r="F41" s="57" t="n"/>
      <c r="G41" s="57" t="n"/>
      <c r="H41" s="57" t="n"/>
    </row>
    <row r="43">
      <c r="A43" s="297" t="inlineStr">
        <is>
          <t>Uppmätt el per förbrukare, om undermätare finns (kWh/år)</t>
        </is>
      </c>
    </row>
    <row r="44">
      <c r="A44" s="16" t="inlineStr">
        <is>
          <t>Byggnad</t>
        </is>
      </c>
      <c r="C44" s="16">
        <f>Byggnader!C12</f>
        <v/>
      </c>
      <c r="D44" s="16">
        <f>Byggnader!D12</f>
        <v/>
      </c>
      <c r="E44" s="16">
        <f>Byggnader!E12</f>
        <v/>
      </c>
      <c r="F44" s="16">
        <f>Byggnader!F12</f>
        <v/>
      </c>
      <c r="G44" s="16">
        <f>Byggnader!G12</f>
        <v/>
      </c>
      <c r="H44" s="16">
        <f>Byggnader!H12</f>
        <v/>
      </c>
      <c r="I44" s="16" t="inlineStr">
        <is>
          <t>Summa</t>
        </is>
      </c>
    </row>
    <row r="45">
      <c r="A45" s="37" t="inlineStr">
        <is>
          <t>Fastighetsel (ventilation, pumpar, belysning, styrning)</t>
        </is>
      </c>
      <c r="C45" s="54" t="n"/>
      <c r="D45" s="54" t="n"/>
      <c r="E45" s="54" t="n"/>
      <c r="F45" s="54" t="n"/>
      <c r="G45" s="54" t="n"/>
      <c r="H45" s="54" t="n"/>
    </row>
    <row r="46">
      <c r="A46" s="37" t="inlineStr">
        <is>
          <t>Värmepump</t>
        </is>
      </c>
      <c r="C46" s="54" t="n"/>
      <c r="D46" s="54" t="n"/>
      <c r="E46" s="54" t="n"/>
      <c r="F46" s="54" t="n"/>
      <c r="G46" s="54" t="n"/>
      <c r="H46" s="54" t="n"/>
    </row>
    <row r="47">
      <c r="A47" s="37" t="inlineStr">
        <is>
          <t>Elvärme</t>
        </is>
      </c>
      <c r="C47" s="54" t="n"/>
      <c r="D47" s="54" t="n"/>
      <c r="E47" s="54" t="n"/>
      <c r="F47" s="54" t="n"/>
      <c r="G47" s="54" t="n"/>
      <c r="H47" s="54" t="n"/>
    </row>
    <row r="48">
      <c r="A48" s="37" t="inlineStr">
        <is>
          <t>El för komfortkyla</t>
        </is>
      </c>
      <c r="C48" s="54" t="n"/>
      <c r="D48" s="54" t="n"/>
      <c r="E48" s="54" t="n"/>
      <c r="F48" s="54" t="n"/>
      <c r="G48" s="54" t="n"/>
      <c r="H48" s="54" t="n"/>
    </row>
    <row r="49">
      <c r="A49" s="37" t="inlineStr">
        <is>
          <t>Verksamhetsel (tvättstugor, motorvärmare, utebelysning)</t>
        </is>
      </c>
      <c r="C49" s="54" t="n"/>
      <c r="D49" s="54" t="n"/>
      <c r="E49" s="54" t="n"/>
      <c r="F49" s="54" t="n"/>
      <c r="G49" s="54" t="n"/>
      <c r="H49" s="54" t="n"/>
    </row>
    <row r="50">
      <c r="A50" s="37" t="inlineStr">
        <is>
          <t>El utanför systemgräns (hiss, värmekablar m.m.)</t>
        </is>
      </c>
      <c r="C50" s="54" t="n"/>
      <c r="D50" s="54" t="n"/>
      <c r="E50" s="54" t="n"/>
      <c r="F50" s="54" t="n"/>
      <c r="G50" s="54" t="n"/>
      <c r="H50" s="54" t="n"/>
    </row>
    <row r="52">
      <c r="A52" s="297" t="inlineStr">
        <is>
          <t>Andel som används för fördelningen</t>
        </is>
      </c>
    </row>
    <row r="53">
      <c r="A53" s="16" t="inlineStr">
        <is>
          <t>Byggnad</t>
        </is>
      </c>
      <c r="C53" s="16">
        <f>Byggnader!C12</f>
        <v/>
      </c>
      <c r="D53" s="16">
        <f>Byggnader!D12</f>
        <v/>
      </c>
      <c r="E53" s="16">
        <f>Byggnader!E12</f>
        <v/>
      </c>
      <c r="F53" s="16">
        <f>Byggnader!F12</f>
        <v/>
      </c>
      <c r="G53" s="16">
        <f>Byggnader!G12</f>
        <v/>
      </c>
      <c r="H53" s="16">
        <f>Byggnader!H12</f>
        <v/>
      </c>
      <c r="I53" s="16" t="inlineStr">
        <is>
          <t>Summa</t>
        </is>
      </c>
    </row>
    <row r="54">
      <c r="A54" s="37" t="inlineStr">
        <is>
          <t>Fastighetsel (ventilation, pumpar, belysning, styrning)</t>
        </is>
      </c>
      <c r="C54" s="56">
        <f>IF(C45&lt;&gt;"",0,IF(C36&lt;&gt;"",C36,C150))</f>
        <v/>
      </c>
      <c r="D54" s="56">
        <f>IF(D45&lt;&gt;"",0,IF(D36&lt;&gt;"",D36,D150))</f>
        <v/>
      </c>
      <c r="E54" s="56">
        <f>IF(E45&lt;&gt;"",0,IF(E36&lt;&gt;"",E36,E150))</f>
        <v/>
      </c>
      <c r="F54" s="56">
        <f>IF(F45&lt;&gt;"",0,IF(F36&lt;&gt;"",F36,F150))</f>
        <v/>
      </c>
      <c r="G54" s="56">
        <f>IF(G45&lt;&gt;"",0,IF(G36&lt;&gt;"",G36,G150))</f>
        <v/>
      </c>
      <c r="H54" s="56">
        <f>IF(H45&lt;&gt;"",0,IF(H36&lt;&gt;"",H36,H150))</f>
        <v/>
      </c>
    </row>
    <row r="55">
      <c r="A55" s="37" t="inlineStr">
        <is>
          <t>Värmepump</t>
        </is>
      </c>
      <c r="C55" s="56">
        <f>IF(C46&lt;&gt;"",0,IF(C37&lt;&gt;"",C37,C151))</f>
        <v/>
      </c>
      <c r="D55" s="56">
        <f>IF(D46&lt;&gt;"",0,IF(D37&lt;&gt;"",D37,D151))</f>
        <v/>
      </c>
      <c r="E55" s="56">
        <f>IF(E46&lt;&gt;"",0,IF(E37&lt;&gt;"",E37,E151))</f>
        <v/>
      </c>
      <c r="F55" s="56">
        <f>IF(F46&lt;&gt;"",0,IF(F37&lt;&gt;"",F37,F151))</f>
        <v/>
      </c>
      <c r="G55" s="56">
        <f>IF(G46&lt;&gt;"",0,IF(G37&lt;&gt;"",G37,G151))</f>
        <v/>
      </c>
      <c r="H55" s="56">
        <f>IF(H46&lt;&gt;"",0,IF(H37&lt;&gt;"",H37,H151))</f>
        <v/>
      </c>
    </row>
    <row r="56">
      <c r="A56" s="37" t="inlineStr">
        <is>
          <t>Elvärme</t>
        </is>
      </c>
      <c r="C56" s="56">
        <f>IF(C47&lt;&gt;"",0,IF(C38&lt;&gt;"",C38,C152))</f>
        <v/>
      </c>
      <c r="D56" s="56">
        <f>IF(D47&lt;&gt;"",0,IF(D38&lt;&gt;"",D38,D152))</f>
        <v/>
      </c>
      <c r="E56" s="56">
        <f>IF(E47&lt;&gt;"",0,IF(E38&lt;&gt;"",E38,E152))</f>
        <v/>
      </c>
      <c r="F56" s="56">
        <f>IF(F47&lt;&gt;"",0,IF(F38&lt;&gt;"",F38,F152))</f>
        <v/>
      </c>
      <c r="G56" s="56">
        <f>IF(G47&lt;&gt;"",0,IF(G38&lt;&gt;"",G38,G152))</f>
        <v/>
      </c>
      <c r="H56" s="56">
        <f>IF(H47&lt;&gt;"",0,IF(H38&lt;&gt;"",H38,H152))</f>
        <v/>
      </c>
    </row>
    <row r="57">
      <c r="A57" s="37" t="inlineStr">
        <is>
          <t>El för komfortkyla</t>
        </is>
      </c>
      <c r="C57" s="56">
        <f>IF(C48&lt;&gt;"",0,IF(C39&lt;&gt;"",C39,C153))</f>
        <v/>
      </c>
      <c r="D57" s="56">
        <f>IF(D48&lt;&gt;"",0,IF(D39&lt;&gt;"",D39,D153))</f>
        <v/>
      </c>
      <c r="E57" s="56">
        <f>IF(E48&lt;&gt;"",0,IF(E39&lt;&gt;"",E39,E153))</f>
        <v/>
      </c>
      <c r="F57" s="56">
        <f>IF(F48&lt;&gt;"",0,IF(F39&lt;&gt;"",F39,F153))</f>
        <v/>
      </c>
      <c r="G57" s="56">
        <f>IF(G48&lt;&gt;"",0,IF(G39&lt;&gt;"",G39,G153))</f>
        <v/>
      </c>
      <c r="H57" s="56">
        <f>IF(H48&lt;&gt;"",0,IF(H39&lt;&gt;"",H39,H153))</f>
        <v/>
      </c>
    </row>
    <row r="58">
      <c r="A58" s="37" t="inlineStr">
        <is>
          <t>Verksamhetsel (tvättstugor, motorvärmare, utebelysning)</t>
        </is>
      </c>
      <c r="C58" s="56">
        <f>IF(C49&lt;&gt;"",0,IF(C40&lt;&gt;"",C40,C154))</f>
        <v/>
      </c>
      <c r="D58" s="56">
        <f>IF(D49&lt;&gt;"",0,IF(D40&lt;&gt;"",D40,D154))</f>
        <v/>
      </c>
      <c r="E58" s="56">
        <f>IF(E49&lt;&gt;"",0,IF(E40&lt;&gt;"",E40,E154))</f>
        <v/>
      </c>
      <c r="F58" s="56">
        <f>IF(F49&lt;&gt;"",0,IF(F40&lt;&gt;"",F40,F154))</f>
        <v/>
      </c>
      <c r="G58" s="56">
        <f>IF(G49&lt;&gt;"",0,IF(G40&lt;&gt;"",G40,G154))</f>
        <v/>
      </c>
      <c r="H58" s="56">
        <f>IF(H49&lt;&gt;"",0,IF(H40&lt;&gt;"",H40,H154))</f>
        <v/>
      </c>
    </row>
    <row r="59">
      <c r="A59" s="37" t="inlineStr">
        <is>
          <t>El utanför systemgräns (hiss, värmekablar m.m.)</t>
        </is>
      </c>
      <c r="C59" s="56">
        <f>IF(C50&lt;&gt;"",0,IF(C41&lt;&gt;"",C41,C155))</f>
        <v/>
      </c>
      <c r="D59" s="56">
        <f>IF(D50&lt;&gt;"",0,IF(D41&lt;&gt;"",D41,D155))</f>
        <v/>
      </c>
      <c r="E59" s="56">
        <f>IF(E50&lt;&gt;"",0,IF(E41&lt;&gt;"",E41,E155))</f>
        <v/>
      </c>
      <c r="F59" s="56">
        <f>IF(F50&lt;&gt;"",0,IF(F41&lt;&gt;"",F41,F155))</f>
        <v/>
      </c>
      <c r="G59" s="56">
        <f>IF(G50&lt;&gt;"",0,IF(G41&lt;&gt;"",G41,G155))</f>
        <v/>
      </c>
      <c r="H59" s="56">
        <f>IF(H50&lt;&gt;"",0,IF(H41&lt;&gt;"",H41,H155))</f>
        <v/>
      </c>
    </row>
    <row r="61">
      <c r="A61" s="297" t="inlineStr">
        <is>
          <t>Fördelad gemensam el (kWh/år)</t>
        </is>
      </c>
    </row>
    <row r="62">
      <c r="A62" s="16" t="inlineStr">
        <is>
          <t>Byggnad</t>
        </is>
      </c>
      <c r="C62" s="16">
        <f>Byggnader!C12</f>
        <v/>
      </c>
      <c r="D62" s="16">
        <f>Byggnader!D12</f>
        <v/>
      </c>
      <c r="E62" s="16">
        <f>Byggnader!E12</f>
        <v/>
      </c>
      <c r="F62" s="16">
        <f>Byggnader!F12</f>
        <v/>
      </c>
      <c r="G62" s="16">
        <f>Byggnader!G12</f>
        <v/>
      </c>
      <c r="H62" s="16">
        <f>Byggnader!H12</f>
        <v/>
      </c>
      <c r="I62" s="16" t="inlineStr">
        <is>
          <t>Summa</t>
        </is>
      </c>
    </row>
    <row r="63">
      <c r="A63" s="37" t="inlineStr">
        <is>
          <t>Fastighetsel (ventilation, pumpar, belysning, styrning)</t>
        </is>
      </c>
      <c r="C63" s="55">
        <f>IF(C45&lt;&gt;"",C45,IFERROR(MAX(0,C$21-SUM(C$45:C$50))*C54/SUM(C$54:C$59),0))</f>
        <v/>
      </c>
      <c r="D63" s="55">
        <f>IF(D45&lt;&gt;"",D45,IFERROR(MAX(0,D$21-SUM(D$45:D$50))*D54/SUM(D$54:D$59),0))</f>
        <v/>
      </c>
      <c r="E63" s="55">
        <f>IF(E45&lt;&gt;"",E45,IFERROR(MAX(0,E$21-SUM(E$45:E$50))*E54/SUM(E$54:E$59),0))</f>
        <v/>
      </c>
      <c r="F63" s="55">
        <f>IF(F45&lt;&gt;"",F45,IFERROR(MAX(0,F$21-SUM(F$45:F$50))*F54/SUM(F$54:F$59),0))</f>
        <v/>
      </c>
      <c r="G63" s="55">
        <f>IF(G45&lt;&gt;"",G45,IFERROR(MAX(0,G$21-SUM(G$45:G$50))*G54/SUM(G$54:G$59),0))</f>
        <v/>
      </c>
      <c r="H63" s="55">
        <f>IF(H45&lt;&gt;"",H45,IFERROR(MAX(0,H$21-SUM(H$45:H$50))*H54/SUM(H$54:H$59),0))</f>
        <v/>
      </c>
      <c r="I63" s="55">
        <f>SUM(C63:H63)</f>
        <v/>
      </c>
    </row>
    <row r="64">
      <c r="A64" s="37" t="inlineStr">
        <is>
          <t>Värmepump</t>
        </is>
      </c>
      <c r="C64" s="55">
        <f>IF(C46&lt;&gt;"",C46,IFERROR(MAX(0,C$21-SUM(C$45:C$50))*C55/SUM(C$54:C$59),0))</f>
        <v/>
      </c>
      <c r="D64" s="55">
        <f>IF(D46&lt;&gt;"",D46,IFERROR(MAX(0,D$21-SUM(D$45:D$50))*D55/SUM(D$54:D$59),0))</f>
        <v/>
      </c>
      <c r="E64" s="55">
        <f>IF(E46&lt;&gt;"",E46,IFERROR(MAX(0,E$21-SUM(E$45:E$50))*E55/SUM(E$54:E$59),0))</f>
        <v/>
      </c>
      <c r="F64" s="55">
        <f>IF(F46&lt;&gt;"",F46,IFERROR(MAX(0,F$21-SUM(F$45:F$50))*F55/SUM(F$54:F$59),0))</f>
        <v/>
      </c>
      <c r="G64" s="55">
        <f>IF(G46&lt;&gt;"",G46,IFERROR(MAX(0,G$21-SUM(G$45:G$50))*G55/SUM(G$54:G$59),0))</f>
        <v/>
      </c>
      <c r="H64" s="55">
        <f>IF(H46&lt;&gt;"",H46,IFERROR(MAX(0,H$21-SUM(H$45:H$50))*H55/SUM(H$54:H$59),0))</f>
        <v/>
      </c>
      <c r="I64" s="55">
        <f>SUM(C64:H64)</f>
        <v/>
      </c>
    </row>
    <row r="65">
      <c r="A65" s="37" t="inlineStr">
        <is>
          <t>Elvärme</t>
        </is>
      </c>
      <c r="C65" s="55">
        <f>IF(C47&lt;&gt;"",C47,IFERROR(MAX(0,C$21-SUM(C$45:C$50))*C56/SUM(C$54:C$59),0))</f>
        <v/>
      </c>
      <c r="D65" s="55">
        <f>IF(D47&lt;&gt;"",D47,IFERROR(MAX(0,D$21-SUM(D$45:D$50))*D56/SUM(D$54:D$59),0))</f>
        <v/>
      </c>
      <c r="E65" s="55">
        <f>IF(E47&lt;&gt;"",E47,IFERROR(MAX(0,E$21-SUM(E$45:E$50))*E56/SUM(E$54:E$59),0))</f>
        <v/>
      </c>
      <c r="F65" s="55">
        <f>IF(F47&lt;&gt;"",F47,IFERROR(MAX(0,F$21-SUM(F$45:F$50))*F56/SUM(F$54:F$59),0))</f>
        <v/>
      </c>
      <c r="G65" s="55">
        <f>IF(G47&lt;&gt;"",G47,IFERROR(MAX(0,G$21-SUM(G$45:G$50))*G56/SUM(G$54:G$59),0))</f>
        <v/>
      </c>
      <c r="H65" s="55">
        <f>IF(H47&lt;&gt;"",H47,IFERROR(MAX(0,H$21-SUM(H$45:H$50))*H56/SUM(H$54:H$59),0))</f>
        <v/>
      </c>
      <c r="I65" s="55">
        <f>SUM(C65:H65)</f>
        <v/>
      </c>
    </row>
    <row r="66">
      <c r="A66" s="37" t="inlineStr">
        <is>
          <t>El för komfortkyla</t>
        </is>
      </c>
      <c r="C66" s="55">
        <f>IF(C48&lt;&gt;"",C48,IFERROR(MAX(0,C$21-SUM(C$45:C$50))*C57/SUM(C$54:C$59),0))</f>
        <v/>
      </c>
      <c r="D66" s="55">
        <f>IF(D48&lt;&gt;"",D48,IFERROR(MAX(0,D$21-SUM(D$45:D$50))*D57/SUM(D$54:D$59),0))</f>
        <v/>
      </c>
      <c r="E66" s="55">
        <f>IF(E48&lt;&gt;"",E48,IFERROR(MAX(0,E$21-SUM(E$45:E$50))*E57/SUM(E$54:E$59),0))</f>
        <v/>
      </c>
      <c r="F66" s="55">
        <f>IF(F48&lt;&gt;"",F48,IFERROR(MAX(0,F$21-SUM(F$45:F$50))*F57/SUM(F$54:F$59),0))</f>
        <v/>
      </c>
      <c r="G66" s="55">
        <f>IF(G48&lt;&gt;"",G48,IFERROR(MAX(0,G$21-SUM(G$45:G$50))*G57/SUM(G$54:G$59),0))</f>
        <v/>
      </c>
      <c r="H66" s="55">
        <f>IF(H48&lt;&gt;"",H48,IFERROR(MAX(0,H$21-SUM(H$45:H$50))*H57/SUM(H$54:H$59),0))</f>
        <v/>
      </c>
      <c r="I66" s="55">
        <f>SUM(C66:H66)</f>
        <v/>
      </c>
    </row>
    <row r="67">
      <c r="A67" s="37" t="inlineStr">
        <is>
          <t>Verksamhetsel (tvättstugor, motorvärmare, utebelysning)</t>
        </is>
      </c>
      <c r="C67" s="55">
        <f>IF(C49&lt;&gt;"",C49,IFERROR(MAX(0,C$21-SUM(C$45:C$50))*C58/SUM(C$54:C$59),0))</f>
        <v/>
      </c>
      <c r="D67" s="55">
        <f>IF(D49&lt;&gt;"",D49,IFERROR(MAX(0,D$21-SUM(D$45:D$50))*D58/SUM(D$54:D$59),0))</f>
        <v/>
      </c>
      <c r="E67" s="55">
        <f>IF(E49&lt;&gt;"",E49,IFERROR(MAX(0,E$21-SUM(E$45:E$50))*E58/SUM(E$54:E$59),0))</f>
        <v/>
      </c>
      <c r="F67" s="55">
        <f>IF(F49&lt;&gt;"",F49,IFERROR(MAX(0,F$21-SUM(F$45:F$50))*F58/SUM(F$54:F$59),0))</f>
        <v/>
      </c>
      <c r="G67" s="55">
        <f>IF(G49&lt;&gt;"",G49,IFERROR(MAX(0,G$21-SUM(G$45:G$50))*G58/SUM(G$54:G$59),0))</f>
        <v/>
      </c>
      <c r="H67" s="55">
        <f>IF(H49&lt;&gt;"",H49,IFERROR(MAX(0,H$21-SUM(H$45:H$50))*H58/SUM(H$54:H$59),0))</f>
        <v/>
      </c>
      <c r="I67" s="55">
        <f>SUM(C67:H67)</f>
        <v/>
      </c>
    </row>
    <row r="68">
      <c r="A68" s="37" t="inlineStr">
        <is>
          <t>El utanför systemgräns (hiss, värmekablar m.m.)</t>
        </is>
      </c>
      <c r="C68" s="55">
        <f>IF(C50&lt;&gt;"",C50,IFERROR(MAX(0,C$21-SUM(C$45:C$50))*C59/SUM(C$54:C$59),0))</f>
        <v/>
      </c>
      <c r="D68" s="55">
        <f>IF(D50&lt;&gt;"",D50,IFERROR(MAX(0,D$21-SUM(D$45:D$50))*D59/SUM(D$54:D$59),0))</f>
        <v/>
      </c>
      <c r="E68" s="55">
        <f>IF(E50&lt;&gt;"",E50,IFERROR(MAX(0,E$21-SUM(E$45:E$50))*E59/SUM(E$54:E$59),0))</f>
        <v/>
      </c>
      <c r="F68" s="55">
        <f>IF(F50&lt;&gt;"",F50,IFERROR(MAX(0,F$21-SUM(F$45:F$50))*F59/SUM(F$54:F$59),0))</f>
        <v/>
      </c>
      <c r="G68" s="55">
        <f>IF(G50&lt;&gt;"",G50,IFERROR(MAX(0,G$21-SUM(G$45:G$50))*G59/SUM(G$54:G$59),0))</f>
        <v/>
      </c>
      <c r="H68" s="55">
        <f>IF(H50&lt;&gt;"",H50,IFERROR(MAX(0,H$21-SUM(H$45:H$50))*H59/SUM(H$54:H$59),0))</f>
        <v/>
      </c>
      <c r="I68" s="55">
        <f>SUM(C68:H68)</f>
        <v/>
      </c>
    </row>
    <row r="69">
      <c r="A69" s="16" t="inlineStr">
        <is>
          <t>Summa</t>
        </is>
      </c>
      <c r="C69" s="55">
        <f>SUM(C63:C68)</f>
        <v/>
      </c>
      <c r="D69" s="55">
        <f>SUM(D63:D68)</f>
        <v/>
      </c>
      <c r="E69" s="55">
        <f>SUM(E63:E68)</f>
        <v/>
      </c>
      <c r="F69" s="55">
        <f>SUM(F63:F68)</f>
        <v/>
      </c>
      <c r="G69" s="55">
        <f>SUM(G63:G68)</f>
        <v/>
      </c>
      <c r="H69" s="55">
        <f>SUM(H63:H68)</f>
        <v/>
      </c>
      <c r="I69" s="55">
        <f>SUM(I63:I68)</f>
        <v/>
      </c>
    </row>
    <row r="71">
      <c r="A71" s="297" t="inlineStr">
        <is>
          <t>Andel av gemensam el (%)</t>
        </is>
      </c>
    </row>
    <row r="72">
      <c r="A72" s="16" t="inlineStr">
        <is>
          <t>Byggnad</t>
        </is>
      </c>
      <c r="C72" s="16">
        <f>Byggnader!C12</f>
        <v/>
      </c>
      <c r="D72" s="16">
        <f>Byggnader!D12</f>
        <v/>
      </c>
      <c r="E72" s="16">
        <f>Byggnader!E12</f>
        <v/>
      </c>
      <c r="F72" s="16">
        <f>Byggnader!F12</f>
        <v/>
      </c>
      <c r="G72" s="16">
        <f>Byggnader!G12</f>
        <v/>
      </c>
      <c r="H72" s="16">
        <f>Byggnader!H12</f>
        <v/>
      </c>
      <c r="I72" s="16" t="inlineStr">
        <is>
          <t>Summa</t>
        </is>
      </c>
    </row>
    <row r="73">
      <c r="A73" s="37" t="inlineStr">
        <is>
          <t>Fastighetsel (ventilation, pumpar, belysning, styrning)</t>
        </is>
      </c>
      <c r="C73" s="56">
        <f>IFERROR(C63/C$21,0)</f>
        <v/>
      </c>
      <c r="D73" s="56">
        <f>IFERROR(D63/D$21,0)</f>
        <v/>
      </c>
      <c r="E73" s="56">
        <f>IFERROR(E63/E$21,0)</f>
        <v/>
      </c>
      <c r="F73" s="56">
        <f>IFERROR(F63/F$21,0)</f>
        <v/>
      </c>
      <c r="G73" s="56">
        <f>IFERROR(G63/G$21,0)</f>
        <v/>
      </c>
      <c r="H73" s="56">
        <f>IFERROR(H63/H$21,0)</f>
        <v/>
      </c>
      <c r="I73" s="56">
        <f>IFERROR(I63/I$21,0)</f>
        <v/>
      </c>
    </row>
    <row r="74">
      <c r="A74" s="37" t="inlineStr">
        <is>
          <t>Värmepump</t>
        </is>
      </c>
      <c r="C74" s="56">
        <f>IFERROR(C64/C$21,0)</f>
        <v/>
      </c>
      <c r="D74" s="56">
        <f>IFERROR(D64/D$21,0)</f>
        <v/>
      </c>
      <c r="E74" s="56">
        <f>IFERROR(E64/E$21,0)</f>
        <v/>
      </c>
      <c r="F74" s="56">
        <f>IFERROR(F64/F$21,0)</f>
        <v/>
      </c>
      <c r="G74" s="56">
        <f>IFERROR(G64/G$21,0)</f>
        <v/>
      </c>
      <c r="H74" s="56">
        <f>IFERROR(H64/H$21,0)</f>
        <v/>
      </c>
      <c r="I74" s="56">
        <f>IFERROR(I64/I$21,0)</f>
        <v/>
      </c>
    </row>
    <row r="75">
      <c r="A75" s="37" t="inlineStr">
        <is>
          <t>Elvärme</t>
        </is>
      </c>
      <c r="C75" s="56">
        <f>IFERROR(C65/C$21,0)</f>
        <v/>
      </c>
      <c r="D75" s="56">
        <f>IFERROR(D65/D$21,0)</f>
        <v/>
      </c>
      <c r="E75" s="56">
        <f>IFERROR(E65/E$21,0)</f>
        <v/>
      </c>
      <c r="F75" s="56">
        <f>IFERROR(F65/F$21,0)</f>
        <v/>
      </c>
      <c r="G75" s="56">
        <f>IFERROR(G65/G$21,0)</f>
        <v/>
      </c>
      <c r="H75" s="56">
        <f>IFERROR(H65/H$21,0)</f>
        <v/>
      </c>
      <c r="I75" s="56">
        <f>IFERROR(I65/I$21,0)</f>
        <v/>
      </c>
    </row>
    <row r="76">
      <c r="A76" s="37" t="inlineStr">
        <is>
          <t>El för komfortkyla</t>
        </is>
      </c>
      <c r="C76" s="56">
        <f>IFERROR(C66/C$21,0)</f>
        <v/>
      </c>
      <c r="D76" s="56">
        <f>IFERROR(D66/D$21,0)</f>
        <v/>
      </c>
      <c r="E76" s="56">
        <f>IFERROR(E66/E$21,0)</f>
        <v/>
      </c>
      <c r="F76" s="56">
        <f>IFERROR(F66/F$21,0)</f>
        <v/>
      </c>
      <c r="G76" s="56">
        <f>IFERROR(G66/G$21,0)</f>
        <v/>
      </c>
      <c r="H76" s="56">
        <f>IFERROR(H66/H$21,0)</f>
        <v/>
      </c>
      <c r="I76" s="56">
        <f>IFERROR(I66/I$21,0)</f>
        <v/>
      </c>
    </row>
    <row r="77">
      <c r="A77" s="37" t="inlineStr">
        <is>
          <t>Verksamhetsel (tvättstugor, motorvärmare, utebelysning)</t>
        </is>
      </c>
      <c r="C77" s="56">
        <f>IFERROR(C67/C$21,0)</f>
        <v/>
      </c>
      <c r="D77" s="56">
        <f>IFERROR(D67/D$21,0)</f>
        <v/>
      </c>
      <c r="E77" s="56">
        <f>IFERROR(E67/E$21,0)</f>
        <v/>
      </c>
      <c r="F77" s="56">
        <f>IFERROR(F67/F$21,0)</f>
        <v/>
      </c>
      <c r="G77" s="56">
        <f>IFERROR(G67/G$21,0)</f>
        <v/>
      </c>
      <c r="H77" s="56">
        <f>IFERROR(H67/H$21,0)</f>
        <v/>
      </c>
      <c r="I77" s="56">
        <f>IFERROR(I67/I$21,0)</f>
        <v/>
      </c>
    </row>
    <row r="78">
      <c r="A78" s="37" t="inlineStr">
        <is>
          <t>El utanför systemgräns (hiss, värmekablar m.m.)</t>
        </is>
      </c>
      <c r="C78" s="56">
        <f>IFERROR(C68/C$21,0)</f>
        <v/>
      </c>
      <c r="D78" s="56">
        <f>IFERROR(D68/D$21,0)</f>
        <v/>
      </c>
      <c r="E78" s="56">
        <f>IFERROR(E68/E$21,0)</f>
        <v/>
      </c>
      <c r="F78" s="56">
        <f>IFERROR(F68/F$21,0)</f>
        <v/>
      </c>
      <c r="G78" s="56">
        <f>IFERROR(G68/G$21,0)</f>
        <v/>
      </c>
      <c r="H78" s="56">
        <f>IFERROR(H68/H$21,0)</f>
        <v/>
      </c>
      <c r="I78" s="56">
        <f>IFERROR(I68/I$21,0)</f>
        <v/>
      </c>
    </row>
    <row r="79">
      <c r="A79" s="37" t="inlineStr">
        <is>
          <t>Kontroll: fördelad minus gemensam el (kWh/år)</t>
        </is>
      </c>
      <c r="C79" s="55">
        <f>C69-C21</f>
        <v/>
      </c>
      <c r="D79" s="55">
        <f>D69-D21</f>
        <v/>
      </c>
      <c r="E79" s="55">
        <f>E69-E21</f>
        <v/>
      </c>
      <c r="F79" s="55">
        <f>F69-F21</f>
        <v/>
      </c>
      <c r="G79" s="55">
        <f>G69-G21</f>
        <v/>
      </c>
      <c r="H79" s="55">
        <f>H69-H21</f>
        <v/>
      </c>
      <c r="I79" s="55">
        <f>I69-I21</f>
        <v/>
      </c>
    </row>
    <row r="81">
      <c r="A81" s="297" t="inlineStr">
        <is>
          <t>Elanvändning som kan täckas av egenanvänd solel (kWh/år)</t>
        </is>
      </c>
    </row>
    <row r="82" ht="24.25" customHeight="1">
      <c r="A82" s="16" t="inlineStr">
        <is>
          <t>Byggnad</t>
        </is>
      </c>
      <c r="B82" s="70" t="inlineStr">
        <is>
          <t>Samtidighets-faktor</t>
        </is>
      </c>
      <c r="C82" s="16">
        <f>Byggnader!C12</f>
        <v/>
      </c>
      <c r="D82" s="16">
        <f>Byggnader!D12</f>
        <v/>
      </c>
      <c r="E82" s="16">
        <f>Byggnader!E12</f>
        <v/>
      </c>
      <c r="F82" s="16">
        <f>Byggnader!F12</f>
        <v/>
      </c>
      <c r="G82" s="16">
        <f>Byggnader!G12</f>
        <v/>
      </c>
      <c r="H82" s="16">
        <f>Byggnader!H12</f>
        <v/>
      </c>
      <c r="I82" s="16" t="inlineStr">
        <is>
          <t>Summa</t>
        </is>
      </c>
    </row>
    <row r="83">
      <c r="A83" s="37" t="inlineStr">
        <is>
          <t>Hushållsel via IMD</t>
        </is>
      </c>
      <c r="B83" s="61" t="n">
        <v>1</v>
      </c>
      <c r="C83" s="55">
        <f>C12</f>
        <v/>
      </c>
      <c r="D83" s="55">
        <f>D12</f>
        <v/>
      </c>
      <c r="E83" s="55">
        <f>E12</f>
        <v/>
      </c>
      <c r="F83" s="55">
        <f>F12</f>
        <v/>
      </c>
      <c r="G83" s="55">
        <f>G12</f>
        <v/>
      </c>
      <c r="H83" s="55">
        <f>H12</f>
        <v/>
      </c>
      <c r="I83" s="55">
        <f>SUM(C83:H83)</f>
        <v/>
      </c>
    </row>
    <row r="84">
      <c r="A84" s="37" t="inlineStr">
        <is>
          <t>Fastighetsel (ventilation, pumpar, belysning, styrning)</t>
        </is>
      </c>
      <c r="B84" s="61" t="n">
        <v>1</v>
      </c>
      <c r="C84" s="55">
        <f>C63</f>
        <v/>
      </c>
      <c r="D84" s="55">
        <f>D63</f>
        <v/>
      </c>
      <c r="E84" s="55">
        <f>E63</f>
        <v/>
      </c>
      <c r="F84" s="55">
        <f>F63</f>
        <v/>
      </c>
      <c r="G84" s="55">
        <f>G63</f>
        <v/>
      </c>
      <c r="H84" s="55">
        <f>H63</f>
        <v/>
      </c>
      <c r="I84" s="55">
        <f>SUM(C84:H84)</f>
        <v/>
      </c>
    </row>
    <row r="85">
      <c r="A85" s="37" t="inlineStr">
        <is>
          <t>Värmepump</t>
        </is>
      </c>
      <c r="B85" s="61" t="n">
        <v>1</v>
      </c>
      <c r="C85" s="55">
        <f>C64</f>
        <v/>
      </c>
      <c r="D85" s="55">
        <f>D64</f>
        <v/>
      </c>
      <c r="E85" s="55">
        <f>E64</f>
        <v/>
      </c>
      <c r="F85" s="55">
        <f>F64</f>
        <v/>
      </c>
      <c r="G85" s="55">
        <f>G64</f>
        <v/>
      </c>
      <c r="H85" s="55">
        <f>H64</f>
        <v/>
      </c>
      <c r="I85" s="55">
        <f>SUM(C85:H85)</f>
        <v/>
      </c>
    </row>
    <row r="86">
      <c r="A86" s="37" t="inlineStr">
        <is>
          <t>Elvärme</t>
        </is>
      </c>
      <c r="B86" s="61" t="n">
        <v>1</v>
      </c>
      <c r="C86" s="55">
        <f>C65</f>
        <v/>
      </c>
      <c r="D86" s="55">
        <f>D65</f>
        <v/>
      </c>
      <c r="E86" s="55">
        <f>E65</f>
        <v/>
      </c>
      <c r="F86" s="55">
        <f>F65</f>
        <v/>
      </c>
      <c r="G86" s="55">
        <f>G65</f>
        <v/>
      </c>
      <c r="H86" s="55">
        <f>H65</f>
        <v/>
      </c>
      <c r="I86" s="55">
        <f>SUM(C86:H86)</f>
        <v/>
      </c>
    </row>
    <row r="87">
      <c r="A87" s="37" t="inlineStr">
        <is>
          <t>El för komfortkyla</t>
        </is>
      </c>
      <c r="B87" s="61" t="n">
        <v>1</v>
      </c>
      <c r="C87" s="55">
        <f>C66</f>
        <v/>
      </c>
      <c r="D87" s="55">
        <f>D66</f>
        <v/>
      </c>
      <c r="E87" s="55">
        <f>E66</f>
        <v/>
      </c>
      <c r="F87" s="55">
        <f>F66</f>
        <v/>
      </c>
      <c r="G87" s="55">
        <f>G66</f>
        <v/>
      </c>
      <c r="H87" s="55">
        <f>H66</f>
        <v/>
      </c>
      <c r="I87" s="55">
        <f>SUM(C87:H87)</f>
        <v/>
      </c>
    </row>
    <row r="88">
      <c r="A88" s="37" t="inlineStr">
        <is>
          <t>Verksamhetsel (tvättstugor, motorvärmare, utebelysning)</t>
        </is>
      </c>
      <c r="B88" s="61" t="n">
        <v>1</v>
      </c>
      <c r="C88" s="55">
        <f>C67</f>
        <v/>
      </c>
      <c r="D88" s="55">
        <f>D67</f>
        <v/>
      </c>
      <c r="E88" s="55">
        <f>E67</f>
        <v/>
      </c>
      <c r="F88" s="55">
        <f>F67</f>
        <v/>
      </c>
      <c r="G88" s="55">
        <f>G67</f>
        <v/>
      </c>
      <c r="H88" s="55">
        <f>H67</f>
        <v/>
      </c>
      <c r="I88" s="55">
        <f>SUM(C88:H88)</f>
        <v/>
      </c>
    </row>
    <row r="89">
      <c r="A89" s="37" t="inlineStr">
        <is>
          <t>El utanför systemgräns (hiss, värmekablar m.m.)</t>
        </is>
      </c>
      <c r="B89" s="61" t="n">
        <v>1</v>
      </c>
      <c r="C89" s="55">
        <f>C68</f>
        <v/>
      </c>
      <c r="D89" s="55">
        <f>D68</f>
        <v/>
      </c>
      <c r="E89" s="55">
        <f>E68</f>
        <v/>
      </c>
      <c r="F89" s="55">
        <f>F68</f>
        <v/>
      </c>
      <c r="G89" s="55">
        <f>G68</f>
        <v/>
      </c>
      <c r="H89" s="55">
        <f>H68</f>
        <v/>
      </c>
      <c r="I89" s="55">
        <f>SUM(C89:H89)</f>
        <v/>
      </c>
    </row>
    <row r="90">
      <c r="A90" s="37" t="inlineStr">
        <is>
          <t>Summa förbrukning</t>
        </is>
      </c>
      <c r="C90" s="55">
        <f>SUM(C83:C89)</f>
        <v/>
      </c>
      <c r="D90" s="55">
        <f>SUM(D83:D89)</f>
        <v/>
      </c>
      <c r="E90" s="55">
        <f>SUM(E83:E89)</f>
        <v/>
      </c>
      <c r="F90" s="55">
        <f>SUM(F83:F89)</f>
        <v/>
      </c>
      <c r="G90" s="55">
        <f>SUM(G83:G89)</f>
        <v/>
      </c>
      <c r="H90" s="55">
        <f>SUM(H83:H89)</f>
        <v/>
      </c>
      <c r="I90" s="55">
        <f>SUM(I83:I89)</f>
        <v/>
      </c>
    </row>
    <row r="91">
      <c r="A91" s="37" t="inlineStr">
        <is>
          <t>Summa förbrukning × samtidighetsfaktor</t>
        </is>
      </c>
      <c r="C91" s="55">
        <f>SUMPRODUCT($B$83:$B$89,C83:C89)</f>
        <v/>
      </c>
      <c r="D91" s="55">
        <f>SUMPRODUCT($B$83:$B$89,D83:D89)</f>
        <v/>
      </c>
      <c r="E91" s="55">
        <f>SUMPRODUCT($B$83:$B$89,E83:E89)</f>
        <v/>
      </c>
      <c r="F91" s="55">
        <f>SUMPRODUCT($B$83:$B$89,F83:F89)</f>
        <v/>
      </c>
      <c r="G91" s="55">
        <f>SUMPRODUCT($B$83:$B$89,G83:G89)</f>
        <v/>
      </c>
      <c r="H91" s="55">
        <f>SUMPRODUCT($B$83:$B$89,H83:H89)</f>
        <v/>
      </c>
      <c r="I91" s="55">
        <f>SUMPRODUCT($B$83:$B$89,I83:I89)</f>
        <v/>
      </c>
    </row>
    <row r="93">
      <c r="A93" s="297" t="inlineStr">
        <is>
          <t>Egenanvänd solel per förbrukare (kWh/år)</t>
        </is>
      </c>
    </row>
    <row r="94">
      <c r="A94" s="16" t="inlineStr">
        <is>
          <t>Byggnad</t>
        </is>
      </c>
      <c r="C94" s="16">
        <f>Byggnader!C12</f>
        <v/>
      </c>
      <c r="D94" s="16">
        <f>Byggnader!D12</f>
        <v/>
      </c>
      <c r="E94" s="16">
        <f>Byggnader!E12</f>
        <v/>
      </c>
      <c r="F94" s="16">
        <f>Byggnader!F12</f>
        <v/>
      </c>
      <c r="G94" s="16">
        <f>Byggnader!G12</f>
        <v/>
      </c>
      <c r="H94" s="16">
        <f>Byggnader!H12</f>
        <v/>
      </c>
      <c r="I94" s="16" t="inlineStr">
        <is>
          <t>Summa</t>
        </is>
      </c>
    </row>
    <row r="95">
      <c r="A95" s="37" t="inlineStr">
        <is>
          <t>Hushållsel via IMD</t>
        </is>
      </c>
      <c r="C95" s="55">
        <f>IFERROR(MIN(C83,C$19*$B83*C83/C$91),0)</f>
        <v/>
      </c>
      <c r="D95" s="55">
        <f>IFERROR(MIN(D83,D$19*$B83*D83/D$91),0)</f>
        <v/>
      </c>
      <c r="E95" s="55">
        <f>IFERROR(MIN(E83,E$19*$B83*E83/E$91),0)</f>
        <v/>
      </c>
      <c r="F95" s="55">
        <f>IFERROR(MIN(F83,F$19*$B83*F83/F$91),0)</f>
        <v/>
      </c>
      <c r="G95" s="55">
        <f>IFERROR(MIN(G83,G$19*$B83*G83/G$91),0)</f>
        <v/>
      </c>
      <c r="H95" s="55">
        <f>IFERROR(MIN(H83,H$19*$B83*H83/H$91),0)</f>
        <v/>
      </c>
      <c r="I95" s="55">
        <f>SUM(C95:H95)</f>
        <v/>
      </c>
    </row>
    <row r="96">
      <c r="A96" s="37" t="inlineStr">
        <is>
          <t>Fastighetsel (ventilation, pumpar, belysning, styrning)</t>
        </is>
      </c>
      <c r="C96" s="55">
        <f>IFERROR(MIN(C84,C$19*$B84*C84/C$91),0)</f>
        <v/>
      </c>
      <c r="D96" s="55">
        <f>IFERROR(MIN(D84,D$19*$B84*D84/D$91),0)</f>
        <v/>
      </c>
      <c r="E96" s="55">
        <f>IFERROR(MIN(E84,E$19*$B84*E84/E$91),0)</f>
        <v/>
      </c>
      <c r="F96" s="55">
        <f>IFERROR(MIN(F84,F$19*$B84*F84/F$91),0)</f>
        <v/>
      </c>
      <c r="G96" s="55">
        <f>IFERROR(MIN(G84,G$19*$B84*G84/G$91),0)</f>
        <v/>
      </c>
      <c r="H96" s="55">
        <f>IFERROR(MIN(H84,H$19*$B84*H84/H$91),0)</f>
        <v/>
      </c>
      <c r="I96" s="55">
        <f>SUM(C96:H96)</f>
        <v/>
      </c>
    </row>
    <row r="97">
      <c r="A97" s="37" t="inlineStr">
        <is>
          <t>Värmepump</t>
        </is>
      </c>
      <c r="C97" s="55">
        <f>IFERROR(MIN(C85,C$19*$B85*C85/C$91),0)</f>
        <v/>
      </c>
      <c r="D97" s="55">
        <f>IFERROR(MIN(D85,D$19*$B85*D85/D$91),0)</f>
        <v/>
      </c>
      <c r="E97" s="55">
        <f>IFERROR(MIN(E85,E$19*$B85*E85/E$91),0)</f>
        <v/>
      </c>
      <c r="F97" s="55">
        <f>IFERROR(MIN(F85,F$19*$B85*F85/F$91),0)</f>
        <v/>
      </c>
      <c r="G97" s="55">
        <f>IFERROR(MIN(G85,G$19*$B85*G85/G$91),0)</f>
        <v/>
      </c>
      <c r="H97" s="55">
        <f>IFERROR(MIN(H85,H$19*$B85*H85/H$91),0)</f>
        <v/>
      </c>
      <c r="I97" s="55">
        <f>SUM(C97:H97)</f>
        <v/>
      </c>
    </row>
    <row r="98">
      <c r="A98" s="37" t="inlineStr">
        <is>
          <t>Elvärme</t>
        </is>
      </c>
      <c r="C98" s="55">
        <f>IFERROR(MIN(C86,C$19*$B86*C86/C$91),0)</f>
        <v/>
      </c>
      <c r="D98" s="55">
        <f>IFERROR(MIN(D86,D$19*$B86*D86/D$91),0)</f>
        <v/>
      </c>
      <c r="E98" s="55">
        <f>IFERROR(MIN(E86,E$19*$B86*E86/E$91),0)</f>
        <v/>
      </c>
      <c r="F98" s="55">
        <f>IFERROR(MIN(F86,F$19*$B86*F86/F$91),0)</f>
        <v/>
      </c>
      <c r="G98" s="55">
        <f>IFERROR(MIN(G86,G$19*$B86*G86/G$91),0)</f>
        <v/>
      </c>
      <c r="H98" s="55">
        <f>IFERROR(MIN(H86,H$19*$B86*H86/H$91),0)</f>
        <v/>
      </c>
      <c r="I98" s="55">
        <f>SUM(C98:H98)</f>
        <v/>
      </c>
    </row>
    <row r="99">
      <c r="A99" s="37" t="inlineStr">
        <is>
          <t>El för komfortkyla</t>
        </is>
      </c>
      <c r="C99" s="55">
        <f>IFERROR(MIN(C87,C$19*$B87*C87/C$91),0)</f>
        <v/>
      </c>
      <c r="D99" s="55">
        <f>IFERROR(MIN(D87,D$19*$B87*D87/D$91),0)</f>
        <v/>
      </c>
      <c r="E99" s="55">
        <f>IFERROR(MIN(E87,E$19*$B87*E87/E$91),0)</f>
        <v/>
      </c>
      <c r="F99" s="55">
        <f>IFERROR(MIN(F87,F$19*$B87*F87/F$91),0)</f>
        <v/>
      </c>
      <c r="G99" s="55">
        <f>IFERROR(MIN(G87,G$19*$B87*G87/G$91),0)</f>
        <v/>
      </c>
      <c r="H99" s="55">
        <f>IFERROR(MIN(H87,H$19*$B87*H87/H$91),0)</f>
        <v/>
      </c>
      <c r="I99" s="55">
        <f>SUM(C99:H99)</f>
        <v/>
      </c>
    </row>
    <row r="100">
      <c r="A100" s="37" t="inlineStr">
        <is>
          <t>Verksamhetsel (tvättstugor, motorvärmare, utebelysning)</t>
        </is>
      </c>
      <c r="C100" s="55">
        <f>IFERROR(MIN(C88,C$19*$B88*C88/C$91),0)</f>
        <v/>
      </c>
      <c r="D100" s="55">
        <f>IFERROR(MIN(D88,D$19*$B88*D88/D$91),0)</f>
        <v/>
      </c>
      <c r="E100" s="55">
        <f>IFERROR(MIN(E88,E$19*$B88*E88/E$91),0)</f>
        <v/>
      </c>
      <c r="F100" s="55">
        <f>IFERROR(MIN(F88,F$19*$B88*F88/F$91),0)</f>
        <v/>
      </c>
      <c r="G100" s="55">
        <f>IFERROR(MIN(G88,G$19*$B88*G88/G$91),0)</f>
        <v/>
      </c>
      <c r="H100" s="55">
        <f>IFERROR(MIN(H88,H$19*$B88*H88/H$91),0)</f>
        <v/>
      </c>
      <c r="I100" s="55">
        <f>SUM(C100:H100)</f>
        <v/>
      </c>
    </row>
    <row r="101">
      <c r="A101" s="37" t="inlineStr">
        <is>
          <t>El utanför systemgräns (hiss, värmekablar m.m.)</t>
        </is>
      </c>
      <c r="C101" s="55">
        <f>IFERROR(MIN(C89,C$19*$B89*C89/C$91),0)</f>
        <v/>
      </c>
      <c r="D101" s="55">
        <f>IFERROR(MIN(D89,D$19*$B89*D89/D$91),0)</f>
        <v/>
      </c>
      <c r="E101" s="55">
        <f>IFERROR(MIN(E89,E$19*$B89*E89/E$91),0)</f>
        <v/>
      </c>
      <c r="F101" s="55">
        <f>IFERROR(MIN(F89,F$19*$B89*F89/F$91),0)</f>
        <v/>
      </c>
      <c r="G101" s="55">
        <f>IFERROR(MIN(G89,G$19*$B89*G89/G$91),0)</f>
        <v/>
      </c>
      <c r="H101" s="55">
        <f>IFERROR(MIN(H89,H$19*$B89*H89/H$91),0)</f>
        <v/>
      </c>
      <c r="I101" s="55">
        <f>SUM(C101:H101)</f>
        <v/>
      </c>
    </row>
    <row r="102">
      <c r="A102" s="16" t="inlineStr">
        <is>
          <t>Summa fördelad solel</t>
        </is>
      </c>
      <c r="C102" s="55">
        <f>SUM(C95:C101)</f>
        <v/>
      </c>
      <c r="D102" s="55">
        <f>SUM(D95:D101)</f>
        <v/>
      </c>
      <c r="E102" s="55">
        <f>SUM(E95:E101)</f>
        <v/>
      </c>
      <c r="F102" s="55">
        <f>SUM(F95:F101)</f>
        <v/>
      </c>
      <c r="G102" s="55">
        <f>SUM(G95:G101)</f>
        <v/>
      </c>
      <c r="H102" s="55">
        <f>SUM(H95:H101)</f>
        <v/>
      </c>
      <c r="I102" s="55">
        <f>SUM(I95:I101)</f>
        <v/>
      </c>
    </row>
    <row r="103">
      <c r="A103" s="37" t="inlineStr">
        <is>
          <t>Solel som inte kan fördelas (överstiger förbrukningen)</t>
        </is>
      </c>
      <c r="C103" s="55">
        <f>C19-C102</f>
        <v/>
      </c>
      <c r="D103" s="55">
        <f>D19-D102</f>
        <v/>
      </c>
      <c r="E103" s="55">
        <f>E19-E102</f>
        <v/>
      </c>
      <c r="F103" s="55">
        <f>F19-F102</f>
        <v/>
      </c>
      <c r="G103" s="55">
        <f>G19-G102</f>
        <v/>
      </c>
      <c r="H103" s="55">
        <f>H19-H102</f>
        <v/>
      </c>
      <c r="I103" s="55">
        <f>I19-I102</f>
        <v/>
      </c>
    </row>
    <row r="105">
      <c r="A105" s="297" t="inlineStr">
        <is>
          <t>Andel av egenanvänd solel (%)</t>
        </is>
      </c>
    </row>
    <row r="106">
      <c r="A106" s="16" t="inlineStr">
        <is>
          <t>Byggnad</t>
        </is>
      </c>
      <c r="C106" s="16">
        <f>Byggnader!C12</f>
        <v/>
      </c>
      <c r="D106" s="16">
        <f>Byggnader!D12</f>
        <v/>
      </c>
      <c r="E106" s="16">
        <f>Byggnader!E12</f>
        <v/>
      </c>
      <c r="F106" s="16">
        <f>Byggnader!F12</f>
        <v/>
      </c>
      <c r="G106" s="16">
        <f>Byggnader!G12</f>
        <v/>
      </c>
      <c r="H106" s="16">
        <f>Byggnader!H12</f>
        <v/>
      </c>
      <c r="I106" s="16" t="inlineStr">
        <is>
          <t>Summa</t>
        </is>
      </c>
    </row>
    <row r="107">
      <c r="A107" s="37" t="inlineStr">
        <is>
          <t>Hushållsel via IMD</t>
        </is>
      </c>
      <c r="C107" s="56">
        <f>IFERROR(C95/C$19,0)</f>
        <v/>
      </c>
      <c r="D107" s="56">
        <f>IFERROR(D95/D$19,0)</f>
        <v/>
      </c>
      <c r="E107" s="56">
        <f>IFERROR(E95/E$19,0)</f>
        <v/>
      </c>
      <c r="F107" s="56">
        <f>IFERROR(F95/F$19,0)</f>
        <v/>
      </c>
      <c r="G107" s="56">
        <f>IFERROR(G95/G$19,0)</f>
        <v/>
      </c>
      <c r="H107" s="56">
        <f>IFERROR(H95/H$19,0)</f>
        <v/>
      </c>
      <c r="I107" s="56">
        <f>IFERROR(I95/I$19,0)</f>
        <v/>
      </c>
    </row>
    <row r="108">
      <c r="A108" s="37" t="inlineStr">
        <is>
          <t>Fastighetsel (ventilation, pumpar, belysning, styrning)</t>
        </is>
      </c>
      <c r="C108" s="56">
        <f>IFERROR(C96/C$19,0)</f>
        <v/>
      </c>
      <c r="D108" s="56">
        <f>IFERROR(D96/D$19,0)</f>
        <v/>
      </c>
      <c r="E108" s="56">
        <f>IFERROR(E96/E$19,0)</f>
        <v/>
      </c>
      <c r="F108" s="56">
        <f>IFERROR(F96/F$19,0)</f>
        <v/>
      </c>
      <c r="G108" s="56">
        <f>IFERROR(G96/G$19,0)</f>
        <v/>
      </c>
      <c r="H108" s="56">
        <f>IFERROR(H96/H$19,0)</f>
        <v/>
      </c>
      <c r="I108" s="56">
        <f>IFERROR(I96/I$19,0)</f>
        <v/>
      </c>
    </row>
    <row r="109">
      <c r="A109" s="37" t="inlineStr">
        <is>
          <t>Värmepump</t>
        </is>
      </c>
      <c r="C109" s="56">
        <f>IFERROR(C97/C$19,0)</f>
        <v/>
      </c>
      <c r="D109" s="56">
        <f>IFERROR(D97/D$19,0)</f>
        <v/>
      </c>
      <c r="E109" s="56">
        <f>IFERROR(E97/E$19,0)</f>
        <v/>
      </c>
      <c r="F109" s="56">
        <f>IFERROR(F97/F$19,0)</f>
        <v/>
      </c>
      <c r="G109" s="56">
        <f>IFERROR(G97/G$19,0)</f>
        <v/>
      </c>
      <c r="H109" s="56">
        <f>IFERROR(H97/H$19,0)</f>
        <v/>
      </c>
      <c r="I109" s="56">
        <f>IFERROR(I97/I$19,0)</f>
        <v/>
      </c>
    </row>
    <row r="110">
      <c r="A110" s="37" t="inlineStr">
        <is>
          <t>Elvärme</t>
        </is>
      </c>
      <c r="C110" s="56">
        <f>IFERROR(C98/C$19,0)</f>
        <v/>
      </c>
      <c r="D110" s="56">
        <f>IFERROR(D98/D$19,0)</f>
        <v/>
      </c>
      <c r="E110" s="56">
        <f>IFERROR(E98/E$19,0)</f>
        <v/>
      </c>
      <c r="F110" s="56">
        <f>IFERROR(F98/F$19,0)</f>
        <v/>
      </c>
      <c r="G110" s="56">
        <f>IFERROR(G98/G$19,0)</f>
        <v/>
      </c>
      <c r="H110" s="56">
        <f>IFERROR(H98/H$19,0)</f>
        <v/>
      </c>
      <c r="I110" s="56">
        <f>IFERROR(I98/I$19,0)</f>
        <v/>
      </c>
    </row>
    <row r="111">
      <c r="A111" s="37" t="inlineStr">
        <is>
          <t>El för komfortkyla</t>
        </is>
      </c>
      <c r="C111" s="56">
        <f>IFERROR(C99/C$19,0)</f>
        <v/>
      </c>
      <c r="D111" s="56">
        <f>IFERROR(D99/D$19,0)</f>
        <v/>
      </c>
      <c r="E111" s="56">
        <f>IFERROR(E99/E$19,0)</f>
        <v/>
      </c>
      <c r="F111" s="56">
        <f>IFERROR(F99/F$19,0)</f>
        <v/>
      </c>
      <c r="G111" s="56">
        <f>IFERROR(G99/G$19,0)</f>
        <v/>
      </c>
      <c r="H111" s="56">
        <f>IFERROR(H99/H$19,0)</f>
        <v/>
      </c>
      <c r="I111" s="56">
        <f>IFERROR(I99/I$19,0)</f>
        <v/>
      </c>
    </row>
    <row r="112">
      <c r="A112" s="37" t="inlineStr">
        <is>
          <t>Verksamhetsel (tvättstugor, motorvärmare, utebelysning)</t>
        </is>
      </c>
      <c r="C112" s="56">
        <f>IFERROR(C100/C$19,0)</f>
        <v/>
      </c>
      <c r="D112" s="56">
        <f>IFERROR(D100/D$19,0)</f>
        <v/>
      </c>
      <c r="E112" s="56">
        <f>IFERROR(E100/E$19,0)</f>
        <v/>
      </c>
      <c r="F112" s="56">
        <f>IFERROR(F100/F$19,0)</f>
        <v/>
      </c>
      <c r="G112" s="56">
        <f>IFERROR(G100/G$19,0)</f>
        <v/>
      </c>
      <c r="H112" s="56">
        <f>IFERROR(H100/H$19,0)</f>
        <v/>
      </c>
      <c r="I112" s="56">
        <f>IFERROR(I100/I$19,0)</f>
        <v/>
      </c>
    </row>
    <row r="113">
      <c r="A113" s="37" t="inlineStr">
        <is>
          <t>El utanför systemgräns (hiss, värmekablar m.m.)</t>
        </is>
      </c>
      <c r="C113" s="56">
        <f>IFERROR(C101/C$19,0)</f>
        <v/>
      </c>
      <c r="D113" s="56">
        <f>IFERROR(D101/D$19,0)</f>
        <v/>
      </c>
      <c r="E113" s="56">
        <f>IFERROR(E101/E$19,0)</f>
        <v/>
      </c>
      <c r="F113" s="56">
        <f>IFERROR(F101/F$19,0)</f>
        <v/>
      </c>
      <c r="G113" s="56">
        <f>IFERROR(G101/G$19,0)</f>
        <v/>
      </c>
      <c r="H113" s="56">
        <f>IFERROR(H101/H$19,0)</f>
        <v/>
      </c>
      <c r="I113" s="56">
        <f>IFERROR(I101/I$19,0)</f>
        <v/>
      </c>
    </row>
    <row r="115">
      <c r="A115" s="297" t="inlineStr">
        <is>
          <t>Köpt el per förbrukare efter solel (kWh/år)</t>
        </is>
      </c>
    </row>
    <row r="116">
      <c r="A116" s="16" t="inlineStr">
        <is>
          <t>Byggnad</t>
        </is>
      </c>
      <c r="C116" s="16">
        <f>Byggnader!C12</f>
        <v/>
      </c>
      <c r="D116" s="16">
        <f>Byggnader!D12</f>
        <v/>
      </c>
      <c r="E116" s="16">
        <f>Byggnader!E12</f>
        <v/>
      </c>
      <c r="F116" s="16">
        <f>Byggnader!F12</f>
        <v/>
      </c>
      <c r="G116" s="16">
        <f>Byggnader!G12</f>
        <v/>
      </c>
      <c r="H116" s="16">
        <f>Byggnader!H12</f>
        <v/>
      </c>
      <c r="I116" s="16" t="inlineStr">
        <is>
          <t>Summa</t>
        </is>
      </c>
    </row>
    <row r="117">
      <c r="A117" s="37" t="inlineStr">
        <is>
          <t>Hushållsel via IMD</t>
        </is>
      </c>
      <c r="C117" s="55">
        <f>C83-C95</f>
        <v/>
      </c>
      <c r="D117" s="55">
        <f>D83-D95</f>
        <v/>
      </c>
      <c r="E117" s="55">
        <f>E83-E95</f>
        <v/>
      </c>
      <c r="F117" s="55">
        <f>F83-F95</f>
        <v/>
      </c>
      <c r="G117" s="55">
        <f>G83-G95</f>
        <v/>
      </c>
      <c r="H117" s="55">
        <f>H83-H95</f>
        <v/>
      </c>
      <c r="I117" s="55">
        <f>SUM(C117:H117)</f>
        <v/>
      </c>
    </row>
    <row r="118">
      <c r="A118" s="37" t="inlineStr">
        <is>
          <t>Fastighetsel (ventilation, pumpar, belysning, styrning)</t>
        </is>
      </c>
      <c r="C118" s="55">
        <f>C84-C96</f>
        <v/>
      </c>
      <c r="D118" s="55">
        <f>D84-D96</f>
        <v/>
      </c>
      <c r="E118" s="55">
        <f>E84-E96</f>
        <v/>
      </c>
      <c r="F118" s="55">
        <f>F84-F96</f>
        <v/>
      </c>
      <c r="G118" s="55">
        <f>G84-G96</f>
        <v/>
      </c>
      <c r="H118" s="55">
        <f>H84-H96</f>
        <v/>
      </c>
      <c r="I118" s="55">
        <f>SUM(C118:H118)</f>
        <v/>
      </c>
    </row>
    <row r="119">
      <c r="A119" s="37" t="inlineStr">
        <is>
          <t>Värmepump</t>
        </is>
      </c>
      <c r="C119" s="55">
        <f>C85-C97</f>
        <v/>
      </c>
      <c r="D119" s="55">
        <f>D85-D97</f>
        <v/>
      </c>
      <c r="E119" s="55">
        <f>E85-E97</f>
        <v/>
      </c>
      <c r="F119" s="55">
        <f>F85-F97</f>
        <v/>
      </c>
      <c r="G119" s="55">
        <f>G85-G97</f>
        <v/>
      </c>
      <c r="H119" s="55">
        <f>H85-H97</f>
        <v/>
      </c>
      <c r="I119" s="55">
        <f>SUM(C119:H119)</f>
        <v/>
      </c>
    </row>
    <row r="120">
      <c r="A120" s="37" t="inlineStr">
        <is>
          <t>Elvärme</t>
        </is>
      </c>
      <c r="C120" s="55">
        <f>C86-C98</f>
        <v/>
      </c>
      <c r="D120" s="55">
        <f>D86-D98</f>
        <v/>
      </c>
      <c r="E120" s="55">
        <f>E86-E98</f>
        <v/>
      </c>
      <c r="F120" s="55">
        <f>F86-F98</f>
        <v/>
      </c>
      <c r="G120" s="55">
        <f>G86-G98</f>
        <v/>
      </c>
      <c r="H120" s="55">
        <f>H86-H98</f>
        <v/>
      </c>
      <c r="I120" s="55">
        <f>SUM(C120:H120)</f>
        <v/>
      </c>
    </row>
    <row r="121">
      <c r="A121" s="37" t="inlineStr">
        <is>
          <t>El för komfortkyla</t>
        </is>
      </c>
      <c r="C121" s="55">
        <f>C87-C99</f>
        <v/>
      </c>
      <c r="D121" s="55">
        <f>D87-D99</f>
        <v/>
      </c>
      <c r="E121" s="55">
        <f>E87-E99</f>
        <v/>
      </c>
      <c r="F121" s="55">
        <f>F87-F99</f>
        <v/>
      </c>
      <c r="G121" s="55">
        <f>G87-G99</f>
        <v/>
      </c>
      <c r="H121" s="55">
        <f>H87-H99</f>
        <v/>
      </c>
      <c r="I121" s="55">
        <f>SUM(C121:H121)</f>
        <v/>
      </c>
    </row>
    <row r="122">
      <c r="A122" s="37" t="inlineStr">
        <is>
          <t>Verksamhetsel (tvättstugor, motorvärmare, utebelysning)</t>
        </is>
      </c>
      <c r="C122" s="55">
        <f>C88-C100</f>
        <v/>
      </c>
      <c r="D122" s="55">
        <f>D88-D100</f>
        <v/>
      </c>
      <c r="E122" s="55">
        <f>E88-E100</f>
        <v/>
      </c>
      <c r="F122" s="55">
        <f>F88-F100</f>
        <v/>
      </c>
      <c r="G122" s="55">
        <f>G88-G100</f>
        <v/>
      </c>
      <c r="H122" s="55">
        <f>H88-H100</f>
        <v/>
      </c>
      <c r="I122" s="55">
        <f>SUM(C122:H122)</f>
        <v/>
      </c>
    </row>
    <row r="123">
      <c r="A123" s="37" t="inlineStr">
        <is>
          <t>El utanför systemgräns (hiss, värmekablar m.m.)</t>
        </is>
      </c>
      <c r="C123" s="55">
        <f>C89-C101</f>
        <v/>
      </c>
      <c r="D123" s="55">
        <f>D89-D101</f>
        <v/>
      </c>
      <c r="E123" s="55">
        <f>E89-E101</f>
        <v/>
      </c>
      <c r="F123" s="55">
        <f>F89-F101</f>
        <v/>
      </c>
      <c r="G123" s="55">
        <f>G89-G101</f>
        <v/>
      </c>
      <c r="H123" s="55">
        <f>H89-H101</f>
        <v/>
      </c>
      <c r="I123" s="55">
        <f>SUM(C123:H123)</f>
        <v/>
      </c>
    </row>
    <row r="125">
      <c r="A125" s="297" t="inlineStr">
        <is>
          <t>Till beräkningen av energiprestandatalet</t>
        </is>
      </c>
    </row>
    <row r="126">
      <c r="A126" s="16" t="inlineStr">
        <is>
          <t>Byggnad</t>
        </is>
      </c>
      <c r="C126" s="16">
        <f>Byggnader!C12</f>
        <v/>
      </c>
      <c r="D126" s="16">
        <f>Byggnader!D12</f>
        <v/>
      </c>
      <c r="E126" s="16">
        <f>Byggnader!E12</f>
        <v/>
      </c>
      <c r="F126" s="16">
        <f>Byggnader!F12</f>
        <v/>
      </c>
      <c r="G126" s="16">
        <f>Byggnader!G12</f>
        <v/>
      </c>
      <c r="H126" s="16">
        <f>Byggnader!H12</f>
        <v/>
      </c>
      <c r="I126" s="16" t="inlineStr">
        <is>
          <t>Summa</t>
        </is>
      </c>
    </row>
    <row r="127">
      <c r="A127" s="37" t="inlineStr">
        <is>
          <t>Fastighetsel inom systemgräns, före solel</t>
        </is>
      </c>
      <c r="C127" s="55">
        <f>C84</f>
        <v/>
      </c>
      <c r="D127" s="55">
        <f>D84</f>
        <v/>
      </c>
      <c r="E127" s="55">
        <f>E84</f>
        <v/>
      </c>
      <c r="F127" s="55">
        <f>F84</f>
        <v/>
      </c>
      <c r="G127" s="55">
        <f>G84</f>
        <v/>
      </c>
      <c r="H127" s="55">
        <f>H84</f>
        <v/>
      </c>
      <c r="I127" s="55">
        <f>SUM(C127:H127)</f>
        <v/>
      </c>
    </row>
    <row r="128">
      <c r="A128" s="37" t="inlineStr">
        <is>
          <t>Egenanvänd solel till fastighetsel</t>
        </is>
      </c>
      <c r="C128" s="55">
        <f>C96</f>
        <v/>
      </c>
      <c r="D128" s="55">
        <f>D96</f>
        <v/>
      </c>
      <c r="E128" s="55">
        <f>E96</f>
        <v/>
      </c>
      <c r="F128" s="55">
        <f>F96</f>
        <v/>
      </c>
      <c r="G128" s="55">
        <f>G96</f>
        <v/>
      </c>
      <c r="H128" s="55">
        <f>H96</f>
        <v/>
      </c>
      <c r="I128" s="55">
        <f>SUM(C128:H128)</f>
        <v/>
      </c>
    </row>
    <row r="129">
      <c r="A129" s="37" t="inlineStr">
        <is>
          <t>El till värmepump</t>
        </is>
      </c>
      <c r="C129" s="55">
        <f>C85</f>
        <v/>
      </c>
      <c r="D129" s="55">
        <f>D85</f>
        <v/>
      </c>
      <c r="E129" s="55">
        <f>E85</f>
        <v/>
      </c>
      <c r="F129" s="55">
        <f>F85</f>
        <v/>
      </c>
      <c r="G129" s="55">
        <f>G85</f>
        <v/>
      </c>
      <c r="H129" s="55">
        <f>H85</f>
        <v/>
      </c>
      <c r="I129" s="55">
        <f>SUM(C129:H129)</f>
        <v/>
      </c>
    </row>
    <row r="130">
      <c r="A130" s="37" t="inlineStr">
        <is>
          <t>Elvärme</t>
        </is>
      </c>
      <c r="C130" s="55">
        <f>C86</f>
        <v/>
      </c>
      <c r="D130" s="55">
        <f>D86</f>
        <v/>
      </c>
      <c r="E130" s="55">
        <f>E86</f>
        <v/>
      </c>
      <c r="F130" s="55">
        <f>F86</f>
        <v/>
      </c>
      <c r="G130" s="55">
        <f>G86</f>
        <v/>
      </c>
      <c r="H130" s="55">
        <f>H86</f>
        <v/>
      </c>
      <c r="I130" s="55">
        <f>SUM(C130:H130)</f>
        <v/>
      </c>
    </row>
    <row r="131">
      <c r="A131" s="37" t="inlineStr">
        <is>
          <t>El för komfortkyla</t>
        </is>
      </c>
      <c r="C131" s="55">
        <f>C87</f>
        <v/>
      </c>
      <c r="D131" s="55">
        <f>D87</f>
        <v/>
      </c>
      <c r="E131" s="55">
        <f>E87</f>
        <v/>
      </c>
      <c r="F131" s="55">
        <f>F87</f>
        <v/>
      </c>
      <c r="G131" s="55">
        <f>G87</f>
        <v/>
      </c>
      <c r="H131" s="55">
        <f>H87</f>
        <v/>
      </c>
      <c r="I131" s="55">
        <f>SUM(C131:H131)</f>
        <v/>
      </c>
    </row>
    <row r="132">
      <c r="A132" s="37" t="inlineStr">
        <is>
          <t>Egenanvänd solel till värmepump, elvärme och komfortkyla</t>
        </is>
      </c>
      <c r="C132" s="55">
        <f>C97+C98+C99</f>
        <v/>
      </c>
      <c r="D132" s="55">
        <f>D97+D98+D99</f>
        <v/>
      </c>
      <c r="E132" s="55">
        <f>E97+E98+E99</f>
        <v/>
      </c>
      <c r="F132" s="55">
        <f>F97+F98+F99</f>
        <v/>
      </c>
      <c r="G132" s="55">
        <f>G97+G98+G99</f>
        <v/>
      </c>
      <c r="H132" s="55">
        <f>H97+H98+H99</f>
        <v/>
      </c>
      <c r="I132" s="55">
        <f>SUM(C132:H132)</f>
        <v/>
      </c>
    </row>
    <row r="133">
      <c r="A133" s="37" t="inlineStr">
        <is>
          <t>Hushållsel totalt, IMD och egna abonnemang (för internlast)</t>
        </is>
      </c>
      <c r="C133" s="55">
        <f>C12+C13</f>
        <v/>
      </c>
      <c r="D133" s="55">
        <f>D12+D13</f>
        <v/>
      </c>
      <c r="E133" s="55">
        <f>E12+E13</f>
        <v/>
      </c>
      <c r="F133" s="55">
        <f>F12+F13</f>
        <v/>
      </c>
      <c r="G133" s="55">
        <f>G12+G13</f>
        <v/>
      </c>
      <c r="H133" s="55">
        <f>H12+H13</f>
        <v/>
      </c>
      <c r="I133" s="55">
        <f>SUM(C133:H133)</f>
        <v/>
      </c>
    </row>
    <row r="134">
      <c r="A134" s="37" t="inlineStr">
        <is>
          <t>Verksamhetsel (ingår inte)</t>
        </is>
      </c>
      <c r="C134" s="55">
        <f>C88</f>
        <v/>
      </c>
      <c r="D134" s="55">
        <f>D88</f>
        <v/>
      </c>
      <c r="E134" s="55">
        <f>E88</f>
        <v/>
      </c>
      <c r="F134" s="55">
        <f>F88</f>
        <v/>
      </c>
      <c r="G134" s="55">
        <f>G88</f>
        <v/>
      </c>
      <c r="H134" s="55">
        <f>H88</f>
        <v/>
      </c>
      <c r="I134" s="55">
        <f>SUM(C134:H134)</f>
        <v/>
      </c>
    </row>
    <row r="135">
      <c r="A135" s="37" t="inlineStr">
        <is>
          <t>El utanför systemgräns (ingår inte)</t>
        </is>
      </c>
      <c r="C135" s="55">
        <f>C89</f>
        <v/>
      </c>
      <c r="D135" s="55">
        <f>D89</f>
        <v/>
      </c>
      <c r="E135" s="55">
        <f>E89</f>
        <v/>
      </c>
      <c r="F135" s="55">
        <f>F89</f>
        <v/>
      </c>
      <c r="G135" s="55">
        <f>G89</f>
        <v/>
      </c>
      <c r="H135" s="55">
        <f>H89</f>
        <v/>
      </c>
      <c r="I135" s="55">
        <f>SUM(C135:H135)</f>
        <v/>
      </c>
    </row>
    <row r="136">
      <c r="A136" s="16" t="inlineStr">
        <is>
          <t>Solelens minskning av energiprestandatalet (kWh/m²,år)</t>
        </is>
      </c>
      <c r="C136" s="309">
        <f>IFERROR((C128+C132)*'Regler BFS 2026'!$B$4/Byggnader!C32,0)</f>
        <v/>
      </c>
      <c r="D136" s="309">
        <f>IFERROR((D128+D132)*'Regler BFS 2026'!$B$4/Byggnader!D32,0)</f>
        <v/>
      </c>
      <c r="E136" s="309">
        <f>IFERROR((E128+E132)*'Regler BFS 2026'!$B$4/Byggnader!E32,0)</f>
        <v/>
      </c>
      <c r="F136" s="309">
        <f>IFERROR((F128+F132)*'Regler BFS 2026'!$B$4/Byggnader!F32,0)</f>
        <v/>
      </c>
      <c r="G136" s="309">
        <f>IFERROR((G128+G132)*'Regler BFS 2026'!$B$4/Byggnader!G32,0)</f>
        <v/>
      </c>
      <c r="H136" s="309">
        <f>IFERROR((H128+H132)*'Regler BFS 2026'!$B$4/Byggnader!H32,0)</f>
        <v/>
      </c>
      <c r="I136" s="309">
        <f>IFERROR((I128+I132)*'Regler BFS 2026'!$B$4/Byggnader!I32,0)</f>
        <v/>
      </c>
    </row>
    <row r="138">
      <c r="A138" s="311" t="inlineStr">
        <is>
          <t>Besiktningens beräkning per byggnad (kWh/år)</t>
        </is>
      </c>
    </row>
    <row r="139">
      <c r="A139" s="312" t="inlineStr">
        <is>
          <t>Byggnad</t>
        </is>
      </c>
      <c r="C139" s="312">
        <f>Byggnader!C12</f>
        <v/>
      </c>
      <c r="D139" s="312">
        <f>Byggnader!D12</f>
        <v/>
      </c>
      <c r="E139" s="312">
        <f>Byggnader!E12</f>
        <v/>
      </c>
      <c r="F139" s="312">
        <f>Byggnader!F12</f>
        <v/>
      </c>
      <c r="G139" s="312">
        <f>Byggnader!G12</f>
        <v/>
      </c>
      <c r="H139" s="312">
        <f>Byggnader!H12</f>
        <v/>
      </c>
      <c r="I139" s="312" t="inlineStr">
        <is>
          <t>Summa</t>
        </is>
      </c>
    </row>
    <row r="140">
      <c r="A140" s="313" t="inlineStr">
        <is>
          <t>Fastighetsel (ventilation, pumpar, belysning, styrning)</t>
        </is>
      </c>
      <c r="C140" s="314">
        <f>SUMIF(Besiktningsprotokoll!$F$111:$F$124,Byggnader!C$12,Besiktningsprotokoll!$D$111:$D$124)*IFERROR($C$25/Besiktningsprotokoll!$D$125,1)</f>
        <v/>
      </c>
      <c r="D140" s="314">
        <f>SUMIF(Besiktningsprotokoll!$F$111:$F$124,Byggnader!D$12,Besiktningsprotokoll!$D$111:$D$124)*IFERROR($C$25/Besiktningsprotokoll!$D$125,1)</f>
        <v/>
      </c>
      <c r="E140" s="314">
        <f>SUMIF(Besiktningsprotokoll!$F$111:$F$124,Byggnader!E$12,Besiktningsprotokoll!$D$111:$D$124)*IFERROR($C$25/Besiktningsprotokoll!$D$125,1)</f>
        <v/>
      </c>
      <c r="F140" s="314">
        <f>SUMIF(Besiktningsprotokoll!$F$111:$F$124,Byggnader!F$12,Besiktningsprotokoll!$D$111:$D$124)*IFERROR($C$25/Besiktningsprotokoll!$D$125,1)</f>
        <v/>
      </c>
      <c r="G140" s="314">
        <f>SUMIF(Besiktningsprotokoll!$F$111:$F$124,Byggnader!G$12,Besiktningsprotokoll!$D$111:$D$124)*IFERROR($C$25/Besiktningsprotokoll!$D$125,1)</f>
        <v/>
      </c>
      <c r="H140" s="314">
        <f>SUMIF(Besiktningsprotokoll!$F$111:$F$124,Byggnader!H$12,Besiktningsprotokoll!$D$111:$D$124)*IFERROR($C$25/Besiktningsprotokoll!$D$125,1)</f>
        <v/>
      </c>
      <c r="I140" s="314">
        <f>SUM(C140:H140)</f>
        <v/>
      </c>
    </row>
    <row r="141">
      <c r="A141" s="313" t="inlineStr">
        <is>
          <t>Värmepump</t>
        </is>
      </c>
      <c r="C141" s="314">
        <f>$C$26*Byggnader!C$33</f>
        <v/>
      </c>
      <c r="D141" s="314">
        <f>$C$26*Byggnader!D$33</f>
        <v/>
      </c>
      <c r="E141" s="314">
        <f>$C$26*Byggnader!E$33</f>
        <v/>
      </c>
      <c r="F141" s="314">
        <f>$C$26*Byggnader!F$33</f>
        <v/>
      </c>
      <c r="G141" s="314">
        <f>$C$26*Byggnader!G$33</f>
        <v/>
      </c>
      <c r="H141" s="314">
        <f>$C$26*Byggnader!H$33</f>
        <v/>
      </c>
      <c r="I141" s="314">
        <f>SUM(C141:H141)</f>
        <v/>
      </c>
    </row>
    <row r="142">
      <c r="A142" s="313" t="inlineStr">
        <is>
          <t>Elvärme</t>
        </is>
      </c>
      <c r="C142" s="314">
        <f>SUMIF(Besiktningsprotokoll!$F$128:$F$129,Byggnader!C$12,Besiktningsprotokoll!$D$128:$D$129)*IFERROR($C$27/Besiktningsprotokoll!$D$130,1)</f>
        <v/>
      </c>
      <c r="D142" s="314">
        <f>SUMIF(Besiktningsprotokoll!$F$128:$F$129,Byggnader!D$12,Besiktningsprotokoll!$D$128:$D$129)*IFERROR($C$27/Besiktningsprotokoll!$D$130,1)</f>
        <v/>
      </c>
      <c r="E142" s="314">
        <f>SUMIF(Besiktningsprotokoll!$F$128:$F$129,Byggnader!E$12,Besiktningsprotokoll!$D$128:$D$129)*IFERROR($C$27/Besiktningsprotokoll!$D$130,1)</f>
        <v/>
      </c>
      <c r="F142" s="314">
        <f>SUMIF(Besiktningsprotokoll!$F$128:$F$129,Byggnader!F$12,Besiktningsprotokoll!$D$128:$D$129)*IFERROR($C$27/Besiktningsprotokoll!$D$130,1)</f>
        <v/>
      </c>
      <c r="G142" s="314">
        <f>SUMIF(Besiktningsprotokoll!$F$128:$F$129,Byggnader!G$12,Besiktningsprotokoll!$D$128:$D$129)*IFERROR($C$27/Besiktningsprotokoll!$D$130,1)</f>
        <v/>
      </c>
      <c r="H142" s="314">
        <f>SUMIF(Besiktningsprotokoll!$F$128:$F$129,Byggnader!H$12,Besiktningsprotokoll!$D$128:$D$129)*IFERROR($C$27/Besiktningsprotokoll!$D$130,1)</f>
        <v/>
      </c>
      <c r="I142" s="314">
        <f>SUM(C142:H142)</f>
        <v/>
      </c>
    </row>
    <row r="143">
      <c r="A143" s="313" t="inlineStr">
        <is>
          <t>El för komfortkyla</t>
        </is>
      </c>
      <c r="C143" s="314">
        <f>$C$28*Byggnader!C$33</f>
        <v/>
      </c>
      <c r="D143" s="314">
        <f>$C$28*Byggnader!D$33</f>
        <v/>
      </c>
      <c r="E143" s="314">
        <f>$C$28*Byggnader!E$33</f>
        <v/>
      </c>
      <c r="F143" s="314">
        <f>$C$28*Byggnader!F$33</f>
        <v/>
      </c>
      <c r="G143" s="314">
        <f>$C$28*Byggnader!G$33</f>
        <v/>
      </c>
      <c r="H143" s="314">
        <f>$C$28*Byggnader!H$33</f>
        <v/>
      </c>
      <c r="I143" s="314">
        <f>SUM(C143:H143)</f>
        <v/>
      </c>
    </row>
    <row r="144">
      <c r="A144" s="313" t="inlineStr">
        <is>
          <t>Verksamhetsel (tvättstugor, motorvärmare, utebelysning)</t>
        </is>
      </c>
      <c r="C144" s="314">
        <f>(SUMIF(Besiktningsprotokoll!$F$103:$F$106,Byggnader!C$12,Besiktningsprotokoll!$D$103:$D$106)+SUMIF(Besiktningsprotokoll!$B$203:$B$206,Byggnader!C$12,Besiktningsprotokoll!$C$203:$C$206)+SUMIF(Besiktningsprotokoll!$B$203:$B$206,"Alla",Besiktningsprotokoll!$C$203:$C$206)*Byggnader!C$33)*IFERROR($C$29/Besiktningsprotokoll!$E$8,1)</f>
        <v/>
      </c>
      <c r="D144" s="314">
        <f>(SUMIF(Besiktningsprotokoll!$F$103:$F$106,Byggnader!D$12,Besiktningsprotokoll!$D$103:$D$106)+SUMIF(Besiktningsprotokoll!$B$203:$B$206,Byggnader!D$12,Besiktningsprotokoll!$C$203:$C$206)+SUMIF(Besiktningsprotokoll!$B$203:$B$206,"Alla",Besiktningsprotokoll!$C$203:$C$206)*Byggnader!D$33)*IFERROR($C$29/Besiktningsprotokoll!$E$8,1)</f>
        <v/>
      </c>
      <c r="E144" s="314">
        <f>(SUMIF(Besiktningsprotokoll!$F$103:$F$106,Byggnader!E$12,Besiktningsprotokoll!$D$103:$D$106)+SUMIF(Besiktningsprotokoll!$B$203:$B$206,Byggnader!E$12,Besiktningsprotokoll!$C$203:$C$206)+SUMIF(Besiktningsprotokoll!$B$203:$B$206,"Alla",Besiktningsprotokoll!$C$203:$C$206)*Byggnader!E$33)*IFERROR($C$29/Besiktningsprotokoll!$E$8,1)</f>
        <v/>
      </c>
      <c r="F144" s="314">
        <f>(SUMIF(Besiktningsprotokoll!$F$103:$F$106,Byggnader!F$12,Besiktningsprotokoll!$D$103:$D$106)+SUMIF(Besiktningsprotokoll!$B$203:$B$206,Byggnader!F$12,Besiktningsprotokoll!$C$203:$C$206)+SUMIF(Besiktningsprotokoll!$B$203:$B$206,"Alla",Besiktningsprotokoll!$C$203:$C$206)*Byggnader!F$33)*IFERROR($C$29/Besiktningsprotokoll!$E$8,1)</f>
        <v/>
      </c>
      <c r="G144" s="314">
        <f>(SUMIF(Besiktningsprotokoll!$F$103:$F$106,Byggnader!G$12,Besiktningsprotokoll!$D$103:$D$106)+SUMIF(Besiktningsprotokoll!$B$203:$B$206,Byggnader!G$12,Besiktningsprotokoll!$C$203:$C$206)+SUMIF(Besiktningsprotokoll!$B$203:$B$206,"Alla",Besiktningsprotokoll!$C$203:$C$206)*Byggnader!G$33)*IFERROR($C$29/Besiktningsprotokoll!$E$8,1)</f>
        <v/>
      </c>
      <c r="H144" s="314">
        <f>(SUMIF(Besiktningsprotokoll!$F$103:$F$106,Byggnader!H$12,Besiktningsprotokoll!$D$103:$D$106)+SUMIF(Besiktningsprotokoll!$B$203:$B$206,Byggnader!H$12,Besiktningsprotokoll!$C$203:$C$206)+SUMIF(Besiktningsprotokoll!$B$203:$B$206,"Alla",Besiktningsprotokoll!$C$203:$C$206)*Byggnader!H$33)*IFERROR($C$29/Besiktningsprotokoll!$E$8,1)</f>
        <v/>
      </c>
      <c r="I144" s="314">
        <f>SUM(C144:H144)</f>
        <v/>
      </c>
    </row>
    <row r="145">
      <c r="A145" s="313" t="inlineStr">
        <is>
          <t>El utanför systemgräns (hiss, värmekablar m.m.)</t>
        </is>
      </c>
      <c r="C145" s="314">
        <f>$C$30*Byggnader!C$33</f>
        <v/>
      </c>
      <c r="D145" s="314">
        <f>$C$30*Byggnader!D$33</f>
        <v/>
      </c>
      <c r="E145" s="314">
        <f>$C$30*Byggnader!E$33</f>
        <v/>
      </c>
      <c r="F145" s="314">
        <f>$C$30*Byggnader!F$33</f>
        <v/>
      </c>
      <c r="G145" s="314">
        <f>$C$30*Byggnader!G$33</f>
        <v/>
      </c>
      <c r="H145" s="314">
        <f>$C$30*Byggnader!H$33</f>
        <v/>
      </c>
      <c r="I145" s="314">
        <f>SUM(C145:H145)</f>
        <v/>
      </c>
    </row>
    <row r="146">
      <c r="A146" s="312" t="inlineStr">
        <is>
          <t>Summa</t>
        </is>
      </c>
      <c r="C146" s="314">
        <f>SUM(C140:C145)</f>
        <v/>
      </c>
      <c r="D146" s="314">
        <f>SUM(D140:D145)</f>
        <v/>
      </c>
      <c r="E146" s="314">
        <f>SUM(E140:E145)</f>
        <v/>
      </c>
      <c r="F146" s="314">
        <f>SUM(F140:F145)</f>
        <v/>
      </c>
      <c r="G146" s="314">
        <f>SUM(G140:G145)</f>
        <v/>
      </c>
      <c r="H146" s="314">
        <f>SUM(H140:H145)</f>
        <v/>
      </c>
      <c r="I146" s="314">
        <f>SUM(I140:I145)</f>
        <v/>
      </c>
    </row>
    <row r="148">
      <c r="A148" s="311" t="inlineStr">
        <is>
          <t>Besiktningens andel per byggnad (används som standardandel)</t>
        </is>
      </c>
    </row>
    <row r="149">
      <c r="A149" s="312" t="inlineStr">
        <is>
          <t>Byggnad</t>
        </is>
      </c>
      <c r="C149" s="312">
        <f>Byggnader!C12</f>
        <v/>
      </c>
      <c r="D149" s="312">
        <f>Byggnader!D12</f>
        <v/>
      </c>
      <c r="E149" s="312">
        <f>Byggnader!E12</f>
        <v/>
      </c>
      <c r="F149" s="312">
        <f>Byggnader!F12</f>
        <v/>
      </c>
      <c r="G149" s="312">
        <f>Byggnader!G12</f>
        <v/>
      </c>
      <c r="H149" s="312">
        <f>Byggnader!H12</f>
        <v/>
      </c>
      <c r="I149" s="312" t="inlineStr">
        <is>
          <t>Summa</t>
        </is>
      </c>
    </row>
    <row r="150">
      <c r="A150" s="313" t="inlineStr">
        <is>
          <t>Fastighetsel (ventilation, pumpar, belysning, styrning)</t>
        </is>
      </c>
      <c r="C150" s="315">
        <f>IFERROR(C140/C$146,$D$25)</f>
        <v/>
      </c>
      <c r="D150" s="315">
        <f>IFERROR(D140/D$146,$D$25)</f>
        <v/>
      </c>
      <c r="E150" s="315">
        <f>IFERROR(E140/E$146,$D$25)</f>
        <v/>
      </c>
      <c r="F150" s="315">
        <f>IFERROR(F140/F$146,$D$25)</f>
        <v/>
      </c>
      <c r="G150" s="315">
        <f>IFERROR(G140/G$146,$D$25)</f>
        <v/>
      </c>
      <c r="H150" s="315">
        <f>IFERROR(H140/H$146,$D$25)</f>
        <v/>
      </c>
    </row>
    <row r="151">
      <c r="A151" s="313" t="inlineStr">
        <is>
          <t>Värmepump</t>
        </is>
      </c>
      <c r="C151" s="315">
        <f>IFERROR(C141/C$146,$D$26)</f>
        <v/>
      </c>
      <c r="D151" s="315">
        <f>IFERROR(D141/D$146,$D$26)</f>
        <v/>
      </c>
      <c r="E151" s="315">
        <f>IFERROR(E141/E$146,$D$26)</f>
        <v/>
      </c>
      <c r="F151" s="315">
        <f>IFERROR(F141/F$146,$D$26)</f>
        <v/>
      </c>
      <c r="G151" s="315">
        <f>IFERROR(G141/G$146,$D$26)</f>
        <v/>
      </c>
      <c r="H151" s="315">
        <f>IFERROR(H141/H$146,$D$26)</f>
        <v/>
      </c>
    </row>
    <row r="152">
      <c r="A152" s="313" t="inlineStr">
        <is>
          <t>Elvärme</t>
        </is>
      </c>
      <c r="C152" s="315">
        <f>IFERROR(C142/C$146,$D$27)</f>
        <v/>
      </c>
      <c r="D152" s="315">
        <f>IFERROR(D142/D$146,$D$27)</f>
        <v/>
      </c>
      <c r="E152" s="315">
        <f>IFERROR(E142/E$146,$D$27)</f>
        <v/>
      </c>
      <c r="F152" s="315">
        <f>IFERROR(F142/F$146,$D$27)</f>
        <v/>
      </c>
      <c r="G152" s="315">
        <f>IFERROR(G142/G$146,$D$27)</f>
        <v/>
      </c>
      <c r="H152" s="315">
        <f>IFERROR(H142/H$146,$D$27)</f>
        <v/>
      </c>
    </row>
    <row r="153">
      <c r="A153" s="313" t="inlineStr">
        <is>
          <t>El för komfortkyla</t>
        </is>
      </c>
      <c r="C153" s="315">
        <f>IFERROR(C143/C$146,$D$28)</f>
        <v/>
      </c>
      <c r="D153" s="315">
        <f>IFERROR(D143/D$146,$D$28)</f>
        <v/>
      </c>
      <c r="E153" s="315">
        <f>IFERROR(E143/E$146,$D$28)</f>
        <v/>
      </c>
      <c r="F153" s="315">
        <f>IFERROR(F143/F$146,$D$28)</f>
        <v/>
      </c>
      <c r="G153" s="315">
        <f>IFERROR(G143/G$146,$D$28)</f>
        <v/>
      </c>
      <c r="H153" s="315">
        <f>IFERROR(H143/H$146,$D$28)</f>
        <v/>
      </c>
    </row>
    <row r="154">
      <c r="A154" s="313" t="inlineStr">
        <is>
          <t>Verksamhetsel (tvättstugor, motorvärmare, utebelysning)</t>
        </is>
      </c>
      <c r="C154" s="315">
        <f>IFERROR(C144/C$146,$D$29)</f>
        <v/>
      </c>
      <c r="D154" s="315">
        <f>IFERROR(D144/D$146,$D$29)</f>
        <v/>
      </c>
      <c r="E154" s="315">
        <f>IFERROR(E144/E$146,$D$29)</f>
        <v/>
      </c>
      <c r="F154" s="315">
        <f>IFERROR(F144/F$146,$D$29)</f>
        <v/>
      </c>
      <c r="G154" s="315">
        <f>IFERROR(G144/G$146,$D$29)</f>
        <v/>
      </c>
      <c r="H154" s="315">
        <f>IFERROR(H144/H$146,$D$29)</f>
        <v/>
      </c>
    </row>
    <row r="155">
      <c r="A155" s="313" t="inlineStr">
        <is>
          <t>El utanför systemgräns (hiss, värmekablar m.m.)</t>
        </is>
      </c>
      <c r="C155" s="315">
        <f>IFERROR(C145/C$146,$D$30)</f>
        <v/>
      </c>
      <c r="D155" s="315">
        <f>IFERROR(D145/D$146,$D$30)</f>
        <v/>
      </c>
      <c r="E155" s="315">
        <f>IFERROR(E145/E$146,$D$30)</f>
        <v/>
      </c>
      <c r="F155" s="315">
        <f>IFERROR(F145/F$146,$D$30)</f>
        <v/>
      </c>
      <c r="G155" s="315">
        <f>IFERROR(G145/G$146,$D$30)</f>
        <v/>
      </c>
      <c r="H155" s="315">
        <f>IFERROR(H145/H$146,$D$30)</f>
        <v/>
      </c>
    </row>
  </sheetData>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N207"/>
  <sheetViews>
    <sheetView topLeftCell="A94" zoomScale="85" zoomScaleNormal="85" workbookViewId="0">
      <selection activeCell="B77" sqref="B77"/>
    </sheetView>
  </sheetViews>
  <sheetFormatPr baseColWidth="8" defaultColWidth="9.26953125" defaultRowHeight="12"/>
  <cols>
    <col width="28.1328125" customWidth="1" style="71" min="1" max="1"/>
    <col width="14" customWidth="1" style="71" min="2" max="2"/>
    <col width="12.26953125" customWidth="1" style="71" min="3" max="3"/>
    <col width="14.1328125" customWidth="1" style="71" min="4" max="4"/>
    <col width="21.54296875" customWidth="1" style="71" min="5" max="5"/>
    <col width="15.1328125" customWidth="1" style="71" min="6" max="6"/>
    <col width="29.26953125" customWidth="1" style="71" min="7" max="7"/>
    <col width="20.1328125" customWidth="1" style="71" min="8" max="8"/>
    <col width="22.86328125" customWidth="1" style="71" min="9" max="9"/>
    <col width="25.1328125" customWidth="1" style="71" min="10" max="12"/>
    <col width="26.26953125" customWidth="1" style="71" min="13" max="13"/>
    <col width="22.26953125" customWidth="1" style="71" min="14" max="15"/>
    <col width="18.6796875" customWidth="1" style="71" min="16" max="16"/>
    <col width="27.26953125" customWidth="1" style="71" min="17" max="17"/>
    <col width="17.6796875" customWidth="1" style="71" min="18" max="18"/>
    <col width="9.26953125" customWidth="1" style="71" min="19" max="16384"/>
  </cols>
  <sheetData>
    <row r="1" ht="31.5" customHeight="1">
      <c r="A1" s="13" t="inlineStr">
        <is>
          <t>Besiktningsprotokoll energideklaration</t>
        </is>
      </c>
      <c r="B1" s="316" t="n"/>
      <c r="C1" s="316" t="n"/>
      <c r="D1" s="316" t="n"/>
      <c r="E1" s="317" t="n"/>
    </row>
    <row r="2" ht="12.75" customHeight="1">
      <c r="A2" s="12" t="inlineStr">
        <is>
          <t>Indata</t>
        </is>
      </c>
      <c r="B2" s="177" t="n"/>
      <c r="C2" s="177" t="n"/>
      <c r="D2" s="177" t="n"/>
      <c r="E2" s="178" t="n"/>
    </row>
    <row r="3" ht="12" customHeight="1">
      <c r="A3" s="72" t="inlineStr">
        <is>
          <t>Kund</t>
        </is>
      </c>
      <c r="B3" s="73" t="n"/>
      <c r="C3" s="74" t="inlineStr">
        <is>
          <t>Utförare</t>
        </is>
      </c>
      <c r="D3" s="75" t="inlineStr">
        <is>
          <t>Peter Persson</t>
        </is>
      </c>
      <c r="E3" s="76" t="n"/>
    </row>
    <row r="4" ht="12" customHeight="1">
      <c r="A4" s="77" t="inlineStr">
        <is>
          <t>Byggnad</t>
        </is>
      </c>
      <c r="B4" s="78" t="n"/>
      <c r="C4" s="79" t="inlineStr">
        <is>
          <t>Företag</t>
        </is>
      </c>
      <c r="D4" s="80" t="inlineStr">
        <is>
          <t>HSB Värmland</t>
        </is>
      </c>
      <c r="E4" s="81" t="n"/>
    </row>
    <row r="5" ht="12" customHeight="1">
      <c r="A5" s="77" t="inlineStr">
        <is>
          <t>Adress</t>
        </is>
      </c>
      <c r="B5" s="78" t="n"/>
      <c r="C5" s="79" t="inlineStr">
        <is>
          <t>Telefon</t>
        </is>
      </c>
      <c r="D5" s="80" t="inlineStr">
        <is>
          <t>0708-192035</t>
        </is>
      </c>
      <c r="E5" s="81" t="n"/>
    </row>
    <row r="6" ht="12.75" customHeight="1">
      <c r="A6" s="77" t="inlineStr">
        <is>
          <t>Uppmätt yta A-temp m2</t>
        </is>
      </c>
      <c r="B6" s="82">
        <f>Byggnader!I32</f>
        <v/>
      </c>
      <c r="C6" s="83" t="inlineStr">
        <is>
          <t>Mail</t>
        </is>
      </c>
      <c r="D6" s="84" t="inlineStr">
        <is>
          <t>peter.persson@hsb.se</t>
        </is>
      </c>
      <c r="E6" s="85" t="n"/>
    </row>
    <row r="7" ht="36" customHeight="1">
      <c r="A7" s="72" t="inlineStr">
        <is>
          <t>Energi enligt besiktning</t>
        </is>
      </c>
      <c r="B7" s="86" t="inlineStr">
        <is>
          <t>Elvärme</t>
        </is>
      </c>
      <c r="C7" s="86" t="inlineStr">
        <is>
          <t>Fastighetsel (Belysning, elmotorer mm.</t>
        </is>
      </c>
      <c r="D7" s="318" t="n"/>
      <c r="E7" s="87" t="inlineStr">
        <is>
          <t>Beräknat värde av övrig el (tvättstugor 1–4, motorvärmare, utebelysning)</t>
        </is>
      </c>
      <c r="H7" s="88" t="n"/>
      <c r="I7" s="88" t="n"/>
      <c r="J7" s="88" t="n"/>
      <c r="K7" s="88" t="n"/>
      <c r="L7" s="88" t="n"/>
      <c r="M7" s="88" t="n"/>
      <c r="N7" s="88" t="n"/>
    </row>
    <row r="8" ht="12" customHeight="1">
      <c r="A8" s="179" t="n"/>
      <c r="B8" s="80">
        <f>D130</f>
        <v/>
      </c>
      <c r="C8" s="80">
        <f>D125</f>
        <v/>
      </c>
      <c r="D8" s="319" t="n"/>
      <c r="E8" s="89">
        <f>D107+C207</f>
        <v/>
      </c>
    </row>
    <row r="9" ht="16.5" customHeight="1">
      <c r="A9" s="90" t="n"/>
      <c r="B9" s="91" t="inlineStr">
        <is>
          <t>El värmepump</t>
        </is>
      </c>
      <c r="C9" s="91" t="inlineStr">
        <is>
          <t>El komfortkyla</t>
        </is>
      </c>
      <c r="D9" s="319" t="n"/>
      <c r="E9" s="92" t="inlineStr">
        <is>
          <t>Övrigt</t>
        </is>
      </c>
    </row>
    <row r="10" ht="18" customHeight="1">
      <c r="A10" s="181" t="n"/>
      <c r="B10" s="93">
        <f>G88</f>
        <v/>
      </c>
      <c r="C10" s="93">
        <f>J88</f>
        <v/>
      </c>
      <c r="D10" s="320" t="n"/>
      <c r="E10" s="94" t="n"/>
      <c r="H10" s="88" t="n"/>
      <c r="I10" s="88" t="n"/>
    </row>
    <row r="11" ht="18" customHeight="1">
      <c r="A11" s="5" t="inlineStr">
        <is>
          <t>1 Klimatskärm</t>
        </is>
      </c>
      <c r="E11" s="180" t="n"/>
    </row>
    <row r="12" ht="12.75" customHeight="1">
      <c r="A12" s="95" t="n"/>
      <c r="B12" s="96" t="inlineStr">
        <is>
          <t>Klimatskärm</t>
        </is>
      </c>
      <c r="C12" s="97" t="n"/>
      <c r="D12" s="97" t="n"/>
      <c r="E12" s="98" t="n"/>
    </row>
    <row r="13" ht="34.5" customFormat="1" customHeight="1" s="88">
      <c r="A13" s="99" t="n"/>
      <c r="B13" s="100" t="inlineStr">
        <is>
          <t>U-värde</t>
        </is>
      </c>
      <c r="C13" s="100" t="n"/>
      <c r="D13" s="100" t="n"/>
      <c r="E13" s="101" t="inlineStr">
        <is>
          <t>Kommentar</t>
        </is>
      </c>
    </row>
    <row r="14" ht="12" customHeight="1">
      <c r="A14" s="102" t="inlineStr">
        <is>
          <t>Ytterväggar 1</t>
        </is>
      </c>
      <c r="B14" s="80" t="n"/>
      <c r="C14" s="80" t="n"/>
      <c r="D14" s="80" t="n"/>
      <c r="E14" s="103" t="n"/>
    </row>
    <row r="15" ht="12" customHeight="1">
      <c r="A15" s="102" t="inlineStr">
        <is>
          <t>Ytterväggar källare</t>
        </is>
      </c>
      <c r="B15" s="80" t="n"/>
      <c r="C15" s="80" t="n"/>
      <c r="D15" s="80" t="n"/>
      <c r="E15" s="103" t="n"/>
      <c r="N15" s="71" t="inlineStr">
        <is>
          <t xml:space="preserve">  </t>
        </is>
      </c>
    </row>
    <row r="16" ht="12" customHeight="1">
      <c r="A16" s="102" t="inlineStr">
        <is>
          <t>Takbjälklag</t>
        </is>
      </c>
      <c r="B16" s="80" t="n"/>
      <c r="C16" s="80" t="n"/>
      <c r="D16" s="80" t="n"/>
      <c r="E16" s="103" t="n"/>
    </row>
    <row r="17" ht="12" customHeight="1">
      <c r="A17" s="102" t="inlineStr">
        <is>
          <t>Fönster</t>
        </is>
      </c>
      <c r="B17" s="80" t="n"/>
      <c r="C17" s="80" t="n"/>
      <c r="D17" s="80" t="n"/>
      <c r="E17" s="103" t="n"/>
    </row>
    <row r="18" ht="12.75" customHeight="1">
      <c r="A18" s="102" t="inlineStr">
        <is>
          <t>Övrigt</t>
        </is>
      </c>
      <c r="B18" s="80" t="n"/>
      <c r="C18" s="80" t="n"/>
      <c r="D18" s="80" t="n"/>
      <c r="E18" s="103" t="n"/>
    </row>
    <row r="19" ht="18" customHeight="1">
      <c r="A19" s="4" t="inlineStr">
        <is>
          <t>2 Klimat</t>
        </is>
      </c>
      <c r="B19" s="177" t="n"/>
      <c r="C19" s="177" t="n"/>
      <c r="D19" s="177" t="n"/>
      <c r="E19" s="178" t="n"/>
    </row>
    <row r="20" ht="12" customHeight="1">
      <c r="A20" s="102" t="n"/>
      <c r="B20" s="71" t="inlineStr">
        <is>
          <t>Klimat</t>
        </is>
      </c>
      <c r="E20" s="81" t="n"/>
    </row>
    <row r="21" ht="12" customHeight="1">
      <c r="A21" s="104" t="n"/>
      <c r="B21" s="91" t="inlineStr">
        <is>
          <t>Mätningar</t>
        </is>
      </c>
      <c r="C21" s="91" t="n"/>
      <c r="D21" s="91" t="n"/>
      <c r="E21" s="103" t="inlineStr">
        <is>
          <t>Kommentar</t>
        </is>
      </c>
    </row>
    <row r="22" ht="12" customHeight="1">
      <c r="A22" s="104" t="inlineStr">
        <is>
          <t>Rumstemperatur</t>
        </is>
      </c>
      <c r="B22" s="80" t="n"/>
      <c r="C22" s="80" t="n"/>
      <c r="D22" s="80" t="n"/>
      <c r="E22" s="103" t="n"/>
    </row>
    <row r="23" ht="12" customHeight="1">
      <c r="A23" s="104" t="inlineStr">
        <is>
          <t>Rumstemperatur</t>
        </is>
      </c>
      <c r="B23" s="80" t="inlineStr">
        <is>
          <t>21-22</t>
        </is>
      </c>
      <c r="C23" s="80" t="n"/>
      <c r="D23" s="80" t="n"/>
      <c r="E23" s="103" t="inlineStr">
        <is>
          <t>Bedömt</t>
        </is>
      </c>
    </row>
    <row r="24" ht="12.75" customHeight="1">
      <c r="A24" s="104" t="inlineStr">
        <is>
          <t>Rumstemperatur</t>
        </is>
      </c>
      <c r="B24" s="105" t="n"/>
      <c r="C24" s="105" t="n"/>
      <c r="D24" s="105" t="n"/>
      <c r="E24" s="106" t="n"/>
    </row>
    <row r="25" ht="18" customHeight="1">
      <c r="A25" s="4" t="inlineStr">
        <is>
          <t>3 Värmeproduktion/Inspektionsprotokoll</t>
        </is>
      </c>
      <c r="B25" s="177" t="n"/>
      <c r="C25" s="177" t="n"/>
      <c r="D25" s="177" t="n"/>
      <c r="E25" s="178" t="n"/>
      <c r="G25" s="107" t="inlineStr">
        <is>
          <t>Beräkning effekt via fjärrvärme</t>
        </is>
      </c>
      <c r="H25" s="108" t="n"/>
    </row>
    <row r="26" ht="44.25" customHeight="1">
      <c r="A26" s="109" t="inlineStr">
        <is>
          <t>Värmeproduktion beskrivning</t>
        </is>
      </c>
      <c r="B26" s="87" t="n"/>
      <c r="C26" s="321" t="n"/>
      <c r="D26" s="321" t="n"/>
      <c r="E26" s="322" t="n"/>
      <c r="G26" s="102" t="inlineStr">
        <is>
          <t>Utetemp</t>
        </is>
      </c>
      <c r="H26" s="110" t="n">
        <v>-20</v>
      </c>
    </row>
    <row r="27" ht="12" customHeight="1">
      <c r="A27" s="102" t="inlineStr">
        <is>
          <t>Nominell effekt kW</t>
        </is>
      </c>
      <c r="B27" s="103">
        <f>Mätdata!E6/2000</f>
        <v/>
      </c>
      <c r="C27" s="323" t="n"/>
      <c r="D27" s="323" t="n"/>
      <c r="E27" s="324" t="n"/>
      <c r="G27" s="102" t="inlineStr">
        <is>
          <t>Faktor 1</t>
        </is>
      </c>
      <c r="H27" s="110" t="n">
        <v>-1.7</v>
      </c>
    </row>
    <row r="28" ht="12" customHeight="1">
      <c r="A28" s="102" t="inlineStr">
        <is>
          <t>Effekt W/m2</t>
        </is>
      </c>
      <c r="B28" s="325">
        <f>IFERROR(B27*1000/Byggnader!I32,0)</f>
        <v/>
      </c>
      <c r="E28" s="180" t="n"/>
      <c r="G28" s="102" t="inlineStr">
        <is>
          <t>Faktor 2</t>
        </is>
      </c>
      <c r="H28" s="110" t="n">
        <v>29.39</v>
      </c>
    </row>
    <row r="29" ht="12" customHeight="1">
      <c r="A29" s="102" t="inlineStr">
        <is>
          <t>Bedömningsgrund</t>
        </is>
      </c>
      <c r="B29" s="103" t="n"/>
      <c r="C29" s="323" t="n"/>
      <c r="D29" s="323" t="n"/>
      <c r="E29" s="324" t="n"/>
      <c r="G29" s="102" t="inlineStr">
        <is>
          <t>VV%</t>
        </is>
      </c>
      <c r="H29" s="111" t="n">
        <v>0</v>
      </c>
    </row>
    <row r="30" ht="18.75" customHeight="1">
      <c r="A30" s="90" t="inlineStr">
        <is>
          <t>Kommentar</t>
        </is>
      </c>
      <c r="B30" s="285" t="n"/>
      <c r="C30" s="183" t="n"/>
      <c r="D30" s="183" t="n"/>
      <c r="E30" s="184" t="n"/>
      <c r="G30" s="90" t="inlineStr">
        <is>
          <t>Effekt tot</t>
        </is>
      </c>
      <c r="H30" s="112">
        <f>(H27*H26+H28)-(H27*H26+H28)*H29</f>
        <v/>
      </c>
    </row>
    <row r="31" ht="18" customHeight="1">
      <c r="A31" s="5" t="inlineStr">
        <is>
          <t>4 Värmedistribution/Inspektionsprotokoll</t>
        </is>
      </c>
      <c r="E31" s="180" t="n"/>
    </row>
    <row r="32" ht="12" customHeight="1">
      <c r="A32" s="102" t="n"/>
      <c r="B32" s="113" t="n"/>
      <c r="E32" s="81" t="inlineStr">
        <is>
          <t>Kommentar</t>
        </is>
      </c>
    </row>
    <row r="33" ht="17.25" customHeight="1">
      <c r="A33" s="102" t="inlineStr">
        <is>
          <t>Tryckuppsättning pump Mvp</t>
        </is>
      </c>
      <c r="B33" s="80" t="n"/>
      <c r="C33" s="323" t="n"/>
      <c r="D33" s="319" t="n"/>
      <c r="E33" s="103" t="n"/>
    </row>
    <row r="34" ht="12" customHeight="1">
      <c r="A34" s="102" t="inlineStr">
        <is>
          <t>Stamventiler</t>
        </is>
      </c>
      <c r="B34" s="80" t="n"/>
      <c r="C34" s="323" t="n"/>
      <c r="D34" s="319" t="n"/>
      <c r="E34" s="103" t="n"/>
    </row>
    <row r="35" ht="12" customHeight="1">
      <c r="A35" s="102" t="inlineStr">
        <is>
          <t>Radiatorventiler</t>
        </is>
      </c>
      <c r="B35" s="80" t="n"/>
      <c r="C35" s="323" t="n"/>
      <c r="D35" s="319" t="n"/>
      <c r="E35" s="103" t="n"/>
    </row>
    <row r="36" ht="12" customHeight="1">
      <c r="A36" s="102" t="inlineStr">
        <is>
          <t>Termostater</t>
        </is>
      </c>
      <c r="B36" s="80" t="n"/>
      <c r="C36" s="323" t="n"/>
      <c r="D36" s="319" t="n"/>
      <c r="E36" s="103" t="n"/>
    </row>
    <row r="37" ht="12" customHeight="1">
      <c r="A37" s="102" t="inlineStr">
        <is>
          <t>Rörsystem/Radiatorer</t>
        </is>
      </c>
      <c r="B37" s="80" t="n"/>
      <c r="C37" s="323" t="n"/>
      <c r="D37" s="319" t="n"/>
      <c r="E37" s="103" t="n"/>
    </row>
    <row r="38" ht="12" customHeight="1">
      <c r="A38" s="102" t="inlineStr">
        <is>
          <t>Isolering</t>
        </is>
      </c>
      <c r="B38" s="80" t="n"/>
      <c r="C38" s="323" t="n"/>
      <c r="D38" s="319" t="n"/>
      <c r="E38" s="103" t="n"/>
    </row>
    <row r="39" ht="12" customHeight="1">
      <c r="A39" s="102" t="inlineStr">
        <is>
          <t>Injustering bedömning</t>
        </is>
      </c>
      <c r="B39" s="80" t="n"/>
      <c r="C39" s="323" t="n"/>
      <c r="D39" s="319" t="n"/>
      <c r="E39" s="103" t="n"/>
    </row>
    <row r="40" ht="12" customHeight="1">
      <c r="A40" s="102" t="inlineStr">
        <is>
          <t>Dimensionering</t>
        </is>
      </c>
      <c r="B40" s="286" t="n"/>
      <c r="C40" s="326" t="n"/>
      <c r="D40" s="327" t="n"/>
      <c r="E40" s="115" t="n"/>
    </row>
    <row r="41" ht="18" customHeight="1">
      <c r="A41" s="116" t="inlineStr">
        <is>
          <t>Kommentarer</t>
        </is>
      </c>
      <c r="B41" s="287" t="n"/>
      <c r="C41" s="328" t="n"/>
      <c r="D41" s="328" t="n"/>
      <c r="E41" s="329" t="n"/>
    </row>
    <row r="42" ht="20.25" customHeight="1">
      <c r="A42" s="4" t="inlineStr">
        <is>
          <t>5 Styr och övervakningssystem/Inspektionsprotokoll</t>
        </is>
      </c>
      <c r="B42" s="177" t="n"/>
      <c r="C42" s="177" t="n"/>
      <c r="D42" s="177" t="n"/>
      <c r="E42" s="178" t="n"/>
    </row>
    <row r="43" ht="12" customHeight="1">
      <c r="A43" s="117" t="inlineStr">
        <is>
          <t>System</t>
        </is>
      </c>
      <c r="B43" s="289" t="inlineStr">
        <is>
          <t>Typ</t>
        </is>
      </c>
      <c r="C43" s="289" t="inlineStr">
        <is>
          <t>Funktion</t>
        </is>
      </c>
      <c r="D43" s="289" t="inlineStr">
        <is>
          <t>År</t>
        </is>
      </c>
      <c r="E43" s="119" t="inlineStr">
        <is>
          <t>Kommentar/inställning</t>
        </is>
      </c>
    </row>
    <row r="44" ht="12" customHeight="1">
      <c r="A44" s="104" t="inlineStr">
        <is>
          <t>Värme</t>
        </is>
      </c>
      <c r="B44" s="80" t="n"/>
      <c r="C44" s="80" t="n"/>
      <c r="D44" s="80" t="n"/>
      <c r="E44" s="103" t="n"/>
    </row>
    <row r="45" ht="12" customHeight="1">
      <c r="A45" s="104" t="inlineStr">
        <is>
          <t>Varmvatten</t>
        </is>
      </c>
      <c r="B45" s="80" t="n"/>
      <c r="C45" s="80" t="n"/>
      <c r="D45" s="80" t="n"/>
      <c r="E45" s="103" t="n"/>
    </row>
    <row r="46" ht="12" customHeight="1">
      <c r="A46" s="104" t="inlineStr">
        <is>
          <t>Ventilation</t>
        </is>
      </c>
      <c r="B46" s="80" t="n"/>
      <c r="C46" s="80" t="n"/>
      <c r="D46" s="80" t="n"/>
      <c r="E46" s="103" t="n"/>
    </row>
    <row r="47" ht="12" customHeight="1">
      <c r="A47" s="104" t="inlineStr">
        <is>
          <t>Övrigt</t>
        </is>
      </c>
      <c r="B47" s="80" t="n"/>
      <c r="C47" s="80" t="n"/>
      <c r="D47" s="80" t="n"/>
      <c r="E47" s="103" t="n"/>
    </row>
    <row r="48" ht="12.75" customHeight="1">
      <c r="A48" s="116" t="inlineStr">
        <is>
          <t>Kommentarer</t>
        </is>
      </c>
      <c r="B48" s="287" t="n"/>
      <c r="C48" s="328" t="n"/>
      <c r="D48" s="328" t="n"/>
      <c r="E48" s="329" t="n"/>
    </row>
    <row r="49" ht="17.25" customHeight="1">
      <c r="A49" s="4" t="inlineStr">
        <is>
          <t>6 Ventilationssystem</t>
        </is>
      </c>
      <c r="B49" s="177" t="n"/>
      <c r="C49" s="177" t="n"/>
      <c r="D49" s="177" t="n"/>
      <c r="E49" s="178" t="n"/>
    </row>
    <row r="50" ht="24.75" customHeight="1">
      <c r="A50" s="120" t="inlineStr">
        <is>
          <t>System</t>
        </is>
      </c>
      <c r="B50" s="75" t="inlineStr">
        <is>
          <t>FF1</t>
        </is>
      </c>
      <c r="C50" s="75" t="inlineStr">
        <is>
          <t>FTX lokal</t>
        </is>
      </c>
      <c r="D50" s="75" t="n"/>
      <c r="E50" s="121" t="inlineStr">
        <is>
          <t>Kommentar/inställning</t>
        </is>
      </c>
      <c r="G50" s="122" t="inlineStr">
        <is>
          <t>Beräkning eftervärme vent</t>
        </is>
      </c>
      <c r="H50" s="123" t="inlineStr">
        <is>
          <t>System</t>
        </is>
      </c>
      <c r="I50" s="108" t="inlineStr">
        <is>
          <t>System</t>
        </is>
      </c>
    </row>
    <row r="51" ht="12.75" customHeight="1">
      <c r="A51" s="102" t="inlineStr">
        <is>
          <t>Betjänar</t>
        </is>
      </c>
      <c r="B51" s="80" t="inlineStr">
        <is>
          <t>Lgh</t>
        </is>
      </c>
      <c r="C51" s="80" t="inlineStr">
        <is>
          <t>Lokal</t>
        </is>
      </c>
      <c r="D51" s="80" t="n"/>
      <c r="E51" s="103" t="n"/>
      <c r="G51" s="124" t="n"/>
      <c r="H51" s="77" t="n"/>
      <c r="I51" s="125" t="n"/>
    </row>
    <row r="52" ht="12" customHeight="1">
      <c r="A52" s="104" t="inlineStr">
        <is>
          <t>Typ (S,F,FTX FX)</t>
        </is>
      </c>
      <c r="B52" s="80" t="inlineStr">
        <is>
          <t>F</t>
        </is>
      </c>
      <c r="C52" s="80" t="inlineStr">
        <is>
          <t>FTX</t>
        </is>
      </c>
      <c r="D52" s="80" t="n"/>
      <c r="E52" s="103" t="n"/>
      <c r="G52" s="126" t="inlineStr">
        <is>
          <t>Drifttid %</t>
        </is>
      </c>
      <c r="H52" s="127" t="n"/>
      <c r="I52" s="128" t="n"/>
    </row>
    <row r="53" ht="12" customHeight="1">
      <c r="A53" s="104" t="inlineStr">
        <is>
          <t>Märkeffekt</t>
        </is>
      </c>
      <c r="B53" s="80">
        <f>0.015*36</f>
        <v/>
      </c>
      <c r="C53" s="80" t="n">
        <v>0.2</v>
      </c>
      <c r="D53" s="80" t="n"/>
      <c r="E53" s="103" t="n"/>
      <c r="G53" s="126" t="inlineStr">
        <is>
          <t>Gradtimmar</t>
        </is>
      </c>
      <c r="H53" s="104" t="n"/>
      <c r="I53" s="103" t="n"/>
    </row>
    <row r="54" ht="12" customHeight="1">
      <c r="A54" s="104" t="inlineStr">
        <is>
          <t>OVK besiktigad G eller ej EG</t>
        </is>
      </c>
      <c r="B54" s="80" t="inlineStr">
        <is>
          <t>G</t>
        </is>
      </c>
      <c r="C54" s="80" t="inlineStr">
        <is>
          <t>G</t>
        </is>
      </c>
      <c r="D54" s="80" t="inlineStr">
        <is>
          <t>G</t>
        </is>
      </c>
      <c r="E54" s="103" t="n"/>
      <c r="G54" s="126" t="inlineStr">
        <is>
          <t>Flöde M3/s</t>
        </is>
      </c>
      <c r="H54" s="104" t="n"/>
      <c r="I54" s="103" t="n"/>
    </row>
    <row r="55" ht="12" customHeight="1">
      <c r="A55" s="104" t="inlineStr">
        <is>
          <t>Drifttider h/år</t>
        </is>
      </c>
      <c r="B55" s="80" t="n">
        <v>8760</v>
      </c>
      <c r="C55" s="80" t="n">
        <v>2000</v>
      </c>
      <c r="D55" s="80" t="n">
        <v>8760</v>
      </c>
      <c r="E55" s="103" t="n"/>
      <c r="G55" s="126" t="inlineStr">
        <is>
          <t>Återvinning %</t>
        </is>
      </c>
      <c r="H55" s="127" t="n"/>
      <c r="I55" s="128" t="n"/>
    </row>
    <row r="56" ht="12" customHeight="1">
      <c r="A56" s="104" t="inlineStr">
        <is>
          <t>% Drifttid/år</t>
        </is>
      </c>
      <c r="B56" s="129">
        <f>B55/8760</f>
        <v/>
      </c>
      <c r="C56" s="129">
        <f>C55/8760</f>
        <v/>
      </c>
      <c r="D56" s="129">
        <f>D55/8760</f>
        <v/>
      </c>
      <c r="E56" s="103" t="n"/>
      <c r="G56" s="126" t="n"/>
      <c r="H56" s="130" t="n"/>
      <c r="I56" s="131" t="n"/>
    </row>
    <row r="57" ht="12.75" customHeight="1">
      <c r="A57" s="104" t="inlineStr">
        <is>
          <t>Luftflöde m3/s</t>
        </is>
      </c>
      <c r="B57" s="80" t="n">
        <v>0.2</v>
      </c>
      <c r="C57" s="80" t="n">
        <v>0.2</v>
      </c>
      <c r="D57" s="80" t="n">
        <v>0.5</v>
      </c>
      <c r="E57" s="103" t="n"/>
      <c r="G57" s="132" t="inlineStr">
        <is>
          <t>Årsenergi kWh/år</t>
        </is>
      </c>
      <c r="H57" s="133">
        <f>H53*H54*H52*(1-H55)</f>
        <v/>
      </c>
      <c r="I57" s="134">
        <f>I53*I54*I52*(1-I55)</f>
        <v/>
      </c>
    </row>
    <row r="58" ht="15.75" customHeight="1">
      <c r="A58" s="135" t="inlineStr">
        <is>
          <t>SFP-tal</t>
        </is>
      </c>
      <c r="B58" s="136">
        <f>B53/B57</f>
        <v/>
      </c>
      <c r="C58" s="136">
        <f>C53/C57</f>
        <v/>
      </c>
      <c r="D58" s="105" t="n"/>
      <c r="E58" s="106" t="n"/>
    </row>
    <row r="59" ht="15.75" customHeight="1">
      <c r="A59" s="120" t="inlineStr">
        <is>
          <t>System</t>
        </is>
      </c>
      <c r="B59" s="75" t="n"/>
      <c r="C59" s="75" t="n"/>
      <c r="D59" s="75" t="n"/>
      <c r="E59" s="121" t="n"/>
    </row>
    <row r="60" ht="15.75" customHeight="1">
      <c r="A60" s="102" t="inlineStr">
        <is>
          <t>Betjänar</t>
        </is>
      </c>
      <c r="B60" s="80" t="n"/>
      <c r="C60" s="80" t="n"/>
      <c r="D60" s="80" t="n"/>
      <c r="E60" s="103" t="n"/>
    </row>
    <row r="61" ht="15.75" customHeight="1">
      <c r="A61" s="104" t="inlineStr">
        <is>
          <t>Typ (S,F,FTX FX)</t>
        </is>
      </c>
      <c r="B61" s="80" t="n"/>
      <c r="C61" s="80" t="n"/>
      <c r="D61" s="80" t="n"/>
      <c r="E61" s="103" t="n"/>
    </row>
    <row r="62" ht="15.75" customHeight="1">
      <c r="A62" s="104" t="inlineStr">
        <is>
          <t>Märkeffekt</t>
        </is>
      </c>
      <c r="B62" s="80" t="n"/>
      <c r="C62" s="80" t="n"/>
      <c r="D62" s="80" t="n"/>
      <c r="E62" s="103" t="n"/>
    </row>
    <row r="63" ht="15.75" customHeight="1">
      <c r="A63" s="104" t="inlineStr">
        <is>
          <t>OVK besiktigad G eller ej EG</t>
        </is>
      </c>
      <c r="B63" s="80" t="inlineStr">
        <is>
          <t>G</t>
        </is>
      </c>
      <c r="C63" s="80" t="inlineStr">
        <is>
          <t>G</t>
        </is>
      </c>
      <c r="D63" s="80" t="inlineStr">
        <is>
          <t>G</t>
        </is>
      </c>
      <c r="E63" s="103" t="n"/>
    </row>
    <row r="64" ht="15.75" customHeight="1">
      <c r="A64" s="104" t="inlineStr">
        <is>
          <t>Drifttider h/år</t>
        </is>
      </c>
      <c r="B64" s="80" t="n">
        <v>8760</v>
      </c>
      <c r="C64" s="80" t="n">
        <v>8760</v>
      </c>
      <c r="D64" s="80" t="n">
        <v>8760</v>
      </c>
      <c r="E64" s="103" t="n"/>
    </row>
    <row r="65" ht="15.75" customHeight="1">
      <c r="A65" s="104" t="inlineStr">
        <is>
          <t>% Drifttid/år</t>
        </is>
      </c>
      <c r="B65" s="129">
        <f>B64/8760</f>
        <v/>
      </c>
      <c r="C65" s="129">
        <f>C64/8760</f>
        <v/>
      </c>
      <c r="D65" s="129">
        <f>D64/8760</f>
        <v/>
      </c>
      <c r="E65" s="103" t="n"/>
    </row>
    <row r="66" ht="15.75" customHeight="1">
      <c r="A66" s="104" t="inlineStr">
        <is>
          <t>Luftflöde m3/s</t>
        </is>
      </c>
      <c r="B66" s="80" t="n">
        <v>0.5</v>
      </c>
      <c r="C66" s="80" t="n">
        <v>0.5</v>
      </c>
      <c r="D66" s="80" t="n">
        <v>0.5</v>
      </c>
      <c r="E66" s="103" t="n"/>
    </row>
    <row r="67" ht="15.75" customHeight="1">
      <c r="A67" s="135" t="inlineStr">
        <is>
          <t>SFP-tal</t>
        </is>
      </c>
      <c r="B67" s="105" t="n"/>
      <c r="C67" s="105" t="n"/>
      <c r="D67" s="105" t="n"/>
      <c r="E67" s="106" t="n"/>
    </row>
    <row r="68" ht="15.75" customHeight="1">
      <c r="A68" s="120" t="inlineStr">
        <is>
          <t>System</t>
        </is>
      </c>
      <c r="B68" s="75" t="n"/>
      <c r="C68" s="75" t="n"/>
      <c r="D68" s="75" t="n"/>
      <c r="E68" s="121" t="n"/>
    </row>
    <row r="69" ht="15.75" customHeight="1">
      <c r="A69" s="102" t="inlineStr">
        <is>
          <t>Betjänar</t>
        </is>
      </c>
      <c r="B69" s="80" t="n"/>
      <c r="C69" s="80" t="n"/>
      <c r="D69" s="80" t="n"/>
      <c r="E69" s="103" t="n"/>
    </row>
    <row r="70" ht="15.75" customHeight="1">
      <c r="A70" s="104" t="inlineStr">
        <is>
          <t>Typ (S,F,FTX FX)</t>
        </is>
      </c>
      <c r="B70" s="80" t="n">
        <v>8760</v>
      </c>
      <c r="C70" s="80" t="n">
        <v>8760</v>
      </c>
      <c r="D70" s="80" t="n">
        <v>8760</v>
      </c>
      <c r="E70" s="103" t="n"/>
    </row>
    <row r="71" ht="15.75" customHeight="1">
      <c r="A71" s="104" t="inlineStr">
        <is>
          <t>Märkeffekt</t>
        </is>
      </c>
      <c r="B71" s="129">
        <f>B70/8760</f>
        <v/>
      </c>
      <c r="C71" s="129">
        <f>C70/8760</f>
        <v/>
      </c>
      <c r="D71" s="129">
        <f>D70/8760</f>
        <v/>
      </c>
      <c r="E71" s="103" t="n"/>
    </row>
    <row r="72" ht="15.75" customHeight="1">
      <c r="A72" s="104" t="inlineStr">
        <is>
          <t>OVK besiktigad G eller ej EG</t>
        </is>
      </c>
      <c r="B72" s="80" t="inlineStr">
        <is>
          <t>G</t>
        </is>
      </c>
      <c r="C72" s="80" t="inlineStr">
        <is>
          <t>G</t>
        </is>
      </c>
      <c r="D72" s="80" t="inlineStr">
        <is>
          <t>G</t>
        </is>
      </c>
      <c r="E72" s="103" t="n"/>
    </row>
    <row r="73" ht="15.75" customHeight="1">
      <c r="A73" s="104" t="inlineStr">
        <is>
          <t>Drifttider h/år</t>
        </is>
      </c>
      <c r="B73" s="80" t="n">
        <v>8760</v>
      </c>
      <c r="C73" s="80" t="n">
        <v>8760</v>
      </c>
      <c r="D73" s="80" t="n">
        <v>8760</v>
      </c>
      <c r="E73" s="103" t="n"/>
    </row>
    <row r="74" ht="15.75" customHeight="1">
      <c r="A74" s="104" t="inlineStr">
        <is>
          <t>% Drifttid/år</t>
        </is>
      </c>
      <c r="B74" s="129">
        <f>B73/8760</f>
        <v/>
      </c>
      <c r="C74" s="129">
        <f>C73/8760</f>
        <v/>
      </c>
      <c r="D74" s="129">
        <f>D73/8760</f>
        <v/>
      </c>
      <c r="E74" s="103" t="n"/>
    </row>
    <row r="75" ht="15.75" customHeight="1">
      <c r="A75" s="104" t="inlineStr">
        <is>
          <t>Luftflöde m3/s</t>
        </is>
      </c>
      <c r="B75" s="80" t="n">
        <v>0.5</v>
      </c>
      <c r="C75" s="80" t="n">
        <v>0.5</v>
      </c>
      <c r="D75" s="80" t="n">
        <v>0.5</v>
      </c>
      <c r="E75" s="103" t="n"/>
    </row>
    <row r="76" ht="15.75" customHeight="1">
      <c r="A76" s="135" t="inlineStr">
        <is>
          <t>SFP-tal</t>
        </is>
      </c>
      <c r="B76" s="105" t="n"/>
      <c r="C76" s="105" t="n"/>
      <c r="D76" s="105" t="n"/>
      <c r="E76" s="106" t="n"/>
    </row>
    <row r="77" ht="15.75" customHeight="1">
      <c r="A77" s="137" t="inlineStr">
        <is>
          <t>A-temp vent m2</t>
        </is>
      </c>
      <c r="B77" s="138">
        <f>Byggnader!I32</f>
        <v/>
      </c>
      <c r="C77" s="75" t="n"/>
      <c r="D77" s="75" t="n"/>
      <c r="E77" s="121" t="n"/>
    </row>
    <row r="78" ht="15.75" customHeight="1">
      <c r="A78" s="139" t="inlineStr">
        <is>
          <t>Genomsnittsflöde l/s m2</t>
        </is>
      </c>
      <c r="B78" s="140">
        <f>(B56*B57+C56*C57+D56*D57+B65*B66+C65*C66+D65*D66+B74*B75+C74*C75+D74*D75)*1000/B77</f>
        <v/>
      </c>
      <c r="C78" s="80" t="n"/>
      <c r="D78" s="80" t="n"/>
      <c r="E78" s="103" t="n"/>
    </row>
    <row r="79" ht="15.75" customHeight="1">
      <c r="A79" s="99" t="n"/>
      <c r="B79" s="286" t="n"/>
      <c r="C79" s="286" t="n"/>
      <c r="D79" s="286" t="n"/>
      <c r="E79" s="115" t="n"/>
    </row>
    <row r="80" ht="64.5" customHeight="1">
      <c r="A80" s="141" t="inlineStr">
        <is>
          <t>Kommentarer/noteringar</t>
        </is>
      </c>
      <c r="B80" s="288" t="n"/>
      <c r="C80" s="316" t="n"/>
      <c r="D80" s="316" t="n"/>
      <c r="E80" s="317" t="n"/>
    </row>
    <row r="81" ht="17.25" customHeight="1">
      <c r="A81" s="4" t="inlineStr">
        <is>
          <t>7 Värmepump/Kyla</t>
        </is>
      </c>
      <c r="B81" s="177" t="n"/>
      <c r="C81" s="177" t="n"/>
      <c r="D81" s="177" t="n"/>
      <c r="E81" s="178" t="n"/>
    </row>
    <row r="82" ht="24.75" customHeight="1">
      <c r="A82" s="95" t="n"/>
      <c r="B82" s="96" t="n"/>
      <c r="C82" s="97" t="n"/>
      <c r="D82" s="97" t="n"/>
      <c r="E82" s="98" t="n"/>
    </row>
    <row r="83" ht="16.5" customHeight="1">
      <c r="A83" s="142" t="inlineStr">
        <is>
          <t>Värmepump</t>
        </is>
      </c>
      <c r="B83" s="289" t="inlineStr">
        <is>
          <t>Vp 1</t>
        </is>
      </c>
      <c r="C83" s="289" t="inlineStr">
        <is>
          <t>Vp 2</t>
        </is>
      </c>
      <c r="D83" s="289" t="inlineStr">
        <is>
          <t>Vp 3</t>
        </is>
      </c>
      <c r="E83" s="119" t="inlineStr">
        <is>
          <t>Kommentar</t>
        </is>
      </c>
    </row>
    <row r="84" ht="18" customHeight="1">
      <c r="A84" s="104" t="inlineStr">
        <is>
          <t>Fabrikat</t>
        </is>
      </c>
      <c r="B84" s="80" t="n"/>
      <c r="C84" s="80" t="n"/>
      <c r="D84" s="80" t="n"/>
      <c r="E84" s="103" t="n"/>
    </row>
    <row r="85" ht="12" customHeight="1">
      <c r="A85" s="104" t="inlineStr">
        <is>
          <t xml:space="preserve">Märkeffekt </t>
        </is>
      </c>
      <c r="B85" s="80" t="n"/>
      <c r="C85" s="80" t="n"/>
      <c r="D85" s="80" t="n"/>
      <c r="E85" s="103" t="n"/>
      <c r="F85" s="143" t="inlineStr">
        <is>
          <t>Beräkning årsenergi VP</t>
        </is>
      </c>
      <c r="G85" s="144" t="n"/>
      <c r="H85" s="145" t="inlineStr">
        <is>
          <t>Beräkning årsenergi kyla</t>
        </is>
      </c>
      <c r="I85" s="146" t="n"/>
      <c r="J85" s="147" t="n"/>
    </row>
    <row r="86" ht="12" customHeight="1">
      <c r="A86" s="104" t="inlineStr">
        <is>
          <t>Värmeeffekt</t>
        </is>
      </c>
      <c r="B86" s="80" t="n"/>
      <c r="C86" s="80" t="n"/>
      <c r="D86" s="80" t="n"/>
      <c r="E86" s="103" t="n"/>
      <c r="F86" s="148" t="inlineStr">
        <is>
          <t>Ineffekt kW</t>
        </is>
      </c>
      <c r="G86" s="149">
        <f>B85+C85+D85</f>
        <v/>
      </c>
      <c r="H86" s="150" t="inlineStr">
        <is>
          <t>Ineffekt kW</t>
        </is>
      </c>
      <c r="I86" s="151" t="n"/>
      <c r="J86" s="152">
        <f>B89+C89+D89</f>
        <v/>
      </c>
    </row>
    <row r="87" ht="12.75" customHeight="1">
      <c r="A87" s="116" t="inlineStr">
        <is>
          <t>Total nominell VP effekt</t>
        </is>
      </c>
      <c r="B87" s="105">
        <f>B86+C86+D86</f>
        <v/>
      </c>
      <c r="C87" s="105" t="n"/>
      <c r="D87" s="105" t="n"/>
      <c r="E87" s="106" t="n"/>
      <c r="F87" s="148" t="inlineStr">
        <is>
          <t xml:space="preserve">Drifttid </t>
        </is>
      </c>
      <c r="G87" s="153" t="n">
        <v>5000</v>
      </c>
      <c r="H87" s="150" t="inlineStr">
        <is>
          <t>Drifttid</t>
        </is>
      </c>
      <c r="I87" s="151" t="n"/>
      <c r="J87" s="154" t="n">
        <v>760</v>
      </c>
    </row>
    <row r="88" ht="12.75" customHeight="1">
      <c r="A88" s="142" t="inlineStr">
        <is>
          <t>Kylmaskin</t>
        </is>
      </c>
      <c r="B88" s="289" t="inlineStr">
        <is>
          <t>KM1</t>
        </is>
      </c>
      <c r="C88" s="289" t="inlineStr">
        <is>
          <t>KM2</t>
        </is>
      </c>
      <c r="D88" s="289" t="inlineStr">
        <is>
          <t>KM3</t>
        </is>
      </c>
      <c r="E88" s="103" t="n"/>
      <c r="F88" s="155" t="inlineStr">
        <is>
          <t>Årsenergi VP</t>
        </is>
      </c>
      <c r="G88" s="153">
        <f>G87*G86</f>
        <v/>
      </c>
      <c r="H88" s="156" t="inlineStr">
        <is>
          <t>Årsenergi kyla</t>
        </is>
      </c>
      <c r="I88" s="157" t="n"/>
      <c r="J88" s="158">
        <f>J87*J86</f>
        <v/>
      </c>
    </row>
    <row r="89" ht="12" customHeight="1">
      <c r="A89" s="104" t="inlineStr">
        <is>
          <t xml:space="preserve">Märkeffekt </t>
        </is>
      </c>
      <c r="B89" s="80" t="n"/>
      <c r="C89" s="80" t="n"/>
      <c r="D89" s="80" t="n"/>
      <c r="E89" s="103" t="n"/>
    </row>
    <row r="90" ht="12" customHeight="1">
      <c r="A90" s="104" t="inlineStr">
        <is>
          <t>Kyleffekt</t>
        </is>
      </c>
      <c r="B90" s="80" t="n"/>
      <c r="C90" s="80" t="n"/>
      <c r="D90" s="80" t="n"/>
      <c r="E90" s="159" t="n"/>
    </row>
    <row r="91" ht="12.75" customHeight="1">
      <c r="A91" s="116" t="inlineStr">
        <is>
          <t>Total nominell kyleffekt</t>
        </is>
      </c>
      <c r="B91" s="105">
        <f>B90+C90+D90</f>
        <v/>
      </c>
      <c r="C91" s="105" t="n"/>
      <c r="D91" s="105" t="n"/>
      <c r="E91" s="106" t="n"/>
    </row>
    <row r="92" ht="12" customHeight="1">
      <c r="A92" s="5" t="inlineStr">
        <is>
          <t>8 Tappvarmvattensystem</t>
        </is>
      </c>
      <c r="E92" s="180" t="n"/>
    </row>
    <row r="93" ht="24" customHeight="1">
      <c r="A93" s="117" t="inlineStr">
        <is>
          <t>Beskrivning</t>
        </is>
      </c>
      <c r="B93" s="289" t="n"/>
      <c r="C93" s="229" t="n"/>
      <c r="D93" s="229" t="n"/>
      <c r="E93" s="330" t="n"/>
    </row>
    <row r="94" ht="22.5" customHeight="1">
      <c r="A94" s="104" t="n"/>
      <c r="B94" s="80" t="inlineStr">
        <is>
          <t>Temp grad C</t>
        </is>
      </c>
      <c r="C94" s="80" t="inlineStr">
        <is>
          <t>Kommentar</t>
        </is>
      </c>
      <c r="D94" s="323" t="n"/>
      <c r="E94" s="319" t="n"/>
    </row>
    <row r="95" ht="12" customHeight="1">
      <c r="A95" s="104" t="inlineStr">
        <is>
          <t>Temperatur UC</t>
        </is>
      </c>
      <c r="B95" s="80" t="n">
        <v>55</v>
      </c>
      <c r="C95" s="80" t="n"/>
      <c r="D95" s="323" t="n"/>
      <c r="E95" s="319" t="n"/>
    </row>
    <row r="96" ht="12" customHeight="1">
      <c r="A96" s="104" t="inlineStr">
        <is>
          <t>Temperatur VVC</t>
        </is>
      </c>
      <c r="B96" s="80" t="n">
        <v>50</v>
      </c>
      <c r="C96" s="80" t="n"/>
      <c r="D96" s="323" t="n"/>
      <c r="E96" s="319" t="n"/>
    </row>
    <row r="97" ht="12" customHeight="1">
      <c r="A97" s="104" t="inlineStr">
        <is>
          <t>Temperatur tappställe</t>
        </is>
      </c>
      <c r="B97" s="80" t="n"/>
      <c r="C97" s="80" t="n"/>
      <c r="D97" s="323" t="n"/>
      <c r="E97" s="319" t="n"/>
    </row>
    <row r="98" ht="12.75" customHeight="1">
      <c r="A98" s="160" t="inlineStr">
        <is>
          <t>Kommentarer/noteringar</t>
        </is>
      </c>
      <c r="B98" s="286" t="n"/>
      <c r="C98" s="326" t="n"/>
      <c r="D98" s="326" t="n"/>
      <c r="E98" s="327" t="n"/>
    </row>
    <row r="99" ht="24.75" customHeight="1">
      <c r="A99" s="290" t="n"/>
      <c r="B99" s="316" t="n"/>
      <c r="C99" s="316" t="n"/>
      <c r="D99" s="316" t="n"/>
      <c r="E99" s="317" t="n"/>
    </row>
    <row r="100" ht="12" customHeight="1">
      <c r="A100" s="4" t="inlineStr">
        <is>
          <t>9 Elinstallationer</t>
        </is>
      </c>
      <c r="B100" s="177" t="n"/>
      <c r="C100" s="177" t="n"/>
      <c r="D100" s="177" t="n"/>
      <c r="E100" s="178" t="n"/>
    </row>
    <row r="101" ht="15.75" customHeight="1">
      <c r="A101" s="161" t="inlineStr">
        <is>
          <t>Verksamhetsel (ej i energideklaration)</t>
        </is>
      </c>
      <c r="B101" s="96" t="n"/>
      <c r="C101" s="97" t="n"/>
      <c r="D101" s="97" t="n"/>
      <c r="E101" s="98" t="n"/>
    </row>
    <row r="102" ht="33.75" customHeight="1">
      <c r="A102" s="162" t="n"/>
      <c r="B102" s="91" t="inlineStr">
        <is>
          <t>Effekt kW</t>
        </is>
      </c>
      <c r="C102" s="91" t="inlineStr">
        <is>
          <t>Drifttid/år</t>
        </is>
      </c>
      <c r="D102" s="91" t="inlineStr">
        <is>
          <t>Årlig elanvändning</t>
        </is>
      </c>
      <c r="E102" s="92" t="inlineStr">
        <is>
          <t>Kommentar</t>
        </is>
      </c>
      <c r="F102" s="312" t="inlineStr">
        <is>
          <t>Byggnad</t>
        </is>
      </c>
    </row>
    <row r="103" ht="12" customHeight="1">
      <c r="A103" s="104" t="inlineStr">
        <is>
          <t>Motorvärmare</t>
        </is>
      </c>
      <c r="B103" s="80" t="n"/>
      <c r="C103" s="80" t="n"/>
      <c r="D103" s="163" t="n"/>
      <c r="E103" s="103" t="n"/>
      <c r="F103" s="331" t="inlineStr">
        <is>
          <t>Byggnad 1</t>
        </is>
      </c>
    </row>
    <row r="104" ht="12" customHeight="1">
      <c r="A104" s="104" t="inlineStr">
        <is>
          <t>Utebelysning</t>
        </is>
      </c>
      <c r="B104" s="80" t="n"/>
      <c r="C104" s="163" t="n"/>
      <c r="D104" s="163" t="n"/>
      <c r="E104" s="103" t="n"/>
      <c r="F104" s="331" t="inlineStr">
        <is>
          <t>Byggnad 1</t>
        </is>
      </c>
    </row>
    <row r="105" ht="12" customHeight="1">
      <c r="A105" s="104" t="n"/>
      <c r="B105" s="80" t="n"/>
      <c r="C105" s="80" t="n"/>
      <c r="D105" s="163" t="n"/>
      <c r="E105" s="103" t="n"/>
      <c r="F105" s="331" t="inlineStr">
        <is>
          <t>Byggnad 1</t>
        </is>
      </c>
    </row>
    <row r="106" ht="12" customHeight="1">
      <c r="A106" s="104" t="n"/>
      <c r="B106" s="80" t="n"/>
      <c r="C106" s="80" t="n"/>
      <c r="D106" s="163" t="n"/>
      <c r="E106" s="103" t="n"/>
      <c r="F106" s="331" t="inlineStr">
        <is>
          <t>Byggnad 1</t>
        </is>
      </c>
    </row>
    <row r="107" ht="12.75" customHeight="1">
      <c r="A107" s="116" t="inlineStr">
        <is>
          <t>Totalt</t>
        </is>
      </c>
      <c r="B107" s="105" t="n"/>
      <c r="C107" s="105" t="n"/>
      <c r="D107" s="93">
        <f>SUM(D103:D106)</f>
        <v/>
      </c>
      <c r="E107" s="106" t="n"/>
    </row>
    <row r="108" ht="12" customHeight="1">
      <c r="A108" s="4" t="inlineStr">
        <is>
          <t>10 Fastighetsel</t>
        </is>
      </c>
      <c r="B108" s="177" t="n"/>
      <c r="C108" s="177" t="n"/>
      <c r="D108" s="177" t="n"/>
      <c r="E108" s="178" t="n"/>
    </row>
    <row r="109" ht="24.75" customHeight="1">
      <c r="A109" s="107" t="inlineStr">
        <is>
          <t>Elmotorer/pumpar fläktar invändig allmän belysning</t>
        </is>
      </c>
      <c r="B109" s="164" t="n"/>
      <c r="C109" s="164" t="n"/>
      <c r="D109" s="164" t="n"/>
      <c r="E109" s="108" t="n"/>
    </row>
    <row r="110" ht="12.75" customHeight="1">
      <c r="A110" s="117" t="inlineStr">
        <is>
          <t>Elmotorer/pumpar fläktar</t>
        </is>
      </c>
      <c r="B110" s="100" t="inlineStr">
        <is>
          <t>Effekt kW</t>
        </is>
      </c>
      <c r="C110" s="100" t="inlineStr">
        <is>
          <t>Drifttid h</t>
        </is>
      </c>
      <c r="D110" s="100" t="inlineStr">
        <is>
          <t>Energi/år</t>
        </is>
      </c>
      <c r="E110" s="101" t="inlineStr">
        <is>
          <t>Kommentar</t>
        </is>
      </c>
      <c r="F110" s="312" t="inlineStr">
        <is>
          <t>Byggnad</t>
        </is>
      </c>
    </row>
    <row r="111" ht="12" customHeight="1">
      <c r="A111" s="104" t="inlineStr">
        <is>
          <t>Radiatorpump</t>
        </is>
      </c>
      <c r="B111" s="80" t="n">
        <v>0.2</v>
      </c>
      <c r="C111" s="80" t="n">
        <v>6000</v>
      </c>
      <c r="D111" s="80">
        <f>C111*B111</f>
        <v/>
      </c>
      <c r="E111" s="103" t="n"/>
      <c r="F111" s="331" t="inlineStr">
        <is>
          <t>Byggnad 1</t>
        </is>
      </c>
    </row>
    <row r="112" ht="12" customHeight="1">
      <c r="A112" s="104" t="inlineStr">
        <is>
          <t>VVC pump</t>
        </is>
      </c>
      <c r="B112" s="80" t="n">
        <v>0.075</v>
      </c>
      <c r="C112" s="80" t="n">
        <v>8760</v>
      </c>
      <c r="D112" s="80">
        <f>C112*B112</f>
        <v/>
      </c>
      <c r="E112" s="103" t="n"/>
      <c r="F112" s="331" t="inlineStr">
        <is>
          <t>Byggnad 1</t>
        </is>
      </c>
    </row>
    <row r="113" ht="12" customHeight="1">
      <c r="A113" s="104" t="inlineStr">
        <is>
          <t>FF 1</t>
        </is>
      </c>
      <c r="B113" s="80" t="n">
        <v>0.2</v>
      </c>
      <c r="C113" s="80" t="n">
        <v>8760</v>
      </c>
      <c r="D113" s="80">
        <f>B53*B55</f>
        <v/>
      </c>
      <c r="E113" s="103" t="n"/>
      <c r="F113" s="331" t="inlineStr">
        <is>
          <t>Byggnad 1</t>
        </is>
      </c>
    </row>
    <row r="114" ht="12" customHeight="1">
      <c r="A114" s="104" t="n"/>
      <c r="B114" s="80" t="n"/>
      <c r="C114" s="80" t="n"/>
      <c r="D114" s="80" t="n"/>
      <c r="E114" s="103" t="n"/>
      <c r="F114" s="331" t="inlineStr">
        <is>
          <t>Byggnad 1</t>
        </is>
      </c>
    </row>
    <row r="115" ht="12" customHeight="1">
      <c r="A115" s="104" t="n"/>
      <c r="B115" s="80" t="n"/>
      <c r="C115" s="80" t="n"/>
      <c r="D115" s="80" t="n"/>
      <c r="E115" s="92" t="n"/>
      <c r="F115" s="331" t="inlineStr">
        <is>
          <t>Byggnad 1</t>
        </is>
      </c>
    </row>
    <row r="116" ht="12" customHeight="1">
      <c r="A116" s="104" t="n"/>
      <c r="B116" s="80" t="n"/>
      <c r="C116" s="80" t="n"/>
      <c r="D116" s="80" t="n"/>
      <c r="E116" s="103" t="n"/>
      <c r="F116" s="331" t="inlineStr">
        <is>
          <t>Byggnad 1</t>
        </is>
      </c>
    </row>
    <row r="117" ht="12" customHeight="1">
      <c r="A117" s="165" t="n"/>
      <c r="B117" s="80" t="n"/>
      <c r="C117" s="80" t="n"/>
      <c r="D117" s="80" t="n"/>
      <c r="E117" s="103" t="n"/>
      <c r="F117" s="331" t="inlineStr">
        <is>
          <t>Byggnad 1</t>
        </is>
      </c>
    </row>
    <row r="118" ht="12" customHeight="1">
      <c r="A118" s="104" t="n"/>
      <c r="B118" s="80" t="n"/>
      <c r="C118" s="80" t="n"/>
      <c r="D118" s="80" t="n"/>
      <c r="E118" s="103" t="n"/>
      <c r="F118" s="331" t="inlineStr">
        <is>
          <t>Byggnad 1</t>
        </is>
      </c>
    </row>
    <row r="119" ht="12" customHeight="1">
      <c r="A119" s="104" t="n"/>
      <c r="B119" s="80" t="n"/>
      <c r="C119" s="80" t="n"/>
      <c r="D119" s="80" t="n"/>
      <c r="E119" s="103" t="n"/>
      <c r="F119" s="331" t="inlineStr">
        <is>
          <t>Byggnad 1</t>
        </is>
      </c>
    </row>
    <row r="120" ht="12" customHeight="1">
      <c r="A120" s="104" t="n"/>
      <c r="B120" s="80" t="n"/>
      <c r="C120" s="163" t="n"/>
      <c r="D120" s="80" t="n"/>
      <c r="E120" s="103" t="n"/>
      <c r="F120" s="331" t="inlineStr">
        <is>
          <t>Byggnad 1</t>
        </is>
      </c>
    </row>
    <row r="121" ht="12" customHeight="1">
      <c r="A121" s="104" t="n"/>
      <c r="B121" s="80" t="n"/>
      <c r="C121" s="163" t="n"/>
      <c r="D121" s="80" t="n"/>
      <c r="E121" s="103" t="n"/>
      <c r="F121" s="331" t="inlineStr">
        <is>
          <t>Byggnad 1</t>
        </is>
      </c>
    </row>
    <row r="122" ht="12" customHeight="1">
      <c r="A122" s="104" t="n"/>
      <c r="B122" s="80" t="n"/>
      <c r="C122" s="163" t="n"/>
      <c r="D122" s="80" t="n"/>
      <c r="E122" s="103" t="n"/>
      <c r="F122" s="331" t="inlineStr">
        <is>
          <t>Byggnad 1</t>
        </is>
      </c>
    </row>
    <row r="123" ht="12" customHeight="1">
      <c r="A123" s="104" t="inlineStr">
        <is>
          <t>Trapphusbelysning</t>
        </is>
      </c>
      <c r="B123" s="80" t="n"/>
      <c r="C123" s="80" t="n"/>
      <c r="D123" s="80" t="n"/>
      <c r="E123" s="103" t="n"/>
      <c r="F123" s="331" t="inlineStr">
        <is>
          <t>Byggnad 1</t>
        </is>
      </c>
    </row>
    <row r="124" ht="12" customHeight="1">
      <c r="A124" s="104" t="inlineStr">
        <is>
          <t>Övrig belysning</t>
        </is>
      </c>
      <c r="B124" s="80" t="n"/>
      <c r="C124" s="80" t="n"/>
      <c r="D124" s="80" t="n"/>
      <c r="E124" s="103" t="n"/>
      <c r="F124" s="331" t="inlineStr">
        <is>
          <t>Byggnad 1</t>
        </is>
      </c>
    </row>
    <row r="125" ht="12.75" customHeight="1">
      <c r="A125" s="116" t="inlineStr">
        <is>
          <t>Totalt fastighetsel</t>
        </is>
      </c>
      <c r="B125" s="105" t="n"/>
      <c r="C125" s="105" t="n"/>
      <c r="D125" s="105">
        <f>SUM(D111:D124)</f>
        <v/>
      </c>
      <c r="E125" s="106" t="n"/>
    </row>
    <row r="126" ht="13.5" customHeight="1">
      <c r="A126" s="4" t="inlineStr">
        <is>
          <t>11 Elvärme</t>
        </is>
      </c>
      <c r="B126" s="177" t="n"/>
      <c r="C126" s="177" t="n"/>
      <c r="D126" s="177" t="n"/>
      <c r="E126" s="178" t="n"/>
    </row>
    <row r="127" ht="12" customHeight="1">
      <c r="A127" s="104" t="inlineStr">
        <is>
          <t>Elvärme</t>
        </is>
      </c>
      <c r="B127" s="100" t="inlineStr">
        <is>
          <t>Effekt kW</t>
        </is>
      </c>
      <c r="C127" s="100" t="inlineStr">
        <is>
          <t>Drifttid h</t>
        </is>
      </c>
      <c r="D127" s="100" t="inlineStr">
        <is>
          <t>Energi/år</t>
        </is>
      </c>
      <c r="E127" s="101" t="inlineStr">
        <is>
          <t>Kommentar</t>
        </is>
      </c>
      <c r="F127" s="312" t="inlineStr">
        <is>
          <t>Byggnad</t>
        </is>
      </c>
    </row>
    <row r="128" ht="12" customHeight="1">
      <c r="A128" s="104" t="n"/>
      <c r="B128" s="80" t="n"/>
      <c r="C128" s="80" t="n"/>
      <c r="D128" s="80" t="n"/>
      <c r="E128" s="103" t="n"/>
      <c r="F128" s="331" t="inlineStr">
        <is>
          <t>Byggnad 1</t>
        </is>
      </c>
    </row>
    <row r="129" ht="12" customHeight="1">
      <c r="A129" s="104" t="n"/>
      <c r="B129" s="80" t="n"/>
      <c r="C129" s="80" t="n"/>
      <c r="D129" s="80" t="n"/>
      <c r="E129" s="103" t="n"/>
      <c r="F129" s="331" t="inlineStr">
        <is>
          <t>Byggnad 1</t>
        </is>
      </c>
    </row>
    <row r="130" ht="12.75" customHeight="1">
      <c r="A130" s="104" t="inlineStr">
        <is>
          <t>Totalt elvärme</t>
        </is>
      </c>
      <c r="B130" s="80" t="n"/>
      <c r="C130" s="80" t="n"/>
      <c r="D130" s="80">
        <f>SUM(D127:D129)</f>
        <v/>
      </c>
      <c r="E130" s="103" t="n"/>
    </row>
    <row r="131" ht="19.5" customHeight="1">
      <c r="A131" s="4" t="inlineStr">
        <is>
          <t>12.1 Tvättstuga 1, schablonbedömning av energianvändning</t>
        </is>
      </c>
      <c r="B131" s="177" t="n"/>
      <c r="C131" s="177" t="n"/>
      <c r="D131" s="177" t="n"/>
      <c r="E131" s="178" t="n"/>
    </row>
    <row r="132" ht="12" customHeight="1">
      <c r="A132" s="77" t="inlineStr">
        <is>
          <t>Bedömt tvättningar/dygn/mask</t>
        </is>
      </c>
      <c r="B132" s="80" t="n">
        <v>3</v>
      </c>
      <c r="D132" s="312" t="inlineStr">
        <is>
          <t>Placerad i byggnad</t>
        </is>
      </c>
      <c r="E132" s="331" t="inlineStr">
        <is>
          <t>Byggnad 1</t>
        </is>
      </c>
    </row>
    <row r="133" ht="12" customHeight="1">
      <c r="A133" s="77" t="inlineStr">
        <is>
          <t>Bedömt kg/tvätt</t>
        </is>
      </c>
      <c r="B133" s="80" t="n">
        <v>7</v>
      </c>
      <c r="E133" s="81" t="n"/>
    </row>
    <row r="134" ht="12" customHeight="1">
      <c r="A134" s="77" t="inlineStr">
        <is>
          <t>Bedömt tvättdagar/år</t>
        </is>
      </c>
      <c r="B134" s="80">
        <f>365-52</f>
        <v/>
      </c>
      <c r="E134" s="81" t="n"/>
    </row>
    <row r="135" ht="12.75" customHeight="1">
      <c r="A135" s="133" t="inlineStr">
        <is>
          <t>Kg/dygn att fördela tork</t>
        </is>
      </c>
      <c r="B135" s="105">
        <f>B132*B133*(C137+C138+C139+C140)</f>
        <v/>
      </c>
      <c r="C135" s="166" t="n"/>
      <c r="D135" s="166" t="n"/>
      <c r="E135" s="167" t="n"/>
      <c r="G135" s="71" t="inlineStr">
        <is>
          <t>Kontroll: tilldelad torkkapacitet (kg/dygn)</t>
        </is>
      </c>
      <c r="H135" s="71">
        <f>SUM(C142:C145)</f>
        <v/>
      </c>
      <c r="I135" s="71" t="inlineStr">
        <is>
          <t>Diff mot tvättmängd (bör vara 0)</t>
        </is>
      </c>
      <c r="J135" s="71">
        <f>B135-H135</f>
        <v/>
      </c>
    </row>
    <row r="136" ht="16.5" customHeight="1">
      <c r="A136" s="107" t="inlineStr">
        <is>
          <t>Tvätt</t>
        </is>
      </c>
      <c r="B136" s="168" t="inlineStr">
        <is>
          <t>Modell</t>
        </is>
      </c>
      <c r="C136" s="168" t="inlineStr">
        <is>
          <t>Antal</t>
        </is>
      </c>
      <c r="D136" s="168" t="inlineStr">
        <is>
          <t>Ber kWh/år</t>
        </is>
      </c>
      <c r="E136" s="169" t="inlineStr">
        <is>
          <t>Kommentar</t>
        </is>
      </c>
    </row>
    <row r="137" ht="12.75" customHeight="1">
      <c r="A137" s="117" t="inlineStr">
        <is>
          <t>Tvättmaskin 1</t>
        </is>
      </c>
      <c r="B137" s="289" t="inlineStr">
        <is>
          <t>Ny maskin</t>
        </is>
      </c>
      <c r="C137" s="289" t="n">
        <v>2</v>
      </c>
      <c r="D137" s="289">
        <f>IFERROR(C137*$B$132*$B$134*INDEX($H$141:$H$142,MATCH(B137,$G$141:$G$142,0)),0)</f>
        <v/>
      </c>
      <c r="E137" s="103" t="n"/>
    </row>
    <row r="138" ht="12" customHeight="1">
      <c r="A138" s="104" t="inlineStr">
        <is>
          <t>Tvättmaskin 2</t>
        </is>
      </c>
      <c r="B138" s="289" t="n"/>
      <c r="C138" s="80" t="n"/>
      <c r="D138" s="289">
        <f>IFERROR(C138*$B$132*$B$134*INDEX($H$141:$H$142,MATCH(B138,$G$141:$G$142,0)),0)</f>
        <v/>
      </c>
      <c r="E138" s="103" t="n"/>
    </row>
    <row r="139" ht="12" customHeight="1">
      <c r="A139" s="104" t="inlineStr">
        <is>
          <t>Tvättmaskin 3</t>
        </is>
      </c>
      <c r="B139" s="80" t="n"/>
      <c r="C139" s="80" t="n"/>
      <c r="D139" s="80">
        <f>IFERROR(C139*$B$132*$B$134*INDEX($H$141:$H$142,MATCH(B139,$G$141:$G$142,0)),0)</f>
        <v/>
      </c>
      <c r="E139" s="103" t="n"/>
    </row>
    <row r="140" ht="12.75" customHeight="1">
      <c r="A140" s="104" t="inlineStr">
        <is>
          <t>Tvättmaskin 4</t>
        </is>
      </c>
      <c r="B140" s="80" t="n"/>
      <c r="C140" s="80" t="n"/>
      <c r="D140" s="80">
        <f>IFERROR(C140*$B$132*$B$134*INDEX($H$141:$H$142,MATCH(B140,$G$141:$G$142,0)),0)</f>
        <v/>
      </c>
      <c r="E140" s="103" t="n"/>
      <c r="G140" s="170" t="inlineStr">
        <is>
          <t>Tvättmaskiner förbrukning</t>
        </is>
      </c>
      <c r="H140" s="170" t="inlineStr">
        <is>
          <t>Energi/tvätt kWh</t>
        </is>
      </c>
      <c r="I140" s="170" t="inlineStr">
        <is>
          <t>Torktumlare förbrukning</t>
        </is>
      </c>
      <c r="J140" s="170" t="inlineStr">
        <is>
          <t>Energi/kg tork kWh</t>
        </is>
      </c>
      <c r="K140" s="170" t="inlineStr">
        <is>
          <t>Torkskåp förbrukning</t>
        </is>
      </c>
      <c r="L140" s="170" t="inlineStr">
        <is>
          <t>Energi/kg tork kWh</t>
        </is>
      </c>
      <c r="M140" s="170" t="inlineStr">
        <is>
          <t>Avfuktare/torkrum förbrukning</t>
        </is>
      </c>
      <c r="N140" s="170" t="inlineStr">
        <is>
          <t>Energi/kg tork kWh</t>
        </is>
      </c>
    </row>
    <row r="141" ht="18" customHeight="1">
      <c r="A141" s="79" t="inlineStr">
        <is>
          <t>Tork</t>
        </is>
      </c>
      <c r="B141" s="171" t="inlineStr">
        <is>
          <t>Modell</t>
        </is>
      </c>
      <c r="C141" s="171" t="inlineStr">
        <is>
          <t>Kg/dygn</t>
        </is>
      </c>
      <c r="D141" s="80" t="n"/>
      <c r="E141" s="103" t="n"/>
      <c r="G141" s="71" t="inlineStr">
        <is>
          <t>Ny maskin</t>
        </is>
      </c>
      <c r="H141" s="71" t="n">
        <v>1.4</v>
      </c>
      <c r="I141" s="71" t="inlineStr">
        <is>
          <t>Ny tumlare</t>
        </is>
      </c>
      <c r="J141" s="71" t="n">
        <v>0.6</v>
      </c>
      <c r="K141" s="71" t="inlineStr">
        <is>
          <t>Med inbyggd värmepump</t>
        </is>
      </c>
      <c r="L141" s="71" t="n">
        <v>0.25</v>
      </c>
      <c r="M141" s="71" t="inlineStr">
        <is>
          <t>Termotork 6s</t>
        </is>
      </c>
      <c r="N141" s="71" t="n">
        <v>1.2</v>
      </c>
    </row>
    <row r="142" ht="12" customHeight="1">
      <c r="A142" s="104" t="inlineStr">
        <is>
          <t>Torktumlare 1</t>
        </is>
      </c>
      <c r="B142" s="80" t="inlineStr">
        <is>
          <t>Ny tumlare</t>
        </is>
      </c>
      <c r="C142" s="71" t="n">
        <v>21</v>
      </c>
      <c r="D142" s="163">
        <f>IFERROR(C142*$B$134*INDEX($J$141:$J$143,MATCH(B142,$I$141:$I$143,0)),0)</f>
        <v/>
      </c>
      <c r="E142" s="103" t="n"/>
      <c r="G142" s="71" t="inlineStr">
        <is>
          <t>Äldre maskin</t>
        </is>
      </c>
      <c r="H142" s="71" t="n">
        <v>3</v>
      </c>
      <c r="I142" s="71" t="inlineStr">
        <is>
          <t>Äldre tumlare</t>
        </is>
      </c>
      <c r="J142" s="71" t="n">
        <v>0.8</v>
      </c>
      <c r="K142" s="71" t="inlineStr">
        <is>
          <t>Nytt elvärmeskåp</t>
        </is>
      </c>
      <c r="L142" s="71" t="n">
        <v>0.8</v>
      </c>
      <c r="M142" s="71" t="inlineStr">
        <is>
          <t>TA 2002 avfuktare</t>
        </is>
      </c>
      <c r="N142" s="71" t="n">
        <v>0.37</v>
      </c>
    </row>
    <row r="143" ht="12" customHeight="1">
      <c r="A143" s="104" t="inlineStr">
        <is>
          <t>Torktumlare 2</t>
        </is>
      </c>
      <c r="B143" s="80" t="n"/>
      <c r="C143" s="80" t="n"/>
      <c r="D143" s="80">
        <f>IFERROR(C143*$B$134*INDEX($J$141:$J$143,MATCH(B143,$I$141:$I$143,0)),0)</f>
        <v/>
      </c>
      <c r="E143" s="103" t="n"/>
      <c r="I143" s="71" t="inlineStr">
        <is>
          <t>Värmepumpstumlare</t>
        </is>
      </c>
      <c r="J143" s="71" t="n">
        <v>0.3</v>
      </c>
      <c r="K143" s="71" t="inlineStr">
        <is>
          <t>Gammalt elvärmeskåp</t>
        </is>
      </c>
      <c r="L143" s="71" t="n">
        <v>1</v>
      </c>
    </row>
    <row r="144" ht="12" customHeight="1">
      <c r="A144" s="104" t="inlineStr">
        <is>
          <t>Torkskåp</t>
        </is>
      </c>
      <c r="B144" s="80" t="inlineStr">
        <is>
          <t>Med inbyggd värmepump</t>
        </is>
      </c>
      <c r="C144" s="80" t="n">
        <v>21</v>
      </c>
      <c r="D144" s="80">
        <f>IFERROR(C144*$B$134*INDEX($L$141:$L$143,MATCH(B144,$K$141:$K$143,0)),0)</f>
        <v/>
      </c>
      <c r="E144" s="103" t="n"/>
    </row>
    <row r="145" ht="12" customHeight="1">
      <c r="A145" s="104" t="inlineStr">
        <is>
          <t>Torkrum</t>
        </is>
      </c>
      <c r="B145" s="80" t="n"/>
      <c r="C145" s="80" t="n"/>
      <c r="D145" s="80">
        <f>IFERROR(C145*$B$134*INDEX($N$141:$N$142,MATCH(B145,$M$141:$M$142,0)),0)</f>
        <v/>
      </c>
      <c r="E145" s="103" t="n"/>
    </row>
    <row r="146" ht="12.75" customHeight="1">
      <c r="A146" s="116" t="inlineStr">
        <is>
          <t>Totalt</t>
        </is>
      </c>
      <c r="B146" s="105" t="n"/>
      <c r="C146" s="105" t="n"/>
      <c r="D146" s="93">
        <f>SUM(D137:D145)</f>
        <v/>
      </c>
      <c r="E146" s="106" t="n"/>
    </row>
    <row r="150" ht="19.5" customHeight="1">
      <c r="A150" s="4" t="inlineStr">
        <is>
          <t>12.2 Tvättstuga 2, schablonbedömning av energianvändning</t>
        </is>
      </c>
      <c r="B150" s="177" t="n"/>
      <c r="C150" s="177" t="n"/>
      <c r="D150" s="177" t="n"/>
      <c r="E150" s="178" t="n"/>
    </row>
    <row r="151" ht="12" customHeight="1">
      <c r="A151" s="77" t="inlineStr">
        <is>
          <t>Bedömt tvättningar/dygn/mask</t>
        </is>
      </c>
      <c r="B151" s="80" t="n">
        <v>3</v>
      </c>
      <c r="D151" s="312" t="inlineStr">
        <is>
          <t>Placerad i byggnad</t>
        </is>
      </c>
      <c r="E151" s="331" t="inlineStr">
        <is>
          <t>Byggnad 1</t>
        </is>
      </c>
    </row>
    <row r="152" ht="12" customHeight="1">
      <c r="A152" s="77" t="inlineStr">
        <is>
          <t>Bedömt kg/tvätt</t>
        </is>
      </c>
      <c r="B152" s="80" t="n">
        <v>7</v>
      </c>
      <c r="E152" s="81" t="n"/>
    </row>
    <row r="153" ht="12" customHeight="1">
      <c r="A153" s="77" t="inlineStr">
        <is>
          <t>Bedömt tvättdagar/år</t>
        </is>
      </c>
      <c r="B153" s="80">
        <f>365-52</f>
        <v/>
      </c>
      <c r="E153" s="81" t="n"/>
    </row>
    <row r="154" ht="12.75" customHeight="1">
      <c r="A154" s="133" t="inlineStr">
        <is>
          <t>Kg/dygn att fördela tork</t>
        </is>
      </c>
      <c r="B154" s="105">
        <f>B151*B152*(C156+C157+C158+C159)</f>
        <v/>
      </c>
      <c r="C154" s="166" t="n"/>
      <c r="D154" s="166" t="n"/>
      <c r="E154" s="167" t="n"/>
      <c r="G154" s="71" t="inlineStr">
        <is>
          <t>Kontroll: tilldelad torkkapacitet (kg/dygn)</t>
        </is>
      </c>
      <c r="H154" s="71">
        <f>SUM(C161:C164)</f>
        <v/>
      </c>
      <c r="I154" s="71" t="inlineStr">
        <is>
          <t>Diff mot tvättmängd (bör vara 0)</t>
        </is>
      </c>
      <c r="J154" s="71">
        <f>B154-H154</f>
        <v/>
      </c>
    </row>
    <row r="155" ht="16.5" customHeight="1">
      <c r="A155" s="107" t="inlineStr">
        <is>
          <t>Tvätt</t>
        </is>
      </c>
      <c r="B155" s="168" t="inlineStr">
        <is>
          <t>Modell</t>
        </is>
      </c>
      <c r="C155" s="168" t="inlineStr">
        <is>
          <t>Antal</t>
        </is>
      </c>
      <c r="D155" s="168" t="inlineStr">
        <is>
          <t>Ber kWh/år</t>
        </is>
      </c>
      <c r="E155" s="169" t="inlineStr">
        <is>
          <t>Kommentar</t>
        </is>
      </c>
    </row>
    <row r="156" ht="12.75" customHeight="1">
      <c r="A156" s="117" t="inlineStr">
        <is>
          <t>Tvättmaskin 1</t>
        </is>
      </c>
      <c r="B156" s="289" t="n"/>
      <c r="C156" s="289" t="n"/>
      <c r="D156" s="289">
        <f>IFERROR(C156*$B$151*$B$153*INDEX($H$141:$H$142,MATCH(B156,$G$141:$G$142,0)),0)</f>
        <v/>
      </c>
      <c r="E156" s="103" t="n"/>
    </row>
    <row r="157" ht="12" customHeight="1">
      <c r="A157" s="104" t="inlineStr">
        <is>
          <t>Tvättmaskin 2</t>
        </is>
      </c>
      <c r="B157" s="289" t="n"/>
      <c r="C157" s="80" t="n"/>
      <c r="D157" s="289">
        <f>IFERROR(C157*$B$151*$B$153*INDEX($H$141:$H$142,MATCH(B157,$G$141:$G$142,0)),0)</f>
        <v/>
      </c>
      <c r="E157" s="103" t="n"/>
    </row>
    <row r="158" ht="12" customHeight="1">
      <c r="A158" s="104" t="inlineStr">
        <is>
          <t>Tvättmaskin 3</t>
        </is>
      </c>
      <c r="B158" s="80" t="n"/>
      <c r="C158" s="80" t="n"/>
      <c r="D158" s="80">
        <f>IFERROR(C158*$B$151*$B$153*INDEX($H$141:$H$142,MATCH(B158,$G$141:$G$142,0)),0)</f>
        <v/>
      </c>
      <c r="E158" s="103" t="n"/>
    </row>
    <row r="159" ht="12.75" customHeight="1">
      <c r="A159" s="104" t="inlineStr">
        <is>
          <t>Tvättmaskin 4</t>
        </is>
      </c>
      <c r="B159" s="80" t="n"/>
      <c r="C159" s="80" t="n"/>
      <c r="D159" s="80">
        <f>IFERROR(C159*$B$151*$B$153*INDEX($H$141:$H$142,MATCH(B159,$G$141:$G$142,0)),0)</f>
        <v/>
      </c>
      <c r="E159" s="103" t="n"/>
    </row>
    <row r="160" ht="18" customHeight="1">
      <c r="A160" s="79" t="inlineStr">
        <is>
          <t>Tork</t>
        </is>
      </c>
      <c r="B160" s="171" t="inlineStr">
        <is>
          <t>Modell</t>
        </is>
      </c>
      <c r="C160" s="171" t="inlineStr">
        <is>
          <t>Kg/dygn</t>
        </is>
      </c>
      <c r="D160" s="80" t="n"/>
      <c r="E160" s="103" t="n"/>
    </row>
    <row r="161" ht="12" customHeight="1">
      <c r="A161" s="104" t="inlineStr">
        <is>
          <t>Torktumlare 1</t>
        </is>
      </c>
      <c r="B161" s="80" t="n"/>
      <c r="C161" s="71" t="n"/>
      <c r="D161" s="163">
        <f>IFERROR(C161*$B$153*INDEX($J$141:$J$143,MATCH(B161,$I$141:$I$143,0)),0)</f>
        <v/>
      </c>
      <c r="E161" s="103" t="n"/>
    </row>
    <row r="162" ht="12" customHeight="1">
      <c r="A162" s="104" t="inlineStr">
        <is>
          <t>Torktumlare 2</t>
        </is>
      </c>
      <c r="B162" s="80" t="n"/>
      <c r="C162" s="80" t="n"/>
      <c r="D162" s="80">
        <f>IFERROR(C162*$B$153*INDEX($J$141:$J$143,MATCH(B162,$I$141:$I$143,0)),0)</f>
        <v/>
      </c>
      <c r="E162" s="103" t="n"/>
    </row>
    <row r="163" ht="12" customHeight="1">
      <c r="A163" s="104" t="inlineStr">
        <is>
          <t>Torkskåp</t>
        </is>
      </c>
      <c r="B163" s="80" t="n"/>
      <c r="C163" s="80" t="n"/>
      <c r="D163" s="80">
        <f>IFERROR(C163*$B$153*INDEX($L$141:$L$143,MATCH(B163,$K$141:$K$143,0)),0)</f>
        <v/>
      </c>
      <c r="E163" s="103" t="n"/>
    </row>
    <row r="164" ht="12" customHeight="1">
      <c r="A164" s="104" t="inlineStr">
        <is>
          <t>Torkrum</t>
        </is>
      </c>
      <c r="B164" s="80" t="n"/>
      <c r="C164" s="80" t="n"/>
      <c r="D164" s="80">
        <f>IFERROR(C164*$B$153*INDEX($N$141:$N$142,MATCH(B164,$M$141:$M$142,0)),0)</f>
        <v/>
      </c>
      <c r="E164" s="103" t="n"/>
    </row>
    <row r="165" ht="12.75" customHeight="1">
      <c r="A165" s="116" t="inlineStr">
        <is>
          <t>Totalt</t>
        </is>
      </c>
      <c r="B165" s="105" t="n"/>
      <c r="C165" s="105" t="n"/>
      <c r="D165" s="93">
        <f>SUM(D156:D164)</f>
        <v/>
      </c>
      <c r="E165" s="106" t="n"/>
    </row>
    <row r="167" ht="19.5" customHeight="1">
      <c r="A167" s="4" t="inlineStr">
        <is>
          <t>12.3 Tvättstuga 3, schablonbedömning av energianvändning</t>
        </is>
      </c>
      <c r="B167" s="177" t="n"/>
      <c r="C167" s="177" t="n"/>
      <c r="D167" s="177" t="n"/>
      <c r="E167" s="178" t="n"/>
    </row>
    <row r="168" ht="12" customHeight="1">
      <c r="A168" s="77" t="inlineStr">
        <is>
          <t>Bedömt tvättningar/dygn/mask</t>
        </is>
      </c>
      <c r="B168" s="80" t="n">
        <v>3</v>
      </c>
      <c r="D168" s="312" t="inlineStr">
        <is>
          <t>Placerad i byggnad</t>
        </is>
      </c>
      <c r="E168" s="331" t="inlineStr">
        <is>
          <t>Byggnad 1</t>
        </is>
      </c>
    </row>
    <row r="169" ht="12" customHeight="1">
      <c r="A169" s="77" t="inlineStr">
        <is>
          <t>Bedömt kg/tvätt</t>
        </is>
      </c>
      <c r="B169" s="80" t="n">
        <v>7</v>
      </c>
      <c r="E169" s="81" t="n"/>
    </row>
    <row r="170" ht="12" customHeight="1">
      <c r="A170" s="77" t="inlineStr">
        <is>
          <t>Bedömt tvättdagar/år</t>
        </is>
      </c>
      <c r="B170" s="80">
        <f>365-52</f>
        <v/>
      </c>
      <c r="E170" s="81" t="n"/>
    </row>
    <row r="171" ht="12.75" customHeight="1">
      <c r="A171" s="133" t="inlineStr">
        <is>
          <t>Kg/dygn att fördela tork</t>
        </is>
      </c>
      <c r="B171" s="105">
        <f>B168*B169*(C173+C174+C175+C176)</f>
        <v/>
      </c>
      <c r="C171" s="166" t="n"/>
      <c r="D171" s="166" t="n"/>
      <c r="E171" s="167" t="n"/>
      <c r="G171" s="71" t="inlineStr">
        <is>
          <t>Kontroll: tilldelad torkkapacitet (kg/dygn)</t>
        </is>
      </c>
      <c r="H171" s="71">
        <f>SUM(C178:C181)</f>
        <v/>
      </c>
      <c r="I171" s="71" t="inlineStr">
        <is>
          <t>Diff mot tvättmängd (bör vara 0)</t>
        </is>
      </c>
      <c r="J171" s="71">
        <f>B171-H171</f>
        <v/>
      </c>
    </row>
    <row r="172" ht="16.5" customHeight="1">
      <c r="A172" s="107" t="inlineStr">
        <is>
          <t>Tvätt</t>
        </is>
      </c>
      <c r="B172" s="168" t="inlineStr">
        <is>
          <t>Modell</t>
        </is>
      </c>
      <c r="C172" s="168" t="inlineStr">
        <is>
          <t>Antal</t>
        </is>
      </c>
      <c r="D172" s="168" t="inlineStr">
        <is>
          <t>Ber kWh/år</t>
        </is>
      </c>
      <c r="E172" s="169" t="inlineStr">
        <is>
          <t>Kommentar</t>
        </is>
      </c>
    </row>
    <row r="173" ht="12.75" customHeight="1">
      <c r="A173" s="117" t="inlineStr">
        <is>
          <t>Tvättmaskin 1</t>
        </is>
      </c>
      <c r="B173" s="289" t="n"/>
      <c r="C173" s="289" t="n"/>
      <c r="D173" s="289">
        <f>IFERROR(C173*$B$168*$B$170*INDEX($H$141:$H$142,MATCH(B173,$G$141:$G$142,0)),0)</f>
        <v/>
      </c>
      <c r="E173" s="103" t="n"/>
    </row>
    <row r="174" ht="12" customHeight="1">
      <c r="A174" s="104" t="inlineStr">
        <is>
          <t>Tvättmaskin 2</t>
        </is>
      </c>
      <c r="B174" s="289" t="n"/>
      <c r="C174" s="80" t="n"/>
      <c r="D174" s="289">
        <f>IFERROR(C174*$B$168*$B$170*INDEX($H$141:$H$142,MATCH(B174,$G$141:$G$142,0)),0)</f>
        <v/>
      </c>
      <c r="E174" s="103" t="n"/>
    </row>
    <row r="175" ht="12" customHeight="1">
      <c r="A175" s="104" t="inlineStr">
        <is>
          <t>Tvättmaskin 3</t>
        </is>
      </c>
      <c r="B175" s="80" t="n"/>
      <c r="C175" s="80" t="n"/>
      <c r="D175" s="80">
        <f>IFERROR(C175*$B$168*$B$170*INDEX($H$141:$H$142,MATCH(B175,$G$141:$G$142,0)),0)</f>
        <v/>
      </c>
      <c r="E175" s="103" t="n"/>
    </row>
    <row r="176" ht="12.75" customHeight="1">
      <c r="A176" s="104" t="inlineStr">
        <is>
          <t>Tvättmaskin 4</t>
        </is>
      </c>
      <c r="B176" s="80" t="n"/>
      <c r="C176" s="80" t="n"/>
      <c r="D176" s="80">
        <f>IFERROR(C176*$B$168*$B$170*INDEX($H$141:$H$142,MATCH(B176,$G$141:$G$142,0)),0)</f>
        <v/>
      </c>
      <c r="E176" s="103" t="n"/>
    </row>
    <row r="177" ht="18" customHeight="1">
      <c r="A177" s="79" t="inlineStr">
        <is>
          <t>Tork</t>
        </is>
      </c>
      <c r="B177" s="171" t="inlineStr">
        <is>
          <t>Modell</t>
        </is>
      </c>
      <c r="C177" s="171" t="inlineStr">
        <is>
          <t>Kg/dygn</t>
        </is>
      </c>
      <c r="D177" s="80" t="n"/>
      <c r="E177" s="103" t="n"/>
    </row>
    <row r="178" ht="12" customHeight="1">
      <c r="A178" s="104" t="inlineStr">
        <is>
          <t>Torktumlare 1</t>
        </is>
      </c>
      <c r="B178" s="80" t="n"/>
      <c r="C178" s="71" t="n"/>
      <c r="D178" s="163">
        <f>IFERROR(C178*$B$170*INDEX($J$141:$J$143,MATCH(B178,$I$141:$I$143,0)),0)</f>
        <v/>
      </c>
      <c r="E178" s="103" t="n"/>
    </row>
    <row r="179" ht="12" customHeight="1">
      <c r="A179" s="104" t="inlineStr">
        <is>
          <t>Torktumlare 2</t>
        </is>
      </c>
      <c r="B179" s="80" t="n"/>
      <c r="C179" s="80" t="n"/>
      <c r="D179" s="80">
        <f>IFERROR(C179*$B$170*INDEX($J$141:$J$143,MATCH(B179,$I$141:$I$143,0)),0)</f>
        <v/>
      </c>
      <c r="E179" s="103" t="n"/>
    </row>
    <row r="180" ht="12" customHeight="1">
      <c r="A180" s="104" t="inlineStr">
        <is>
          <t>Torkskåp</t>
        </is>
      </c>
      <c r="B180" s="80" t="n"/>
      <c r="C180" s="80" t="n"/>
      <c r="D180" s="80">
        <f>IFERROR(C180*$B$170*INDEX($L$141:$L$143,MATCH(B180,$K$141:$K$143,0)),0)</f>
        <v/>
      </c>
      <c r="E180" s="103" t="n"/>
    </row>
    <row r="181" ht="12" customHeight="1">
      <c r="A181" s="104" t="inlineStr">
        <is>
          <t>Torkrum</t>
        </is>
      </c>
      <c r="B181" s="80" t="n"/>
      <c r="C181" s="80" t="n"/>
      <c r="D181" s="80">
        <f>IFERROR(C181*$B$170*INDEX($N$141:$N$142,MATCH(B181,$M$141:$M$142,0)),0)</f>
        <v/>
      </c>
      <c r="E181" s="103" t="n"/>
    </row>
    <row r="182" ht="12.75" customHeight="1">
      <c r="A182" s="116" t="inlineStr">
        <is>
          <t>Totalt</t>
        </is>
      </c>
      <c r="B182" s="105" t="n"/>
      <c r="C182" s="105" t="n"/>
      <c r="D182" s="93">
        <f>SUM(D173:D181)</f>
        <v/>
      </c>
      <c r="E182" s="106" t="n"/>
    </row>
    <row r="184" ht="19.5" customHeight="1">
      <c r="A184" s="4" t="inlineStr">
        <is>
          <t>12.4 Tvättstuga 4, schablonbedömning av energianvändning</t>
        </is>
      </c>
      <c r="B184" s="177" t="n"/>
      <c r="C184" s="177" t="n"/>
      <c r="D184" s="177" t="n"/>
      <c r="E184" s="178" t="n"/>
    </row>
    <row r="185" ht="12" customHeight="1">
      <c r="A185" s="77" t="inlineStr">
        <is>
          <t>Bedömt tvättningar/dygn/mask</t>
        </is>
      </c>
      <c r="B185" s="80" t="n">
        <v>3</v>
      </c>
      <c r="D185" s="312" t="inlineStr">
        <is>
          <t>Placerad i byggnad</t>
        </is>
      </c>
      <c r="E185" s="331" t="inlineStr">
        <is>
          <t>Byggnad 1</t>
        </is>
      </c>
    </row>
    <row r="186" ht="12" customHeight="1">
      <c r="A186" s="77" t="inlineStr">
        <is>
          <t>Bedömt kg/tvätt</t>
        </is>
      </c>
      <c r="B186" s="80" t="n">
        <v>7</v>
      </c>
      <c r="E186" s="81" t="n"/>
    </row>
    <row r="187" ht="12" customHeight="1">
      <c r="A187" s="77" t="inlineStr">
        <is>
          <t>Bedömt tvättdagar/år</t>
        </is>
      </c>
      <c r="B187" s="80">
        <f>365-52</f>
        <v/>
      </c>
      <c r="E187" s="81" t="n"/>
    </row>
    <row r="188" ht="12.75" customHeight="1">
      <c r="A188" s="133" t="inlineStr">
        <is>
          <t>Kg/dygn att fördela tork</t>
        </is>
      </c>
      <c r="B188" s="105">
        <f>B185*B186*(C190+C191+C192+C193)</f>
        <v/>
      </c>
      <c r="C188" s="166" t="n"/>
      <c r="D188" s="166" t="n"/>
      <c r="E188" s="167" t="n"/>
      <c r="G188" s="71" t="inlineStr">
        <is>
          <t>Kontroll: tilldelad torkkapacitet (kg/dygn)</t>
        </is>
      </c>
      <c r="H188" s="71">
        <f>SUM(C195:C198)</f>
        <v/>
      </c>
      <c r="I188" s="71" t="inlineStr">
        <is>
          <t>Diff mot tvättmängd (bör vara 0)</t>
        </is>
      </c>
      <c r="J188" s="71">
        <f>B188-H188</f>
        <v/>
      </c>
    </row>
    <row r="189" ht="16.5" customHeight="1">
      <c r="A189" s="107" t="inlineStr">
        <is>
          <t>Tvätt</t>
        </is>
      </c>
      <c r="B189" s="168" t="inlineStr">
        <is>
          <t>Modell</t>
        </is>
      </c>
      <c r="C189" s="168" t="inlineStr">
        <is>
          <t>Antal</t>
        </is>
      </c>
      <c r="D189" s="168" t="inlineStr">
        <is>
          <t>Ber kWh/år</t>
        </is>
      </c>
      <c r="E189" s="169" t="inlineStr">
        <is>
          <t>Kommentar</t>
        </is>
      </c>
    </row>
    <row r="190" ht="12.75" customHeight="1">
      <c r="A190" s="117" t="inlineStr">
        <is>
          <t>Tvättmaskin 1</t>
        </is>
      </c>
      <c r="B190" s="289" t="n"/>
      <c r="C190" s="289" t="n"/>
      <c r="D190" s="289">
        <f>IFERROR(C190*$B$185*$B$187*INDEX($H$141:$H$142,MATCH(B190,$G$141:$G$142,0)),0)</f>
        <v/>
      </c>
      <c r="E190" s="103" t="n"/>
    </row>
    <row r="191" ht="12" customHeight="1">
      <c r="A191" s="104" t="inlineStr">
        <is>
          <t>Tvättmaskin 2</t>
        </is>
      </c>
      <c r="B191" s="289" t="n"/>
      <c r="C191" s="80" t="n"/>
      <c r="D191" s="289">
        <f>IFERROR(C191*$B$185*$B$187*INDEX($H$141:$H$142,MATCH(B191,$G$141:$G$142,0)),0)</f>
        <v/>
      </c>
      <c r="E191" s="103" t="n"/>
    </row>
    <row r="192" ht="12" customHeight="1">
      <c r="A192" s="104" t="inlineStr">
        <is>
          <t>Tvättmaskin 3</t>
        </is>
      </c>
      <c r="B192" s="80" t="n"/>
      <c r="C192" s="80" t="n"/>
      <c r="D192" s="80">
        <f>IFERROR(C192*$B$185*$B$187*INDEX($H$141:$H$142,MATCH(B192,$G$141:$G$142,0)),0)</f>
        <v/>
      </c>
      <c r="E192" s="103" t="n"/>
    </row>
    <row r="193" ht="12.75" customHeight="1">
      <c r="A193" s="104" t="inlineStr">
        <is>
          <t>Tvättmaskin 4</t>
        </is>
      </c>
      <c r="B193" s="80" t="n"/>
      <c r="C193" s="80" t="n"/>
      <c r="D193" s="80">
        <f>IFERROR(C193*$B$185*$B$187*INDEX($H$141:$H$142,MATCH(B193,$G$141:$G$142,0)),0)</f>
        <v/>
      </c>
      <c r="E193" s="103" t="n"/>
    </row>
    <row r="194" ht="18" customHeight="1">
      <c r="A194" s="79" t="inlineStr">
        <is>
          <t>Tork</t>
        </is>
      </c>
      <c r="B194" s="171" t="inlineStr">
        <is>
          <t>Modell</t>
        </is>
      </c>
      <c r="C194" s="171" t="inlineStr">
        <is>
          <t>Kg/dygn</t>
        </is>
      </c>
      <c r="D194" s="80" t="n"/>
      <c r="E194" s="103" t="n"/>
    </row>
    <row r="195" ht="12" customHeight="1">
      <c r="A195" s="104" t="inlineStr">
        <is>
          <t>Torktumlare 1</t>
        </is>
      </c>
      <c r="B195" s="80" t="n"/>
      <c r="C195" s="71" t="n"/>
      <c r="D195" s="163">
        <f>IFERROR(C195*$B$187*INDEX($J$141:$J$143,MATCH(B195,$I$141:$I$143,0)),0)</f>
        <v/>
      </c>
      <c r="E195" s="103" t="n"/>
    </row>
    <row r="196" ht="12" customHeight="1">
      <c r="A196" s="104" t="inlineStr">
        <is>
          <t>Torktumlare 2</t>
        </is>
      </c>
      <c r="B196" s="80" t="n"/>
      <c r="C196" s="80" t="n"/>
      <c r="D196" s="80">
        <f>IFERROR(C196*$B$187*INDEX($J$141:$J$143,MATCH(B196,$I$141:$I$143,0)),0)</f>
        <v/>
      </c>
      <c r="E196" s="103" t="n"/>
    </row>
    <row r="197" ht="12" customHeight="1">
      <c r="A197" s="104" t="inlineStr">
        <is>
          <t>Torkskåp</t>
        </is>
      </c>
      <c r="B197" s="80" t="n"/>
      <c r="C197" s="80" t="n"/>
      <c r="D197" s="80">
        <f>IFERROR(C197*$B$187*INDEX($L$141:$L$143,MATCH(B197,$K$141:$K$143,0)),0)</f>
        <v/>
      </c>
      <c r="E197" s="103" t="n"/>
    </row>
    <row r="198" ht="12" customHeight="1">
      <c r="A198" s="104" t="inlineStr">
        <is>
          <t>Torkrum</t>
        </is>
      </c>
      <c r="B198" s="80" t="n"/>
      <c r="C198" s="80" t="n"/>
      <c r="D198" s="80">
        <f>IFERROR(C198*$B$187*INDEX($N$141:$N$142,MATCH(B198,$M$141:$M$142,0)),0)</f>
        <v/>
      </c>
      <c r="E198" s="103" t="n"/>
    </row>
    <row r="199" ht="12.75" customHeight="1">
      <c r="A199" s="116" t="inlineStr">
        <is>
          <t>Totalt</t>
        </is>
      </c>
      <c r="B199" s="105" t="n"/>
      <c r="C199" s="105" t="n"/>
      <c r="D199" s="93">
        <f>SUM(D190:D198)</f>
        <v/>
      </c>
      <c r="E199" s="106" t="n"/>
    </row>
    <row r="201">
      <c r="A201" s="311" t="inlineStr">
        <is>
          <t>Tvättstugor, placering och beräknad el</t>
        </is>
      </c>
    </row>
    <row r="202">
      <c r="A202" s="332" t="inlineStr">
        <is>
          <t>Tvättstuga</t>
        </is>
      </c>
      <c r="B202" s="332" t="inlineStr">
        <is>
          <t>Placerad i byggnad</t>
        </is>
      </c>
      <c r="C202" s="332" t="inlineStr">
        <is>
          <t>kWh/år</t>
        </is>
      </c>
    </row>
    <row r="203">
      <c r="A203" s="313" t="inlineStr">
        <is>
          <t>Tvättstuga 1</t>
        </is>
      </c>
      <c r="B203" s="333">
        <f>E132</f>
        <v/>
      </c>
      <c r="C203" s="314">
        <f>D146</f>
        <v/>
      </c>
    </row>
    <row r="204">
      <c r="A204" s="313" t="inlineStr">
        <is>
          <t>Tvättstuga 2</t>
        </is>
      </c>
      <c r="B204" s="333">
        <f>E151</f>
        <v/>
      </c>
      <c r="C204" s="314">
        <f>D165</f>
        <v/>
      </c>
    </row>
    <row r="205">
      <c r="A205" s="313" t="inlineStr">
        <is>
          <t>Tvättstuga 3</t>
        </is>
      </c>
      <c r="B205" s="333">
        <f>E168</f>
        <v/>
      </c>
      <c r="C205" s="314">
        <f>D182</f>
        <v/>
      </c>
    </row>
    <row r="206">
      <c r="A206" s="313" t="inlineStr">
        <is>
          <t>Tvättstuga 4</t>
        </is>
      </c>
      <c r="B206" s="333">
        <f>E185</f>
        <v/>
      </c>
      <c r="C206" s="314">
        <f>D199</f>
        <v/>
      </c>
    </row>
    <row r="207">
      <c r="A207" s="312" t="inlineStr">
        <is>
          <t>Summa tvättstugor</t>
        </is>
      </c>
      <c r="C207" s="314">
        <f>SUM(C203:C206)</f>
        <v/>
      </c>
    </row>
  </sheetData>
  <mergeCells count="46">
    <mergeCell ref="C94:E94"/>
    <mergeCell ref="B30:E30"/>
    <mergeCell ref="A49:E49"/>
    <mergeCell ref="A11:E11"/>
    <mergeCell ref="A7:A8"/>
    <mergeCell ref="A1:E1"/>
    <mergeCell ref="B80:E80"/>
    <mergeCell ref="B38:D38"/>
    <mergeCell ref="C95:E95"/>
    <mergeCell ref="B34:D34"/>
    <mergeCell ref="B26:E26"/>
    <mergeCell ref="B41:E41"/>
    <mergeCell ref="B37:D37"/>
    <mergeCell ref="C10:D10"/>
    <mergeCell ref="A25:E25"/>
    <mergeCell ref="A108:E108"/>
    <mergeCell ref="B40:D40"/>
    <mergeCell ref="A99:E99"/>
    <mergeCell ref="C9:D9"/>
    <mergeCell ref="B93:E93"/>
    <mergeCell ref="B33:D33"/>
    <mergeCell ref="B27:E27"/>
    <mergeCell ref="B36:D36"/>
    <mergeCell ref="A2:E2"/>
    <mergeCell ref="A42:E42"/>
    <mergeCell ref="B35:D35"/>
    <mergeCell ref="B48:E48"/>
    <mergeCell ref="C96:E96"/>
    <mergeCell ref="A150:E150"/>
    <mergeCell ref="A126:E126"/>
    <mergeCell ref="B98:E98"/>
    <mergeCell ref="C8:D8"/>
    <mergeCell ref="A184:E184"/>
    <mergeCell ref="A131:E131"/>
    <mergeCell ref="A100:E100"/>
    <mergeCell ref="A81:E81"/>
    <mergeCell ref="C7:D7"/>
    <mergeCell ref="A9:A10"/>
    <mergeCell ref="C97:E97"/>
    <mergeCell ref="A19:E19"/>
    <mergeCell ref="B29:E29"/>
    <mergeCell ref="A31:E31"/>
    <mergeCell ref="B39:D39"/>
    <mergeCell ref="B28:E28"/>
    <mergeCell ref="A167:E167"/>
    <mergeCell ref="A92:E92"/>
  </mergeCells>
  <dataValidations count="10">
    <dataValidation sqref="B137:B140" showDropDown="0" showInputMessage="0" showErrorMessage="0" allowBlank="1" type="list">
      <formula1>$G$141:$G$142</formula1>
      <formula2>0</formula2>
    </dataValidation>
    <dataValidation sqref="B142:B143" showDropDown="0" showInputMessage="0" showErrorMessage="0" allowBlank="1" type="list">
      <formula1>$I$141:$I$143</formula1>
      <formula2>0</formula2>
    </dataValidation>
    <dataValidation sqref="B144" showDropDown="0" showInputMessage="0" showErrorMessage="0" allowBlank="1" type="list">
      <formula1>$K$141:$K$143</formula1>
      <formula2>0</formula2>
    </dataValidation>
    <dataValidation sqref="B145" showDropDown="0" showInputMessage="0" showErrorMessage="0" allowBlank="1" type="list">
      <formula1>$M$141:$M$142</formula1>
      <formula2>0</formula2>
    </dataValidation>
    <dataValidation sqref="E132 E151 E168 E185" showDropDown="0" showInputMessage="0" showErrorMessage="0" allowBlank="0" type="list">
      <formula1>'Regler BFS 2026'!$W$5:$W$11</formula1>
    </dataValidation>
    <dataValidation sqref="B156 B157 B158 B159 B173 B174 B175 B176 B190 B191 B192 B193" showDropDown="0" showInputMessage="0" showErrorMessage="0" allowBlank="1" type="list">
      <formula1>$G$141:$G$142</formula1>
    </dataValidation>
    <dataValidation sqref="B161 B162 B178 B179 B195 B196" showDropDown="0" showInputMessage="0" showErrorMessage="0" allowBlank="1" type="list">
      <formula1>$I$141:$I$143</formula1>
    </dataValidation>
    <dataValidation sqref="B163 B180 B197" showDropDown="0" showInputMessage="0" showErrorMessage="0" allowBlank="1" type="list">
      <formula1>$K$141:$K$143</formula1>
    </dataValidation>
    <dataValidation sqref="B164 B181 B198" showDropDown="0" showInputMessage="0" showErrorMessage="0" allowBlank="1" type="list">
      <formula1>$M$141:$M$142</formula1>
    </dataValidation>
    <dataValidation sqref="F103 F104 F105 F106 F111 F112 F113 F114 F115 F116 F117 F118 F119 F120 F121 F122 F123 F124 F128 F129" showDropDown="0" showInputMessage="0" showErrorMessage="0" allowBlank="0" type="list">
      <formula1>'Regler BFS 2026'!$W$6:$W$11</formula1>
    </dataValidation>
  </dataValidations>
  <hyperlinks>
    <hyperlink xmlns:r="http://schemas.openxmlformats.org/officeDocument/2006/relationships" ref="D6" r:id="rId1"/>
  </hyperlinks>
  <pageMargins left="0.7875" right="0.697222222222222" top="1.18680555555556" bottom="0.9840277777777779" header="0.511805555555556" footer="0.511805555555556"/>
  <pageSetup orientation="portrait" horizontalDpi="300" verticalDpi="300"/>
  <headerFooter>
    <oddHeader>&amp;L&amp;A&amp;C&amp;D</oddHeader>
    <oddFooter>&amp;R&amp;P</oddFooter>
    <evenHeader/>
    <evenFooter/>
    <firstHeader/>
    <firstFooter/>
  </headerFooter>
  <drawing xmlns:r="http://schemas.openxmlformats.org/officeDocument/2006/relationships" r:id="rId2"/>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B202:K582"/>
  <sheetViews>
    <sheetView topLeftCell="A199" zoomScaleNormal="100" workbookViewId="0">
      <selection activeCell="L618" sqref="L618"/>
    </sheetView>
  </sheetViews>
  <sheetFormatPr baseColWidth="8" defaultColWidth="8.7265625" defaultRowHeight="14.5"/>
  <sheetData>
    <row r="202" ht="15" customHeight="1">
      <c r="K202" t="n">
        <v>2022</v>
      </c>
    </row>
    <row r="428" ht="15" customHeight="1">
      <c r="G428" t="inlineStr">
        <is>
          <t>7W</t>
        </is>
      </c>
    </row>
    <row r="581" ht="15" customHeight="1">
      <c r="B581" t="inlineStr">
        <is>
          <t>Vindsisolering 2016</t>
        </is>
      </c>
    </row>
    <row r="582" ht="15" customHeight="1">
      <c r="B582" t="inlineStr">
        <is>
          <t xml:space="preserve">  </t>
        </is>
      </c>
    </row>
  </sheetData>
  <pageMargins left="0.7" right="0.7" top="0.75" bottom="0.75"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I182"/>
  <sheetViews>
    <sheetView zoomScale="145" zoomScaleNormal="145" workbookViewId="0">
      <pane xSplit="2" ySplit="3" topLeftCell="C124" activePane="bottomRight" state="frozen"/>
      <selection pane="topRight" activeCell="C1" sqref="C1"/>
      <selection pane="bottomLeft" activeCell="A124" sqref="A124"/>
      <selection pane="bottomRight" activeCell="C138" sqref="C138"/>
    </sheetView>
  </sheetViews>
  <sheetFormatPr baseColWidth="8" defaultColWidth="8.7265625" defaultRowHeight="14.5"/>
  <cols>
    <col width="50" customWidth="1" min="1" max="1"/>
    <col width="10" customWidth="1" min="2" max="2"/>
    <col width="13" customWidth="1" min="3" max="9"/>
  </cols>
  <sheetData>
    <row r="1" ht="21.75" customHeight="1">
      <c r="A1" s="15" t="inlineStr">
        <is>
          <t>Fördelning och normalisering per byggnad</t>
        </is>
      </c>
    </row>
    <row r="2" ht="15" customHeight="1">
      <c r="A2" s="18" t="inlineStr">
        <is>
          <t>Uppvärmningen normaliseras till kategoritypisk användning men inte till normalår. Klimatkorrigeringen görs i Gripen.</t>
        </is>
      </c>
    </row>
    <row r="4" ht="15" customHeight="1">
      <c r="A4" s="297" t="inlineStr">
        <is>
          <t>Schabloner</t>
        </is>
      </c>
    </row>
    <row r="5" ht="15" customHeight="1">
      <c r="A5" s="37" t="inlineStr">
        <is>
          <t>Korrigering per grad avvikande innetemperatur (andel)</t>
        </is>
      </c>
      <c r="B5" s="61" t="n">
        <v>0.05</v>
      </c>
    </row>
    <row r="6" ht="15" customHeight="1">
      <c r="A6" s="37" t="inlineStr">
        <is>
          <t>Andel av el som blir tillgodogjord värme</t>
        </is>
      </c>
      <c r="B6" s="61" t="n">
        <v>0.7</v>
      </c>
    </row>
    <row r="7" ht="15" customHeight="1">
      <c r="A7" s="37" t="inlineStr">
        <is>
          <t>Personvärme per person (W)</t>
        </is>
      </c>
      <c r="B7" s="52" t="n">
        <v>80</v>
      </c>
    </row>
    <row r="8" ht="15" customHeight="1">
      <c r="A8" s="37" t="inlineStr">
        <is>
          <t>Närvarotid (h/dygn)</t>
        </is>
      </c>
      <c r="B8" s="52" t="n">
        <v>14</v>
      </c>
    </row>
    <row r="9" ht="15" customHeight="1">
      <c r="A9" s="37" t="inlineStr">
        <is>
          <t>Timmar uppvärmningssäsong (h)</t>
        </is>
      </c>
      <c r="B9" s="54" t="n">
        <v>6000</v>
      </c>
    </row>
    <row r="10" ht="15" customHeight="1">
      <c r="A10" s="37" t="inlineStr">
        <is>
          <t>Gradtimmar för ventilationsberäkning (°Ch)</t>
        </is>
      </c>
      <c r="B10" s="54" t="n">
        <v>100000</v>
      </c>
    </row>
    <row r="12" ht="15" customHeight="1">
      <c r="A12" s="297" t="inlineStr">
        <is>
          <t>Faktisk användning och val per byggnad</t>
        </is>
      </c>
    </row>
    <row r="13" ht="15" customHeight="1">
      <c r="A13" s="16" t="inlineStr">
        <is>
          <t>Byggnad</t>
        </is>
      </c>
      <c r="C13" s="16">
        <f>Byggnader!C12</f>
        <v/>
      </c>
      <c r="D13" s="16">
        <f>Byggnader!D12</f>
        <v/>
      </c>
      <c r="E13" s="16">
        <f>Byggnader!E12</f>
        <v/>
      </c>
      <c r="F13" s="16">
        <f>Byggnader!F12</f>
        <v/>
      </c>
      <c r="G13" s="16">
        <f>Byggnader!G12</f>
        <v/>
      </c>
      <c r="H13" s="16">
        <f>Byggnader!H12</f>
        <v/>
      </c>
      <c r="I13" s="16" t="inlineStr">
        <is>
          <t>Summa</t>
        </is>
      </c>
    </row>
    <row r="14" ht="15" customHeight="1">
      <c r="A14" s="37" t="inlineStr">
        <is>
          <t>Faktisk innetemperatur (°C)</t>
        </is>
      </c>
      <c r="C14" s="310" t="n">
        <v>21</v>
      </c>
      <c r="D14" s="310" t="n">
        <v>21</v>
      </c>
      <c r="E14" s="310" t="n">
        <v>21</v>
      </c>
      <c r="F14" s="310" t="n">
        <v>21</v>
      </c>
      <c r="G14" s="310" t="n">
        <v>21</v>
      </c>
      <c r="H14" s="310" t="n">
        <v>21</v>
      </c>
    </row>
    <row r="15" ht="15" customHeight="1">
      <c r="A15" s="37" t="inlineStr">
        <is>
          <t>Faktiskt uteluftsflöde (l/s,m²)</t>
        </is>
      </c>
      <c r="C15" s="61" t="n">
        <v>0.35</v>
      </c>
      <c r="D15" s="61" t="n">
        <v>0.35</v>
      </c>
      <c r="E15" s="61" t="n">
        <v>0.35</v>
      </c>
      <c r="F15" s="61" t="n">
        <v>0.35</v>
      </c>
      <c r="G15" s="61" t="n">
        <v>0.35</v>
      </c>
      <c r="H15" s="61" t="n">
        <v>0.35</v>
      </c>
    </row>
    <row r="16" ht="15" customHeight="1">
      <c r="A16" s="37" t="inlineStr">
        <is>
          <t>Värmeåtervinning ventilation (årsverkningsgrad)</t>
        </is>
      </c>
      <c r="C16" s="61" t="n">
        <v>0</v>
      </c>
      <c r="D16" s="61" t="n">
        <v>0</v>
      </c>
      <c r="E16" s="61" t="n">
        <v>0</v>
      </c>
      <c r="F16" s="61" t="n">
        <v>0</v>
      </c>
      <c r="G16" s="61" t="n">
        <v>0</v>
      </c>
      <c r="H16" s="61" t="n">
        <v>0</v>
      </c>
    </row>
    <row r="17" ht="15" customHeight="1">
      <c r="A17" s="37" t="inlineStr">
        <is>
          <t>Personer per lägenhet</t>
        </is>
      </c>
      <c r="C17" s="61" t="n">
        <v>1.63</v>
      </c>
      <c r="D17" s="61" t="n">
        <v>1.63</v>
      </c>
      <c r="E17" s="61" t="n">
        <v>1.63</v>
      </c>
      <c r="F17" s="61" t="n">
        <v>1.63</v>
      </c>
      <c r="G17" s="61" t="n">
        <v>1.63</v>
      </c>
      <c r="H17" s="61" t="n">
        <v>1.63</v>
      </c>
    </row>
    <row r="18" ht="15" customHeight="1">
      <c r="A18" s="37" t="inlineStr">
        <is>
          <t>Verksamhetsel inomhus som avger värme (kWh/år)</t>
        </is>
      </c>
      <c r="C18" s="54" t="n">
        <v>0</v>
      </c>
      <c r="D18" s="54" t="n">
        <v>0</v>
      </c>
      <c r="E18" s="54" t="n">
        <v>0</v>
      </c>
      <c r="F18" s="54" t="n">
        <v>0</v>
      </c>
      <c r="G18" s="54" t="n">
        <v>0</v>
      </c>
      <c r="H18" s="54" t="n">
        <v>0</v>
      </c>
    </row>
    <row r="19" ht="15" customHeight="1">
      <c r="A19" s="37" t="inlineStr">
        <is>
          <t>Normalisering innetemperatur (Ja/Nej)</t>
        </is>
      </c>
      <c r="C19" s="46" t="inlineStr">
        <is>
          <t>Ja</t>
        </is>
      </c>
      <c r="D19" s="46" t="inlineStr">
        <is>
          <t>Ja</t>
        </is>
      </c>
      <c r="E19" s="46" t="inlineStr">
        <is>
          <t>Ja</t>
        </is>
      </c>
      <c r="F19" s="46" t="inlineStr">
        <is>
          <t>Ja</t>
        </is>
      </c>
      <c r="G19" s="46" t="inlineStr">
        <is>
          <t>Ja</t>
        </is>
      </c>
      <c r="H19" s="46" t="inlineStr">
        <is>
          <t>Ja</t>
        </is>
      </c>
    </row>
    <row r="20" ht="15" customHeight="1">
      <c r="A20" s="37" t="inlineStr">
        <is>
          <t>Normalisering uteluftsflöde (Ja/Nej)</t>
        </is>
      </c>
      <c r="C20" s="46" t="inlineStr">
        <is>
          <t>Ja</t>
        </is>
      </c>
      <c r="D20" s="46" t="inlineStr">
        <is>
          <t>Ja</t>
        </is>
      </c>
      <c r="E20" s="46" t="inlineStr">
        <is>
          <t>Ja</t>
        </is>
      </c>
      <c r="F20" s="46" t="inlineStr">
        <is>
          <t>Ja</t>
        </is>
      </c>
      <c r="G20" s="46" t="inlineStr">
        <is>
          <t>Ja</t>
        </is>
      </c>
      <c r="H20" s="46" t="inlineStr">
        <is>
          <t>Ja</t>
        </is>
      </c>
    </row>
    <row r="21" ht="15" customHeight="1">
      <c r="A21" s="37" t="inlineStr">
        <is>
          <t>Normalisering internlast (Ja/Nej)</t>
        </is>
      </c>
      <c r="C21" s="46" t="inlineStr">
        <is>
          <t>Ja</t>
        </is>
      </c>
      <c r="D21" s="46" t="inlineStr">
        <is>
          <t>Ja</t>
        </is>
      </c>
      <c r="E21" s="46" t="inlineStr">
        <is>
          <t>Ja</t>
        </is>
      </c>
      <c r="F21" s="46" t="inlineStr">
        <is>
          <t>Ja</t>
        </is>
      </c>
      <c r="G21" s="46" t="inlineStr">
        <is>
          <t>Ja</t>
        </is>
      </c>
      <c r="H21" s="46" t="inlineStr">
        <is>
          <t>Ja</t>
        </is>
      </c>
    </row>
    <row r="22" ht="15" customHeight="1">
      <c r="A22" s="37" t="inlineStr">
        <is>
          <t>Normalisering tappvarmvatten (Ja/Nej)</t>
        </is>
      </c>
      <c r="C22" s="46" t="inlineStr">
        <is>
          <t>Ja</t>
        </is>
      </c>
      <c r="D22" s="46" t="inlineStr">
        <is>
          <t>Ja</t>
        </is>
      </c>
      <c r="E22" s="46" t="inlineStr">
        <is>
          <t>Ja</t>
        </is>
      </c>
      <c r="F22" s="46" t="inlineStr">
        <is>
          <t>Ja</t>
        </is>
      </c>
      <c r="G22" s="46" t="inlineStr">
        <is>
          <t>Ja</t>
        </is>
      </c>
      <c r="H22" s="46" t="inlineStr">
        <is>
          <t>Ja</t>
        </is>
      </c>
    </row>
    <row r="24" ht="15" customHeight="1">
      <c r="A24" s="297" t="inlineStr">
        <is>
          <t>Areor och kategoritypiska värden</t>
        </is>
      </c>
    </row>
    <row r="25" ht="15" customHeight="1">
      <c r="A25" s="16" t="inlineStr">
        <is>
          <t>Byggnad</t>
        </is>
      </c>
      <c r="C25" s="16">
        <f>Byggnader!C12</f>
        <v/>
      </c>
      <c r="D25" s="16">
        <f>Byggnader!D12</f>
        <v/>
      </c>
      <c r="E25" s="16">
        <f>Byggnader!E12</f>
        <v/>
      </c>
      <c r="F25" s="16">
        <f>Byggnader!F12</f>
        <v/>
      </c>
      <c r="G25" s="16">
        <f>Byggnader!G12</f>
        <v/>
      </c>
      <c r="H25" s="16">
        <f>Byggnader!H12</f>
        <v/>
      </c>
      <c r="I25" s="16" t="inlineStr">
        <is>
          <t>Summa</t>
        </is>
      </c>
    </row>
    <row r="26" ht="15" customHeight="1">
      <c r="A26" s="37" t="inlineStr">
        <is>
          <t>A-temp (m²)</t>
        </is>
      </c>
      <c r="C26" s="55">
        <f>Byggnader!C32</f>
        <v/>
      </c>
      <c r="D26" s="55">
        <f>Byggnader!D32</f>
        <v/>
      </c>
      <c r="E26" s="55">
        <f>Byggnader!E32</f>
        <v/>
      </c>
      <c r="F26" s="55">
        <f>Byggnader!F32</f>
        <v/>
      </c>
      <c r="G26" s="55">
        <f>Byggnader!G32</f>
        <v/>
      </c>
      <c r="H26" s="55">
        <f>Byggnader!H32</f>
        <v/>
      </c>
      <c r="I26" s="55">
        <f>SUM(C26:H26)</f>
        <v/>
      </c>
    </row>
    <row r="27" ht="15" customHeight="1">
      <c r="A27" s="37" t="inlineStr">
        <is>
          <t>Flerbostadshus</t>
        </is>
      </c>
      <c r="C27" s="55">
        <f>IF(Byggnader!C16="Flerbostadshus",(Byggnader!C21+Byggnader!C31),0)</f>
        <v/>
      </c>
      <c r="D27" s="55">
        <f>IF(Byggnader!D16="Flerbostadshus",(Byggnader!D21+Byggnader!D31),0)</f>
        <v/>
      </c>
      <c r="E27" s="55">
        <f>IF(Byggnader!E16="Flerbostadshus",(Byggnader!E21+Byggnader!E31),0)</f>
        <v/>
      </c>
      <c r="F27" s="55">
        <f>IF(Byggnader!F16="Flerbostadshus",(Byggnader!F21+Byggnader!F31),0)</f>
        <v/>
      </c>
      <c r="G27" s="55">
        <f>IF(Byggnader!G16="Flerbostadshus",(Byggnader!G21+Byggnader!G31),0)</f>
        <v/>
      </c>
      <c r="H27" s="55">
        <f>IF(Byggnader!H16="Flerbostadshus",(Byggnader!H21+Byggnader!H31),0)</f>
        <v/>
      </c>
      <c r="I27" s="55">
        <f>SUM(C27:H27)</f>
        <v/>
      </c>
    </row>
    <row r="28" ht="15" customHeight="1">
      <c r="A28" s="37" t="inlineStr">
        <is>
          <t>En- och tvåbostadshus &lt; 90 m²</t>
        </is>
      </c>
      <c r="C28" s="55">
        <f>IF(AND(Byggnader!C16="En- och tvåbostadshus",C26&lt;90),(Byggnader!C21+Byggnader!C31),0)</f>
        <v/>
      </c>
      <c r="D28" s="55">
        <f>IF(AND(Byggnader!D16="En- och tvåbostadshus",D26&lt;90),(Byggnader!D21+Byggnader!D31),0)</f>
        <v/>
      </c>
      <c r="E28" s="55">
        <f>IF(AND(Byggnader!E16="En- och tvåbostadshus",E26&lt;90),(Byggnader!E21+Byggnader!E31),0)</f>
        <v/>
      </c>
      <c r="F28" s="55">
        <f>IF(AND(Byggnader!F16="En- och tvåbostadshus",F26&lt;90),(Byggnader!F21+Byggnader!F31),0)</f>
        <v/>
      </c>
      <c r="G28" s="55">
        <f>IF(AND(Byggnader!G16="En- och tvåbostadshus",G26&lt;90),(Byggnader!G21+Byggnader!G31),0)</f>
        <v/>
      </c>
      <c r="H28" s="55">
        <f>IF(AND(Byggnader!H16="En- och tvåbostadshus",H26&lt;90),(Byggnader!H21+Byggnader!H31),0)</f>
        <v/>
      </c>
      <c r="I28" s="55">
        <f>SUM(C28:H28)</f>
        <v/>
      </c>
    </row>
    <row r="29" ht="15" customHeight="1">
      <c r="A29" s="37" t="inlineStr">
        <is>
          <t>En- och tvåbostadshus 90–130 m²</t>
        </is>
      </c>
      <c r="C29" s="55">
        <f>IF(AND(Byggnader!C16="En- och tvåbostadshus",C26&gt;=90,C26&lt;130),(Byggnader!C21+Byggnader!C31),0)</f>
        <v/>
      </c>
      <c r="D29" s="55">
        <f>IF(AND(Byggnader!D16="En- och tvåbostadshus",D26&gt;=90,D26&lt;130),(Byggnader!D21+Byggnader!D31),0)</f>
        <v/>
      </c>
      <c r="E29" s="55">
        <f>IF(AND(Byggnader!E16="En- och tvåbostadshus",E26&gt;=90,E26&lt;130),(Byggnader!E21+Byggnader!E31),0)</f>
        <v/>
      </c>
      <c r="F29" s="55">
        <f>IF(AND(Byggnader!F16="En- och tvåbostadshus",F26&gt;=90,F26&lt;130),(Byggnader!F21+Byggnader!F31),0)</f>
        <v/>
      </c>
      <c r="G29" s="55">
        <f>IF(AND(Byggnader!G16="En- och tvåbostadshus",G26&gt;=90,G26&lt;130),(Byggnader!G21+Byggnader!G31),0)</f>
        <v/>
      </c>
      <c r="H29" s="55">
        <f>IF(AND(Byggnader!H16="En- och tvåbostadshus",H26&gt;=90,H26&lt;130),(Byggnader!H21+Byggnader!H31),0)</f>
        <v/>
      </c>
      <c r="I29" s="55">
        <f>SUM(C29:H29)</f>
        <v/>
      </c>
    </row>
    <row r="30" ht="15" customHeight="1">
      <c r="A30" s="37" t="inlineStr">
        <is>
          <t>En- och tvåbostadshus ≥ 130 m²</t>
        </is>
      </c>
      <c r="C30" s="55">
        <f>IF(AND(Byggnader!C16="En- och tvåbostadshus",C26&gt;=130),(Byggnader!C21+Byggnader!C31),0)</f>
        <v/>
      </c>
      <c r="D30" s="55">
        <f>IF(AND(Byggnader!D16="En- och tvåbostadshus",D26&gt;=130),(Byggnader!D21+Byggnader!D31),0)</f>
        <v/>
      </c>
      <c r="E30" s="55">
        <f>IF(AND(Byggnader!E16="En- och tvåbostadshus",E26&gt;=130),(Byggnader!E21+Byggnader!E31),0)</f>
        <v/>
      </c>
      <c r="F30" s="55">
        <f>IF(AND(Byggnader!F16="En- och tvåbostadshus",F26&gt;=130),(Byggnader!F21+Byggnader!F31),0)</f>
        <v/>
      </c>
      <c r="G30" s="55">
        <f>IF(AND(Byggnader!G16="En- och tvåbostadshus",G26&gt;=130),(Byggnader!G21+Byggnader!G31),0)</f>
        <v/>
      </c>
      <c r="H30" s="55">
        <f>IF(AND(Byggnader!H16="En- och tvåbostadshus",H26&gt;=130),(Byggnader!H21+Byggnader!H31),0)</f>
        <v/>
      </c>
      <c r="I30" s="55">
        <f>SUM(C30:H30)</f>
        <v/>
      </c>
    </row>
    <row r="31" ht="15" customHeight="1">
      <c r="A31" s="37" t="inlineStr">
        <is>
          <t>Kontor</t>
        </is>
      </c>
      <c r="C31" s="55">
        <f>Byggnader!C24</f>
        <v/>
      </c>
      <c r="D31" s="55">
        <f>Byggnader!D24</f>
        <v/>
      </c>
      <c r="E31" s="55">
        <f>Byggnader!E24</f>
        <v/>
      </c>
      <c r="F31" s="55">
        <f>Byggnader!F24</f>
        <v/>
      </c>
      <c r="G31" s="55">
        <f>Byggnader!G24</f>
        <v/>
      </c>
      <c r="H31" s="55">
        <f>Byggnader!H24</f>
        <v/>
      </c>
      <c r="I31" s="55">
        <f>SUM(C31:H31)</f>
        <v/>
      </c>
    </row>
    <row r="32" ht="15" customHeight="1">
      <c r="A32" s="37" t="inlineStr">
        <is>
          <t>Utbildning</t>
        </is>
      </c>
      <c r="C32" s="55">
        <f>Byggnader!C25</f>
        <v/>
      </c>
      <c r="D32" s="55">
        <f>Byggnader!D25</f>
        <v/>
      </c>
      <c r="E32" s="55">
        <f>Byggnader!E25</f>
        <v/>
      </c>
      <c r="F32" s="55">
        <f>Byggnader!F25</f>
        <v/>
      </c>
      <c r="G32" s="55">
        <f>Byggnader!G25</f>
        <v/>
      </c>
      <c r="H32" s="55">
        <f>Byggnader!H25</f>
        <v/>
      </c>
      <c r="I32" s="55">
        <f>SUM(C32:H32)</f>
        <v/>
      </c>
    </row>
    <row r="33" ht="15" customHeight="1">
      <c r="A33" s="37" t="inlineStr">
        <is>
          <t>Sjukhus</t>
        </is>
      </c>
      <c r="C33" s="55">
        <f>Byggnader!C26</f>
        <v/>
      </c>
      <c r="D33" s="55">
        <f>Byggnader!D26</f>
        <v/>
      </c>
      <c r="E33" s="55">
        <f>Byggnader!E26</f>
        <v/>
      </c>
      <c r="F33" s="55">
        <f>Byggnader!F26</f>
        <v/>
      </c>
      <c r="G33" s="55">
        <f>Byggnader!G26</f>
        <v/>
      </c>
      <c r="H33" s="55">
        <f>Byggnader!H26</f>
        <v/>
      </c>
      <c r="I33" s="55">
        <f>SUM(C33:H33)</f>
        <v/>
      </c>
    </row>
    <row r="34" ht="15" customHeight="1">
      <c r="A34" s="37" t="inlineStr">
        <is>
          <t>Logi och restaurang</t>
        </is>
      </c>
      <c r="C34" s="55">
        <f>Byggnader!C27</f>
        <v/>
      </c>
      <c r="D34" s="55">
        <f>Byggnader!D27</f>
        <v/>
      </c>
      <c r="E34" s="55">
        <f>Byggnader!E27</f>
        <v/>
      </c>
      <c r="F34" s="55">
        <f>Byggnader!F27</f>
        <v/>
      </c>
      <c r="G34" s="55">
        <f>Byggnader!G27</f>
        <v/>
      </c>
      <c r="H34" s="55">
        <f>Byggnader!H27</f>
        <v/>
      </c>
      <c r="I34" s="55">
        <f>SUM(C34:H34)</f>
        <v/>
      </c>
    </row>
    <row r="35" ht="15" customHeight="1">
      <c r="A35" s="37" t="inlineStr">
        <is>
          <t>Idrott</t>
        </is>
      </c>
      <c r="C35" s="55">
        <f>Byggnader!C28</f>
        <v/>
      </c>
      <c r="D35" s="55">
        <f>Byggnader!D28</f>
        <v/>
      </c>
      <c r="E35" s="55">
        <f>Byggnader!E28</f>
        <v/>
      </c>
      <c r="F35" s="55">
        <f>Byggnader!F28</f>
        <v/>
      </c>
      <c r="G35" s="55">
        <f>Byggnader!G28</f>
        <v/>
      </c>
      <c r="H35" s="55">
        <f>Byggnader!H28</f>
        <v/>
      </c>
      <c r="I35" s="55">
        <f>SUM(C35:H35)</f>
        <v/>
      </c>
    </row>
    <row r="36" ht="15" customHeight="1">
      <c r="A36" s="37" t="inlineStr">
        <is>
          <t>Handel och kultur</t>
        </is>
      </c>
      <c r="C36" s="55">
        <f>Byggnader!C29</f>
        <v/>
      </c>
      <c r="D36" s="55">
        <f>Byggnader!D29</f>
        <v/>
      </c>
      <c r="E36" s="55">
        <f>Byggnader!E29</f>
        <v/>
      </c>
      <c r="F36" s="55">
        <f>Byggnader!F29</f>
        <v/>
      </c>
      <c r="G36" s="55">
        <f>Byggnader!G29</f>
        <v/>
      </c>
      <c r="H36" s="55">
        <f>Byggnader!H29</f>
        <v/>
      </c>
      <c r="I36" s="55">
        <f>SUM(C36:H36)</f>
        <v/>
      </c>
    </row>
    <row r="37" ht="15" customHeight="1">
      <c r="A37" s="37" t="inlineStr">
        <is>
          <t>Annan typ av energianvändande byggnad</t>
        </is>
      </c>
      <c r="C37" s="55">
        <f>Byggnader!C30</f>
        <v/>
      </c>
      <c r="D37" s="55">
        <f>Byggnader!D30</f>
        <v/>
      </c>
      <c r="E37" s="55">
        <f>Byggnader!E30</f>
        <v/>
      </c>
      <c r="F37" s="55">
        <f>Byggnader!F30</f>
        <v/>
      </c>
      <c r="G37" s="55">
        <f>Byggnader!G30</f>
        <v/>
      </c>
      <c r="H37" s="55">
        <f>Byggnader!H30</f>
        <v/>
      </c>
      <c r="I37" s="55">
        <f>SUM(C37:H37)</f>
        <v/>
      </c>
    </row>
    <row r="38" ht="15" customHeight="1">
      <c r="A38" s="37" t="inlineStr">
        <is>
          <t>Kontrollsumma (m²)</t>
        </is>
      </c>
      <c r="C38" s="55">
        <f>SUM(C27:C37)</f>
        <v/>
      </c>
      <c r="D38" s="55">
        <f>SUM(D27:D37)</f>
        <v/>
      </c>
      <c r="E38" s="55">
        <f>SUM(E27:E37)</f>
        <v/>
      </c>
      <c r="F38" s="55">
        <f>SUM(F27:F37)</f>
        <v/>
      </c>
      <c r="G38" s="55">
        <f>SUM(G27:G37)</f>
        <v/>
      </c>
      <c r="H38" s="55">
        <f>SUM(H27:H37)</f>
        <v/>
      </c>
      <c r="I38" s="55">
        <f>SUM(I27:I37)</f>
        <v/>
      </c>
    </row>
    <row r="39" ht="15" customHeight="1">
      <c r="A39" s="37" t="inlineStr">
        <is>
          <t>Kategoritypisk innetemperatur (°C)</t>
        </is>
      </c>
      <c r="C39" s="309">
        <f>IFERROR(SUMPRODUCT(C$27:C$37,'Regler BFS 2026'!$B$12:$B$22)/C$38,0)</f>
        <v/>
      </c>
      <c r="D39" s="309">
        <f>IFERROR(SUMPRODUCT(D$27:D$37,'Regler BFS 2026'!$B$12:$B$22)/D$38,0)</f>
        <v/>
      </c>
      <c r="E39" s="309">
        <f>IFERROR(SUMPRODUCT(E$27:E$37,'Regler BFS 2026'!$B$12:$B$22)/E$38,0)</f>
        <v/>
      </c>
      <c r="F39" s="309">
        <f>IFERROR(SUMPRODUCT(F$27:F$37,'Regler BFS 2026'!$B$12:$B$22)/F$38,0)</f>
        <v/>
      </c>
      <c r="G39" s="309">
        <f>IFERROR(SUMPRODUCT(G$27:G$37,'Regler BFS 2026'!$B$12:$B$22)/G$38,0)</f>
        <v/>
      </c>
      <c r="H39" s="309">
        <f>IFERROR(SUMPRODUCT(H$27:H$37,'Regler BFS 2026'!$B$12:$B$22)/H$38,0)</f>
        <v/>
      </c>
      <c r="I39" s="309">
        <f>IFERROR(SUMPRODUCT(I$27:I$37,'Regler BFS 2026'!$B$12:$B$22)/I$38,0)</f>
        <v/>
      </c>
    </row>
    <row r="40" ht="15" customHeight="1">
      <c r="A40" s="37" t="inlineStr">
        <is>
          <t>Kategoritypiskt uteluftsflöde (l/s,m²)</t>
        </is>
      </c>
      <c r="C40" s="172">
        <f>IFERROR(SUMPRODUCT(C$27:C$37,'Regler BFS 2026'!$C$12:$C$22)/C$38,0)</f>
        <v/>
      </c>
      <c r="D40" s="172">
        <f>IFERROR(SUMPRODUCT(D$27:D$37,'Regler BFS 2026'!$C$12:$C$22)/D$38,0)</f>
        <v/>
      </c>
      <c r="E40" s="172">
        <f>IFERROR(SUMPRODUCT(E$27:E$37,'Regler BFS 2026'!$C$12:$C$22)/E$38,0)</f>
        <v/>
      </c>
      <c r="F40" s="172">
        <f>IFERROR(SUMPRODUCT(F$27:F$37,'Regler BFS 2026'!$C$12:$C$22)/F$38,0)</f>
        <v/>
      </c>
      <c r="G40" s="172">
        <f>IFERROR(SUMPRODUCT(G$27:G$37,'Regler BFS 2026'!$C$12:$C$22)/G$38,0)</f>
        <v/>
      </c>
      <c r="H40" s="172">
        <f>IFERROR(SUMPRODUCT(H$27:H$37,'Regler BFS 2026'!$C$12:$C$22)/H$38,0)</f>
        <v/>
      </c>
      <c r="I40" s="172">
        <f>IFERROR(SUMPRODUCT(I$27:I$37,'Regler BFS 2026'!$C$12:$C$22)/I$38,0)</f>
        <v/>
      </c>
    </row>
    <row r="41" ht="15" customHeight="1">
      <c r="A41" s="37" t="inlineStr">
        <is>
          <t>Kategoritypisk internlast (W/m²)</t>
        </is>
      </c>
      <c r="C41" s="172">
        <f>IFERROR(SUMPRODUCT(C$27:C$37,'Regler BFS 2026'!$D$12:$D$22)/C$38,0)</f>
        <v/>
      </c>
      <c r="D41" s="172">
        <f>IFERROR(SUMPRODUCT(D$27:D$37,'Regler BFS 2026'!$D$12:$D$22)/D$38,0)</f>
        <v/>
      </c>
      <c r="E41" s="172">
        <f>IFERROR(SUMPRODUCT(E$27:E$37,'Regler BFS 2026'!$D$12:$D$22)/E$38,0)</f>
        <v/>
      </c>
      <c r="F41" s="172">
        <f>IFERROR(SUMPRODUCT(F$27:F$37,'Regler BFS 2026'!$D$12:$D$22)/F$38,0)</f>
        <v/>
      </c>
      <c r="G41" s="172">
        <f>IFERROR(SUMPRODUCT(G$27:G$37,'Regler BFS 2026'!$D$12:$D$22)/G$38,0)</f>
        <v/>
      </c>
      <c r="H41" s="172">
        <f>IFERROR(SUMPRODUCT(H$27:H$37,'Regler BFS 2026'!$D$12:$D$22)/H$38,0)</f>
        <v/>
      </c>
      <c r="I41" s="172">
        <f>IFERROR(SUMPRODUCT(I$27:I$37,'Regler BFS 2026'!$D$12:$D$22)/I$38,0)</f>
        <v/>
      </c>
    </row>
    <row r="42" ht="15" customHeight="1">
      <c r="A42" s="37" t="inlineStr">
        <is>
          <t>Kategoritypiskt energibehov tappvarmvatten (kWh/m²,år)</t>
        </is>
      </c>
      <c r="C42" s="309">
        <f>IFERROR(SUMPRODUCT(C$27:C$37,'Regler BFS 2026'!$E$12:$E$22)/C$38,0)</f>
        <v/>
      </c>
      <c r="D42" s="309">
        <f>IFERROR(SUMPRODUCT(D$27:D$37,'Regler BFS 2026'!$E$12:$E$22)/D$38,0)</f>
        <v/>
      </c>
      <c r="E42" s="309">
        <f>IFERROR(SUMPRODUCT(E$27:E$37,'Regler BFS 2026'!$E$12:$E$22)/E$38,0)</f>
        <v/>
      </c>
      <c r="F42" s="309">
        <f>IFERROR(SUMPRODUCT(F$27:F$37,'Regler BFS 2026'!$E$12:$E$22)/F$38,0)</f>
        <v/>
      </c>
      <c r="G42" s="309">
        <f>IFERROR(SUMPRODUCT(G$27:G$37,'Regler BFS 2026'!$E$12:$E$22)/G$38,0)</f>
        <v/>
      </c>
      <c r="H42" s="309">
        <f>IFERROR(SUMPRODUCT(H$27:H$37,'Regler BFS 2026'!$E$12:$E$22)/H$38,0)</f>
        <v/>
      </c>
      <c r="I42" s="309">
        <f>IFERROR(SUMPRODUCT(I$27:I$37,'Regler BFS 2026'!$E$12:$E$22)/I$38,0)</f>
        <v/>
      </c>
    </row>
    <row r="44" ht="15" customHeight="1">
      <c r="A44" s="297" t="inlineStr">
        <is>
          <t>Faktisk internlast och tappvarmvatten</t>
        </is>
      </c>
    </row>
    <row r="45" ht="15" customHeight="1">
      <c r="A45" s="16" t="inlineStr">
        <is>
          <t>Byggnad</t>
        </is>
      </c>
      <c r="C45" s="16">
        <f>Byggnader!C12</f>
        <v/>
      </c>
      <c r="D45" s="16">
        <f>Byggnader!D12</f>
        <v/>
      </c>
      <c r="E45" s="16">
        <f>Byggnader!E12</f>
        <v/>
      </c>
      <c r="F45" s="16">
        <f>Byggnader!F12</f>
        <v/>
      </c>
      <c r="G45" s="16">
        <f>Byggnader!G12</f>
        <v/>
      </c>
      <c r="H45" s="16">
        <f>Byggnader!H12</f>
        <v/>
      </c>
      <c r="I45" s="16" t="inlineStr">
        <is>
          <t>Summa</t>
        </is>
      </c>
    </row>
    <row r="46" ht="15" customHeight="1">
      <c r="A46" s="37" t="inlineStr">
        <is>
          <t>Hushållsel (kWh/år)</t>
        </is>
      </c>
      <c r="C46" s="55">
        <f>El!C133</f>
        <v/>
      </c>
      <c r="D46" s="55">
        <f>El!D133</f>
        <v/>
      </c>
      <c r="E46" s="55">
        <f>El!E133</f>
        <v/>
      </c>
      <c r="F46" s="55">
        <f>El!F133</f>
        <v/>
      </c>
      <c r="G46" s="55">
        <f>El!G133</f>
        <v/>
      </c>
      <c r="H46" s="55">
        <f>El!H133</f>
        <v/>
      </c>
      <c r="I46" s="55">
        <f>SUM(C46:H46)</f>
        <v/>
      </c>
    </row>
    <row r="47" ht="15" customHeight="1">
      <c r="A47" s="37" t="inlineStr">
        <is>
          <t>Personvärme (W/m²)</t>
        </is>
      </c>
      <c r="C47" s="172">
        <f>IFERROR(Byggnader!C18*C17*$B$7*$B$8/24/C26,0)</f>
        <v/>
      </c>
      <c r="D47" s="172">
        <f>IFERROR(Byggnader!D18*D17*$B$7*$B$8/24/D26,0)</f>
        <v/>
      </c>
      <c r="E47" s="172">
        <f>IFERROR(Byggnader!E18*E17*$B$7*$B$8/24/E26,0)</f>
        <v/>
      </c>
      <c r="F47" s="172">
        <f>IFERROR(Byggnader!F18*F17*$B$7*$B$8/24/F26,0)</f>
        <v/>
      </c>
      <c r="G47" s="172">
        <f>IFERROR(Byggnader!G18*G17*$B$7*$B$8/24/G26,0)</f>
        <v/>
      </c>
      <c r="H47" s="172">
        <f>IFERROR(Byggnader!H18*H17*$B$7*$B$8/24/H26,0)</f>
        <v/>
      </c>
    </row>
    <row r="48" ht="15" customHeight="1">
      <c r="A48" s="37" t="inlineStr">
        <is>
          <t>Internlast från el (W/m²)</t>
        </is>
      </c>
      <c r="C48" s="172">
        <f>IFERROR((C46+C18)*$B$6*1000/8760/C26,0)</f>
        <v/>
      </c>
      <c r="D48" s="172">
        <f>IFERROR((D46+D18)*$B$6*1000/8760/D26,0)</f>
        <v/>
      </c>
      <c r="E48" s="172">
        <f>IFERROR((E46+E18)*$B$6*1000/8760/E26,0)</f>
        <v/>
      </c>
      <c r="F48" s="172">
        <f>IFERROR((F46+F18)*$B$6*1000/8760/F26,0)</f>
        <v/>
      </c>
      <c r="G48" s="172">
        <f>IFERROR((G46+G18)*$B$6*1000/8760/G26,0)</f>
        <v/>
      </c>
      <c r="H48" s="172">
        <f>IFERROR((H46+H18)*$B$6*1000/8760/H26,0)</f>
        <v/>
      </c>
    </row>
    <row r="49" ht="15" customHeight="1">
      <c r="A49" s="16" t="inlineStr">
        <is>
          <t>Genomsnittlig internlast (W/m²)</t>
        </is>
      </c>
      <c r="C49" s="172">
        <f>C47+C48</f>
        <v/>
      </c>
      <c r="D49" s="172">
        <f>D47+D48</f>
        <v/>
      </c>
      <c r="E49" s="172">
        <f>E47+E48</f>
        <v/>
      </c>
      <c r="F49" s="172">
        <f>F47+F48</f>
        <v/>
      </c>
      <c r="G49" s="172">
        <f>G47+G48</f>
        <v/>
      </c>
      <c r="H49" s="172">
        <f>H47+H48</f>
        <v/>
      </c>
      <c r="I49" s="172">
        <f>IFERROR(SUMPRODUCT(C49:H49,C26:H26)/I26,0)</f>
        <v/>
      </c>
    </row>
    <row r="50" ht="15" customHeight="1">
      <c r="A50" s="37" t="inlineStr">
        <is>
          <t>Vatten (m³)</t>
        </is>
      </c>
      <c r="C50" s="55">
        <f>SUMIF(Mätdata!$B$29:$B$36,Byggnader!C$12,Mätdata!$C$29:$C$36)+SUMIF(Mätdata!$B$29:$B$36,"Alla",Mätdata!$C$29:$C$36)*Byggnader!C$42</f>
        <v/>
      </c>
      <c r="D50" s="55">
        <f>SUMIF(Mätdata!$B$29:$B$36,Byggnader!D$12,Mätdata!$C$29:$C$36)+SUMIF(Mätdata!$B$29:$B$36,"Alla",Mätdata!$C$29:$C$36)*Byggnader!D$42</f>
        <v/>
      </c>
      <c r="E50" s="55">
        <f>SUMIF(Mätdata!$B$29:$B$36,Byggnader!E$12,Mätdata!$C$29:$C$36)+SUMIF(Mätdata!$B$29:$B$36,"Alla",Mätdata!$C$29:$C$36)*Byggnader!E$42</f>
        <v/>
      </c>
      <c r="F50" s="55">
        <f>SUMIF(Mätdata!$B$29:$B$36,Byggnader!F$12,Mätdata!$C$29:$C$36)+SUMIF(Mätdata!$B$29:$B$36,"Alla",Mätdata!$C$29:$C$36)*Byggnader!F$42</f>
        <v/>
      </c>
      <c r="G50" s="55">
        <f>SUMIF(Mätdata!$B$29:$B$36,Byggnader!G$12,Mätdata!$C$29:$C$36)+SUMIF(Mätdata!$B$29:$B$36,"Alla",Mätdata!$C$29:$C$36)*Byggnader!G$42</f>
        <v/>
      </c>
      <c r="H50" s="55">
        <f>SUMIF(Mätdata!$B$29:$B$36,Byggnader!H$12,Mätdata!$C$29:$C$36)+SUMIF(Mätdata!$B$29:$B$36,"Alla",Mätdata!$C$29:$C$36)*Byggnader!H$42</f>
        <v/>
      </c>
      <c r="I50" s="55">
        <f>SUM(C50:H50)</f>
        <v/>
      </c>
    </row>
    <row r="51" ht="15" customHeight="1">
      <c r="A51" s="37" t="inlineStr">
        <is>
          <t>Faktiskt energibehov tappvarmvatten (kWh/år)</t>
        </is>
      </c>
      <c r="C51" s="55">
        <f>IF(Mätdata!$C$37&gt;0,C50*Mätdata!$B$40*Mätdata!$B$41,Mätdata!$B$43*C26)</f>
        <v/>
      </c>
      <c r="D51" s="55">
        <f>IF(Mätdata!$C$37&gt;0,D50*Mätdata!$B$40*Mätdata!$B$41,Mätdata!$B$43*D26)</f>
        <v/>
      </c>
      <c r="E51" s="55">
        <f>IF(Mätdata!$C$37&gt;0,E50*Mätdata!$B$40*Mätdata!$B$41,Mätdata!$B$43*E26)</f>
        <v/>
      </c>
      <c r="F51" s="55">
        <f>IF(Mätdata!$C$37&gt;0,F50*Mätdata!$B$40*Mätdata!$B$41,Mätdata!$B$43*F26)</f>
        <v/>
      </c>
      <c r="G51" s="55">
        <f>IF(Mätdata!$C$37&gt;0,G50*Mätdata!$B$40*Mätdata!$B$41,Mätdata!$B$43*G26)</f>
        <v/>
      </c>
      <c r="H51" s="55">
        <f>IF(Mätdata!$C$37&gt;0,H50*Mätdata!$B$40*Mätdata!$B$41,Mätdata!$B$43*H26)</f>
        <v/>
      </c>
      <c r="I51" s="55">
        <f>SUM(C51:H51)</f>
        <v/>
      </c>
    </row>
    <row r="52" ht="15" customHeight="1">
      <c r="A52" s="37" t="inlineStr">
        <is>
          <t>Faktiskt energibehov tappvarmvatten (kWh/m²,år)</t>
        </is>
      </c>
      <c r="C52" s="309">
        <f>IFERROR(C51/C26,0)</f>
        <v/>
      </c>
      <c r="D52" s="309">
        <f>IFERROR(D51/D26,0)</f>
        <v/>
      </c>
      <c r="E52" s="309">
        <f>IFERROR(E51/E26,0)</f>
        <v/>
      </c>
      <c r="F52" s="309">
        <f>IFERROR(F51/F26,0)</f>
        <v/>
      </c>
      <c r="G52" s="309">
        <f>IFERROR(G51/G26,0)</f>
        <v/>
      </c>
      <c r="H52" s="309">
        <f>IFERROR(H51/H26,0)</f>
        <v/>
      </c>
      <c r="I52" s="309">
        <f>IFERROR(I51/I26,0)</f>
        <v/>
      </c>
    </row>
    <row r="53" ht="15" customHeight="1">
      <c r="A53" s="37" t="inlineStr">
        <is>
          <t>Levererad värme till tappvarmvatten (kWh/år)</t>
        </is>
      </c>
      <c r="C53" s="55">
        <f>IFERROR(C51/Mätdata!$B$42,0)</f>
        <v/>
      </c>
      <c r="D53" s="55">
        <f>IFERROR(D51/Mätdata!$B$42,0)</f>
        <v/>
      </c>
      <c r="E53" s="55">
        <f>IFERROR(E51/Mätdata!$B$42,0)</f>
        <v/>
      </c>
      <c r="F53" s="55">
        <f>IFERROR(F51/Mätdata!$B$42,0)</f>
        <v/>
      </c>
      <c r="G53" s="55">
        <f>IFERROR(G51/Mätdata!$B$42,0)</f>
        <v/>
      </c>
      <c r="H53" s="55">
        <f>IFERROR(H51/Mätdata!$B$42,0)</f>
        <v/>
      </c>
      <c r="I53" s="55">
        <f>SUM(C53:H53)</f>
        <v/>
      </c>
    </row>
    <row r="55" ht="15" customHeight="1">
      <c r="A55" s="297" t="inlineStr">
        <is>
          <t>Köpt energi per värmekälla, totalt (summa av raderna 150, 162 och 174)</t>
        </is>
      </c>
    </row>
    <row r="56" ht="15" customHeight="1">
      <c r="A56" s="16" t="inlineStr">
        <is>
          <t>Byggnad</t>
        </is>
      </c>
      <c r="C56" s="16">
        <f>Byggnader!C12</f>
        <v/>
      </c>
      <c r="D56" s="16">
        <f>Byggnader!D12</f>
        <v/>
      </c>
      <c r="E56" s="16">
        <f>Byggnader!E12</f>
        <v/>
      </c>
      <c r="F56" s="16">
        <f>Byggnader!F12</f>
        <v/>
      </c>
      <c r="G56" s="16">
        <f>Byggnader!G12</f>
        <v/>
      </c>
      <c r="H56" s="16">
        <f>Byggnader!H12</f>
        <v/>
      </c>
      <c r="I56" s="16" t="inlineStr">
        <is>
          <t>Summa</t>
        </is>
      </c>
    </row>
    <row r="57" ht="15" customHeight="1">
      <c r="A57" s="37" t="inlineStr">
        <is>
          <t>Fjärrvärme</t>
        </is>
      </c>
      <c r="C57" s="55">
        <f>C150+C162+C174</f>
        <v/>
      </c>
      <c r="D57" s="55">
        <f>D150+D162+D174</f>
        <v/>
      </c>
      <c r="E57" s="55">
        <f>E150+E162+E174</f>
        <v/>
      </c>
      <c r="F57" s="55">
        <f>F150+F162+F174</f>
        <v/>
      </c>
      <c r="G57" s="55">
        <f>G150+G162+G174</f>
        <v/>
      </c>
      <c r="H57" s="55">
        <f>H150+H162+H174</f>
        <v/>
      </c>
      <c r="I57" s="55">
        <f>SUM(C57:H57)</f>
        <v/>
      </c>
    </row>
    <row r="58" ht="15" customHeight="1">
      <c r="A58" s="37" t="inlineStr">
        <is>
          <t>Värmepump (el)</t>
        </is>
      </c>
      <c r="C58" s="55">
        <f>C151+C163+C175</f>
        <v/>
      </c>
      <c r="D58" s="55">
        <f>D151+D163+D175</f>
        <v/>
      </c>
      <c r="E58" s="55">
        <f>E151+E163+E175</f>
        <v/>
      </c>
      <c r="F58" s="55">
        <f>F151+F163+F175</f>
        <v/>
      </c>
      <c r="G58" s="55">
        <f>G151+G163+G175</f>
        <v/>
      </c>
      <c r="H58" s="55">
        <f>H151+H163+H175</f>
        <v/>
      </c>
      <c r="I58" s="55">
        <f>SUM(C58:H58)</f>
        <v/>
      </c>
    </row>
    <row r="59" ht="15" customHeight="1">
      <c r="A59" s="37" t="inlineStr">
        <is>
          <t>Elvärme</t>
        </is>
      </c>
      <c r="C59" s="55">
        <f>C152+C164+C176</f>
        <v/>
      </c>
      <c r="D59" s="55">
        <f>D152+D164+D176</f>
        <v/>
      </c>
      <c r="E59" s="55">
        <f>E152+E164+E176</f>
        <v/>
      </c>
      <c r="F59" s="55">
        <f>F152+F164+F176</f>
        <v/>
      </c>
      <c r="G59" s="55">
        <f>G152+G164+G176</f>
        <v/>
      </c>
      <c r="H59" s="55">
        <f>H152+H164+H176</f>
        <v/>
      </c>
      <c r="I59" s="55">
        <f>SUM(C59:H59)</f>
        <v/>
      </c>
    </row>
    <row r="60" ht="15" customHeight="1">
      <c r="A60" s="37" t="inlineStr">
        <is>
          <t>Olja</t>
        </is>
      </c>
      <c r="C60" s="55">
        <f>C153+C165+C177</f>
        <v/>
      </c>
      <c r="D60" s="55">
        <f>D153+D165+D177</f>
        <v/>
      </c>
      <c r="E60" s="55">
        <f>E153+E165+E177</f>
        <v/>
      </c>
      <c r="F60" s="55">
        <f>F153+F165+F177</f>
        <v/>
      </c>
      <c r="G60" s="55">
        <f>G153+G165+G177</f>
        <v/>
      </c>
      <c r="H60" s="55">
        <f>H153+H165+H177</f>
        <v/>
      </c>
      <c r="I60" s="55">
        <f>SUM(C60:H60)</f>
        <v/>
      </c>
    </row>
    <row r="61" ht="15" customHeight="1">
      <c r="A61" s="37" t="inlineStr">
        <is>
          <t>Gas</t>
        </is>
      </c>
      <c r="C61" s="55">
        <f>C154+C166+C178</f>
        <v/>
      </c>
      <c r="D61" s="55">
        <f>D154+D166+D178</f>
        <v/>
      </c>
      <c r="E61" s="55">
        <f>E154+E166+E178</f>
        <v/>
      </c>
      <c r="F61" s="55">
        <f>F154+F166+F178</f>
        <v/>
      </c>
      <c r="G61" s="55">
        <f>G154+G166+G178</f>
        <v/>
      </c>
      <c r="H61" s="55">
        <f>H154+H166+H178</f>
        <v/>
      </c>
      <c r="I61" s="55">
        <f>SUM(C61:H61)</f>
        <v/>
      </c>
    </row>
    <row r="62" ht="15" customHeight="1">
      <c r="A62" s="37" t="inlineStr">
        <is>
          <t>Pellets/flis/briketter</t>
        </is>
      </c>
      <c r="C62" s="55">
        <f>C155+C167+C179</f>
        <v/>
      </c>
      <c r="D62" s="55">
        <f>D155+D167+D179</f>
        <v/>
      </c>
      <c r="E62" s="55">
        <f>E155+E167+E179</f>
        <v/>
      </c>
      <c r="F62" s="55">
        <f>F155+F167+F179</f>
        <v/>
      </c>
      <c r="G62" s="55">
        <f>G155+G167+G179</f>
        <v/>
      </c>
      <c r="H62" s="55">
        <f>H155+H167+H179</f>
        <v/>
      </c>
      <c r="I62" s="55">
        <f>SUM(C62:H62)</f>
        <v/>
      </c>
    </row>
    <row r="63" ht="15" customHeight="1">
      <c r="A63" s="37" t="inlineStr">
        <is>
          <t>Ved</t>
        </is>
      </c>
      <c r="C63" s="55">
        <f>C156+C168+C180</f>
        <v/>
      </c>
      <c r="D63" s="55">
        <f>D156+D168+D180</f>
        <v/>
      </c>
      <c r="E63" s="55">
        <f>E156+E168+E180</f>
        <v/>
      </c>
      <c r="F63" s="55">
        <f>F156+F168+F180</f>
        <v/>
      </c>
      <c r="G63" s="55">
        <f>G156+G168+G180</f>
        <v/>
      </c>
      <c r="H63" s="55">
        <f>H156+H168+H180</f>
        <v/>
      </c>
      <c r="I63" s="55">
        <f>SUM(C63:H63)</f>
        <v/>
      </c>
    </row>
    <row r="64" ht="15" customHeight="1">
      <c r="A64" s="37" t="inlineStr">
        <is>
          <t>Övrigt biobränsle</t>
        </is>
      </c>
      <c r="C64" s="55">
        <f>C157+C169+C181</f>
        <v/>
      </c>
      <c r="D64" s="55">
        <f>D157+D169+D181</f>
        <v/>
      </c>
      <c r="E64" s="55">
        <f>E157+E169+E181</f>
        <v/>
      </c>
      <c r="F64" s="55">
        <f>F157+F169+F181</f>
        <v/>
      </c>
      <c r="G64" s="55">
        <f>G157+G169+G181</f>
        <v/>
      </c>
      <c r="H64" s="55">
        <f>H157+H169+H181</f>
        <v/>
      </c>
      <c r="I64" s="55">
        <f>SUM(C64:H64)</f>
        <v/>
      </c>
    </row>
    <row r="65" ht="15" customHeight="1">
      <c r="A65" s="16" t="inlineStr">
        <is>
          <t>Summa</t>
        </is>
      </c>
      <c r="C65" s="55">
        <f>SUM(C57:C64)</f>
        <v/>
      </c>
      <c r="D65" s="55">
        <f>SUM(D57:D64)</f>
        <v/>
      </c>
      <c r="E65" s="55">
        <f>SUM(E57:E64)</f>
        <v/>
      </c>
      <c r="F65" s="55">
        <f>SUM(F57:F64)</f>
        <v/>
      </c>
      <c r="G65" s="55">
        <f>SUM(G57:G64)</f>
        <v/>
      </c>
      <c r="H65" s="55">
        <f>SUM(H57:H64)</f>
        <v/>
      </c>
      <c r="I65" s="55">
        <f>SUM(I57:I64)</f>
        <v/>
      </c>
    </row>
    <row r="67" ht="15" customHeight="1">
      <c r="A67" s="297" t="inlineStr">
        <is>
          <t>Köpt energi tappvarmvatten (separat mätare + beräknad andel av kombinerad mätare)</t>
        </is>
      </c>
    </row>
    <row r="68" ht="15" customHeight="1">
      <c r="A68" s="16" t="inlineStr">
        <is>
          <t>Byggnad</t>
        </is>
      </c>
      <c r="C68" s="16">
        <f>Byggnader!C12</f>
        <v/>
      </c>
      <c r="D68" s="16">
        <f>Byggnader!D12</f>
        <v/>
      </c>
      <c r="E68" s="16">
        <f>Byggnader!E12</f>
        <v/>
      </c>
      <c r="F68" s="16">
        <f>Byggnader!F12</f>
        <v/>
      </c>
      <c r="G68" s="16">
        <f>Byggnader!G12</f>
        <v/>
      </c>
      <c r="H68" s="16">
        <f>Byggnader!H12</f>
        <v/>
      </c>
      <c r="I68" s="16" t="inlineStr">
        <is>
          <t>Summa</t>
        </is>
      </c>
    </row>
    <row r="69" ht="15" customHeight="1">
      <c r="A69" s="37" t="inlineStr">
        <is>
          <t>Fjärrvärme</t>
        </is>
      </c>
      <c r="C69" s="55">
        <f>C174+IFERROR(MIN(C150,MAX(0,C$53*Mätdata!$C$47/Mätdata!$D$47-C174)),0)</f>
        <v/>
      </c>
      <c r="D69" s="55">
        <f>D174+IFERROR(MIN(D150,MAX(0,D$53*Mätdata!$C$47/Mätdata!$D$47-D174)),0)</f>
        <v/>
      </c>
      <c r="E69" s="55">
        <f>E174+IFERROR(MIN(E150,MAX(0,E$53*Mätdata!$C$47/Mätdata!$D$47-E174)),0)</f>
        <v/>
      </c>
      <c r="F69" s="55">
        <f>F174+IFERROR(MIN(F150,MAX(0,F$53*Mätdata!$C$47/Mätdata!$D$47-F174)),0)</f>
        <v/>
      </c>
      <c r="G69" s="55">
        <f>G174+IFERROR(MIN(G150,MAX(0,G$53*Mätdata!$C$47/Mätdata!$D$47-G174)),0)</f>
        <v/>
      </c>
      <c r="H69" s="55">
        <f>H174+IFERROR(MIN(H150,MAX(0,H$53*Mätdata!$C$47/Mätdata!$D$47-H174)),0)</f>
        <v/>
      </c>
      <c r="I69" s="55">
        <f>SUM(C69:H69)</f>
        <v/>
      </c>
    </row>
    <row r="70" ht="15" customHeight="1">
      <c r="A70" s="37" t="inlineStr">
        <is>
          <t>Värmepump (el)</t>
        </is>
      </c>
      <c r="C70" s="55">
        <f>C175+IFERROR(MIN(C151,MAX(0,C$53*Mätdata!$C$48/Mätdata!$D$48-C175)),0)</f>
        <v/>
      </c>
      <c r="D70" s="55">
        <f>D175+IFERROR(MIN(D151,MAX(0,D$53*Mätdata!$C$48/Mätdata!$D$48-D175)),0)</f>
        <v/>
      </c>
      <c r="E70" s="55">
        <f>E175+IFERROR(MIN(E151,MAX(0,E$53*Mätdata!$C$48/Mätdata!$D$48-E175)),0)</f>
        <v/>
      </c>
      <c r="F70" s="55">
        <f>F175+IFERROR(MIN(F151,MAX(0,F$53*Mätdata!$C$48/Mätdata!$D$48-F175)),0)</f>
        <v/>
      </c>
      <c r="G70" s="55">
        <f>G175+IFERROR(MIN(G151,MAX(0,G$53*Mätdata!$C$48/Mätdata!$D$48-G175)),0)</f>
        <v/>
      </c>
      <c r="H70" s="55">
        <f>H175+IFERROR(MIN(H151,MAX(0,H$53*Mätdata!$C$48/Mätdata!$D$48-H175)),0)</f>
        <v/>
      </c>
      <c r="I70" s="55">
        <f>SUM(C70:H70)</f>
        <v/>
      </c>
    </row>
    <row r="71" ht="15" customHeight="1">
      <c r="A71" s="37" t="inlineStr">
        <is>
          <t>Elvärme</t>
        </is>
      </c>
      <c r="C71" s="55">
        <f>C176+IFERROR(MIN(C152,MAX(0,C$53*Mätdata!$C$49/Mätdata!$D$49-C176)),0)</f>
        <v/>
      </c>
      <c r="D71" s="55">
        <f>D176+IFERROR(MIN(D152,MAX(0,D$53*Mätdata!$C$49/Mätdata!$D$49-D176)),0)</f>
        <v/>
      </c>
      <c r="E71" s="55">
        <f>E176+IFERROR(MIN(E152,MAX(0,E$53*Mätdata!$C$49/Mätdata!$D$49-E176)),0)</f>
        <v/>
      </c>
      <c r="F71" s="55">
        <f>F176+IFERROR(MIN(F152,MAX(0,F$53*Mätdata!$C$49/Mätdata!$D$49-F176)),0)</f>
        <v/>
      </c>
      <c r="G71" s="55">
        <f>G176+IFERROR(MIN(G152,MAX(0,G$53*Mätdata!$C$49/Mätdata!$D$49-G176)),0)</f>
        <v/>
      </c>
      <c r="H71" s="55">
        <f>H176+IFERROR(MIN(H152,MAX(0,H$53*Mätdata!$C$49/Mätdata!$D$49-H176)),0)</f>
        <v/>
      </c>
      <c r="I71" s="55">
        <f>SUM(C71:H71)</f>
        <v/>
      </c>
    </row>
    <row r="72" ht="15" customHeight="1">
      <c r="A72" s="37" t="inlineStr">
        <is>
          <t>Olja</t>
        </is>
      </c>
      <c r="C72" s="55">
        <f>C177+IFERROR(MIN(C153,MAX(0,C$53*Mätdata!$C$50/Mätdata!$D$50-C177)),0)</f>
        <v/>
      </c>
      <c r="D72" s="55">
        <f>D177+IFERROR(MIN(D153,MAX(0,D$53*Mätdata!$C$50/Mätdata!$D$50-D177)),0)</f>
        <v/>
      </c>
      <c r="E72" s="55">
        <f>E177+IFERROR(MIN(E153,MAX(0,E$53*Mätdata!$C$50/Mätdata!$D$50-E177)),0)</f>
        <v/>
      </c>
      <c r="F72" s="55">
        <f>F177+IFERROR(MIN(F153,MAX(0,F$53*Mätdata!$C$50/Mätdata!$D$50-F177)),0)</f>
        <v/>
      </c>
      <c r="G72" s="55">
        <f>G177+IFERROR(MIN(G153,MAX(0,G$53*Mätdata!$C$50/Mätdata!$D$50-G177)),0)</f>
        <v/>
      </c>
      <c r="H72" s="55">
        <f>H177+IFERROR(MIN(H153,MAX(0,H$53*Mätdata!$C$50/Mätdata!$D$50-H177)),0)</f>
        <v/>
      </c>
      <c r="I72" s="55">
        <f>SUM(C72:H72)</f>
        <v/>
      </c>
    </row>
    <row r="73" ht="15" customHeight="1">
      <c r="A73" s="37" t="inlineStr">
        <is>
          <t>Gas</t>
        </is>
      </c>
      <c r="C73" s="55">
        <f>C178+IFERROR(MIN(C154,MAX(0,C$53*Mätdata!$C$51/Mätdata!$D$51-C178)),0)</f>
        <v/>
      </c>
      <c r="D73" s="55">
        <f>D178+IFERROR(MIN(D154,MAX(0,D$53*Mätdata!$C$51/Mätdata!$D$51-D178)),0)</f>
        <v/>
      </c>
      <c r="E73" s="55">
        <f>E178+IFERROR(MIN(E154,MAX(0,E$53*Mätdata!$C$51/Mätdata!$D$51-E178)),0)</f>
        <v/>
      </c>
      <c r="F73" s="55">
        <f>F178+IFERROR(MIN(F154,MAX(0,F$53*Mätdata!$C$51/Mätdata!$D$51-F178)),0)</f>
        <v/>
      </c>
      <c r="G73" s="55">
        <f>G178+IFERROR(MIN(G154,MAX(0,G$53*Mätdata!$C$51/Mätdata!$D$51-G178)),0)</f>
        <v/>
      </c>
      <c r="H73" s="55">
        <f>H178+IFERROR(MIN(H154,MAX(0,H$53*Mätdata!$C$51/Mätdata!$D$51-H178)),0)</f>
        <v/>
      </c>
      <c r="I73" s="55">
        <f>SUM(C73:H73)</f>
        <v/>
      </c>
    </row>
    <row r="74" ht="15" customHeight="1">
      <c r="A74" s="37" t="inlineStr">
        <is>
          <t>Pellets/flis/briketter</t>
        </is>
      </c>
      <c r="C74" s="55">
        <f>C179+IFERROR(MIN(C155,MAX(0,C$53*Mätdata!$C$52/Mätdata!$D$52-C179)),0)</f>
        <v/>
      </c>
      <c r="D74" s="55">
        <f>D179+IFERROR(MIN(D155,MAX(0,D$53*Mätdata!$C$52/Mätdata!$D$52-D179)),0)</f>
        <v/>
      </c>
      <c r="E74" s="55">
        <f>E179+IFERROR(MIN(E155,MAX(0,E$53*Mätdata!$C$52/Mätdata!$D$52-E179)),0)</f>
        <v/>
      </c>
      <c r="F74" s="55">
        <f>F179+IFERROR(MIN(F155,MAX(0,F$53*Mätdata!$C$52/Mätdata!$D$52-F179)),0)</f>
        <v/>
      </c>
      <c r="G74" s="55">
        <f>G179+IFERROR(MIN(G155,MAX(0,G$53*Mätdata!$C$52/Mätdata!$D$52-G179)),0)</f>
        <v/>
      </c>
      <c r="H74" s="55">
        <f>H179+IFERROR(MIN(H155,MAX(0,H$53*Mätdata!$C$52/Mätdata!$D$52-H179)),0)</f>
        <v/>
      </c>
      <c r="I74" s="55">
        <f>SUM(C74:H74)</f>
        <v/>
      </c>
    </row>
    <row r="75" ht="15" customHeight="1">
      <c r="A75" s="37" t="inlineStr">
        <is>
          <t>Ved</t>
        </is>
      </c>
      <c r="C75" s="55">
        <f>C180+IFERROR(MIN(C156,MAX(0,C$53*Mätdata!$C$53/Mätdata!$D$53-C180)),0)</f>
        <v/>
      </c>
      <c r="D75" s="55">
        <f>D180+IFERROR(MIN(D156,MAX(0,D$53*Mätdata!$C$53/Mätdata!$D$53-D180)),0)</f>
        <v/>
      </c>
      <c r="E75" s="55">
        <f>E180+IFERROR(MIN(E156,MAX(0,E$53*Mätdata!$C$53/Mätdata!$D$53-E180)),0)</f>
        <v/>
      </c>
      <c r="F75" s="55">
        <f>F180+IFERROR(MIN(F156,MAX(0,F$53*Mätdata!$C$53/Mätdata!$D$53-F180)),0)</f>
        <v/>
      </c>
      <c r="G75" s="55">
        <f>G180+IFERROR(MIN(G156,MAX(0,G$53*Mätdata!$C$53/Mätdata!$D$53-G180)),0)</f>
        <v/>
      </c>
      <c r="H75" s="55">
        <f>H180+IFERROR(MIN(H156,MAX(0,H$53*Mätdata!$C$53/Mätdata!$D$53-H180)),0)</f>
        <v/>
      </c>
      <c r="I75" s="55">
        <f>SUM(C75:H75)</f>
        <v/>
      </c>
    </row>
    <row r="76" ht="15" customHeight="1">
      <c r="A76" s="37" t="inlineStr">
        <is>
          <t>Övrigt biobränsle</t>
        </is>
      </c>
      <c r="C76" s="55">
        <f>C181+IFERROR(MIN(C157,MAX(0,C$53*Mätdata!$C$54/Mätdata!$D$54-C181)),0)</f>
        <v/>
      </c>
      <c r="D76" s="55">
        <f>D181+IFERROR(MIN(D157,MAX(0,D$53*Mätdata!$C$54/Mätdata!$D$54-D181)),0)</f>
        <v/>
      </c>
      <c r="E76" s="55">
        <f>E181+IFERROR(MIN(E157,MAX(0,E$53*Mätdata!$C$54/Mätdata!$D$54-E181)),0)</f>
        <v/>
      </c>
      <c r="F76" s="55">
        <f>F181+IFERROR(MIN(F157,MAX(0,F$53*Mätdata!$C$54/Mätdata!$D$54-F181)),0)</f>
        <v/>
      </c>
      <c r="G76" s="55">
        <f>G181+IFERROR(MIN(G157,MAX(0,G$53*Mätdata!$C$54/Mätdata!$D$54-G181)),0)</f>
        <v/>
      </c>
      <c r="H76" s="55">
        <f>H181+IFERROR(MIN(H157,MAX(0,H$53*Mätdata!$C$54/Mätdata!$D$54-H181)),0)</f>
        <v/>
      </c>
      <c r="I76" s="55">
        <f>SUM(C76:H76)</f>
        <v/>
      </c>
    </row>
    <row r="77" ht="15" customHeight="1">
      <c r="A77" s="16" t="inlineStr">
        <is>
          <t>Summa</t>
        </is>
      </c>
      <c r="C77" s="55">
        <f>SUM(C69:C76)</f>
        <v/>
      </c>
      <c r="D77" s="55">
        <f>SUM(D69:D76)</f>
        <v/>
      </c>
      <c r="E77" s="55">
        <f>SUM(E69:E76)</f>
        <v/>
      </c>
      <c r="F77" s="55">
        <f>SUM(F69:F76)</f>
        <v/>
      </c>
      <c r="G77" s="55">
        <f>SUM(G69:G76)</f>
        <v/>
      </c>
      <c r="H77" s="55">
        <f>SUM(H69:H76)</f>
        <v/>
      </c>
      <c r="I77" s="55">
        <f>SUM(I69:I76)</f>
        <v/>
      </c>
    </row>
    <row r="79" ht="15" customHeight="1">
      <c r="A79" s="297" t="inlineStr">
        <is>
          <t>Köpt energi uppvärmning (separat mätare + resten av kombinerad mätare)</t>
        </is>
      </c>
    </row>
    <row r="80" ht="15" customHeight="1">
      <c r="A80" s="16" t="inlineStr">
        <is>
          <t>Byggnad</t>
        </is>
      </c>
      <c r="C80" s="16">
        <f>Byggnader!C12</f>
        <v/>
      </c>
      <c r="D80" s="16">
        <f>Byggnader!D12</f>
        <v/>
      </c>
      <c r="E80" s="16">
        <f>Byggnader!E12</f>
        <v/>
      </c>
      <c r="F80" s="16">
        <f>Byggnader!F12</f>
        <v/>
      </c>
      <c r="G80" s="16">
        <f>Byggnader!G12</f>
        <v/>
      </c>
      <c r="H80" s="16">
        <f>Byggnader!H12</f>
        <v/>
      </c>
      <c r="I80" s="16" t="inlineStr">
        <is>
          <t>Summa</t>
        </is>
      </c>
    </row>
    <row r="81" ht="15" customHeight="1">
      <c r="A81" s="37" t="inlineStr">
        <is>
          <t>Fjärrvärme</t>
        </is>
      </c>
      <c r="C81" s="55">
        <f>MAX(0,C57-C69-IF(Mätdata!$B$57="Räknas bort",Mätdata!$B$56*Byggnader!C$39*IFERROR(Mätdata!$B$47/Mätdata!$B$55,0),0))</f>
        <v/>
      </c>
      <c r="D81" s="55">
        <f>MAX(0,D57-D69-IF(Mätdata!$B$57="Räknas bort",Mätdata!$B$56*Byggnader!D$39*IFERROR(Mätdata!$B$47/Mätdata!$B$55,0),0))</f>
        <v/>
      </c>
      <c r="E81" s="55">
        <f>MAX(0,E57-E69-IF(Mätdata!$B$57="Räknas bort",Mätdata!$B$56*Byggnader!E$39*IFERROR(Mätdata!$B$47/Mätdata!$B$55,0),0))</f>
        <v/>
      </c>
      <c r="F81" s="55">
        <f>MAX(0,F57-F69-IF(Mätdata!$B$57="Räknas bort",Mätdata!$B$56*Byggnader!F$39*IFERROR(Mätdata!$B$47/Mätdata!$B$55,0),0))</f>
        <v/>
      </c>
      <c r="G81" s="55">
        <f>MAX(0,G57-G69-IF(Mätdata!$B$57="Räknas bort",Mätdata!$B$56*Byggnader!G$39*IFERROR(Mätdata!$B$47/Mätdata!$B$55,0),0))</f>
        <v/>
      </c>
      <c r="H81" s="55">
        <f>MAX(0,H57-H69-IF(Mätdata!$B$57="Räknas bort",Mätdata!$B$56*Byggnader!H$39*IFERROR(Mätdata!$B$47/Mätdata!$B$55,0),0))</f>
        <v/>
      </c>
      <c r="I81" s="55">
        <f>SUM(C81:H81)</f>
        <v/>
      </c>
    </row>
    <row r="82" ht="15" customHeight="1">
      <c r="A82" s="37" t="inlineStr">
        <is>
          <t>Värmepump (el)</t>
        </is>
      </c>
      <c r="C82" s="55">
        <f>MAX(0,C58-C70-IF(Mätdata!$B$57="Räknas bort",Mätdata!$B$56*Byggnader!C$39*IFERROR(Mätdata!$B$48/Mätdata!$B$55,0),0))</f>
        <v/>
      </c>
      <c r="D82" s="55">
        <f>MAX(0,D58-D70-IF(Mätdata!$B$57="Räknas bort",Mätdata!$B$56*Byggnader!D$39*IFERROR(Mätdata!$B$48/Mätdata!$B$55,0),0))</f>
        <v/>
      </c>
      <c r="E82" s="55">
        <f>MAX(0,E58-E70-IF(Mätdata!$B$57="Räknas bort",Mätdata!$B$56*Byggnader!E$39*IFERROR(Mätdata!$B$48/Mätdata!$B$55,0),0))</f>
        <v/>
      </c>
      <c r="F82" s="55">
        <f>MAX(0,F58-F70-IF(Mätdata!$B$57="Räknas bort",Mätdata!$B$56*Byggnader!F$39*IFERROR(Mätdata!$B$48/Mätdata!$B$55,0),0))</f>
        <v/>
      </c>
      <c r="G82" s="55">
        <f>MAX(0,G58-G70-IF(Mätdata!$B$57="Räknas bort",Mätdata!$B$56*Byggnader!G$39*IFERROR(Mätdata!$B$48/Mätdata!$B$55,0),0))</f>
        <v/>
      </c>
      <c r="H82" s="55">
        <f>MAX(0,H58-H70-IF(Mätdata!$B$57="Räknas bort",Mätdata!$B$56*Byggnader!H$39*IFERROR(Mätdata!$B$48/Mätdata!$B$55,0),0))</f>
        <v/>
      </c>
      <c r="I82" s="55">
        <f>SUM(C82:H82)</f>
        <v/>
      </c>
    </row>
    <row r="83" ht="15" customHeight="1">
      <c r="A83" s="37" t="inlineStr">
        <is>
          <t>Elvärme</t>
        </is>
      </c>
      <c r="C83" s="55">
        <f>MAX(0,C59-C71-IF(Mätdata!$B$57="Räknas bort",Mätdata!$B$56*Byggnader!C$39*IFERROR(Mätdata!$B$49/Mätdata!$B$55,0),0))</f>
        <v/>
      </c>
      <c r="D83" s="55">
        <f>MAX(0,D59-D71-IF(Mätdata!$B$57="Räknas bort",Mätdata!$B$56*Byggnader!D$39*IFERROR(Mätdata!$B$49/Mätdata!$B$55,0),0))</f>
        <v/>
      </c>
      <c r="E83" s="55">
        <f>MAX(0,E59-E71-IF(Mätdata!$B$57="Räknas bort",Mätdata!$B$56*Byggnader!E$39*IFERROR(Mätdata!$B$49/Mätdata!$B$55,0),0))</f>
        <v/>
      </c>
      <c r="F83" s="55">
        <f>MAX(0,F59-F71-IF(Mätdata!$B$57="Räknas bort",Mätdata!$B$56*Byggnader!F$39*IFERROR(Mätdata!$B$49/Mätdata!$B$55,0),0))</f>
        <v/>
      </c>
      <c r="G83" s="55">
        <f>MAX(0,G59-G71-IF(Mätdata!$B$57="Räknas bort",Mätdata!$B$56*Byggnader!G$39*IFERROR(Mätdata!$B$49/Mätdata!$B$55,0),0))</f>
        <v/>
      </c>
      <c r="H83" s="55">
        <f>MAX(0,H59-H71-IF(Mätdata!$B$57="Räknas bort",Mätdata!$B$56*Byggnader!H$39*IFERROR(Mätdata!$B$49/Mätdata!$B$55,0),0))</f>
        <v/>
      </c>
      <c r="I83" s="55">
        <f>SUM(C83:H83)</f>
        <v/>
      </c>
    </row>
    <row r="84" ht="15" customHeight="1">
      <c r="A84" s="37" t="inlineStr">
        <is>
          <t>Olja</t>
        </is>
      </c>
      <c r="C84" s="55">
        <f>MAX(0,C60-C72-IF(Mätdata!$B$57="Räknas bort",Mätdata!$B$56*Byggnader!C$39*IFERROR(Mätdata!$B$50/Mätdata!$B$55,0),0))</f>
        <v/>
      </c>
      <c r="D84" s="55">
        <f>MAX(0,D60-D72-IF(Mätdata!$B$57="Räknas bort",Mätdata!$B$56*Byggnader!D$39*IFERROR(Mätdata!$B$50/Mätdata!$B$55,0),0))</f>
        <v/>
      </c>
      <c r="E84" s="55">
        <f>MAX(0,E60-E72-IF(Mätdata!$B$57="Räknas bort",Mätdata!$B$56*Byggnader!E$39*IFERROR(Mätdata!$B$50/Mätdata!$B$55,0),0))</f>
        <v/>
      </c>
      <c r="F84" s="55">
        <f>MAX(0,F60-F72-IF(Mätdata!$B$57="Räknas bort",Mätdata!$B$56*Byggnader!F$39*IFERROR(Mätdata!$B$50/Mätdata!$B$55,0),0))</f>
        <v/>
      </c>
      <c r="G84" s="55">
        <f>MAX(0,G60-G72-IF(Mätdata!$B$57="Räknas bort",Mätdata!$B$56*Byggnader!G$39*IFERROR(Mätdata!$B$50/Mätdata!$B$55,0),0))</f>
        <v/>
      </c>
      <c r="H84" s="55">
        <f>MAX(0,H60-H72-IF(Mätdata!$B$57="Räknas bort",Mätdata!$B$56*Byggnader!H$39*IFERROR(Mätdata!$B$50/Mätdata!$B$55,0),0))</f>
        <v/>
      </c>
      <c r="I84" s="55">
        <f>SUM(C84:H84)</f>
        <v/>
      </c>
    </row>
    <row r="85" ht="15" customHeight="1">
      <c r="A85" s="37" t="inlineStr">
        <is>
          <t>Gas</t>
        </is>
      </c>
      <c r="C85" s="55">
        <f>MAX(0,C61-C73-IF(Mätdata!$B$57="Räknas bort",Mätdata!$B$56*Byggnader!C$39*IFERROR(Mätdata!$B$51/Mätdata!$B$55,0),0))</f>
        <v/>
      </c>
      <c r="D85" s="55">
        <f>MAX(0,D61-D73-IF(Mätdata!$B$57="Räknas bort",Mätdata!$B$56*Byggnader!D$39*IFERROR(Mätdata!$B$51/Mätdata!$B$55,0),0))</f>
        <v/>
      </c>
      <c r="E85" s="55">
        <f>MAX(0,E61-E73-IF(Mätdata!$B$57="Räknas bort",Mätdata!$B$56*Byggnader!E$39*IFERROR(Mätdata!$B$51/Mätdata!$B$55,0),0))</f>
        <v/>
      </c>
      <c r="F85" s="55">
        <f>MAX(0,F61-F73-IF(Mätdata!$B$57="Räknas bort",Mätdata!$B$56*Byggnader!F$39*IFERROR(Mätdata!$B$51/Mätdata!$B$55,0),0))</f>
        <v/>
      </c>
      <c r="G85" s="55">
        <f>MAX(0,G61-G73-IF(Mätdata!$B$57="Räknas bort",Mätdata!$B$56*Byggnader!G$39*IFERROR(Mätdata!$B$51/Mätdata!$B$55,0),0))</f>
        <v/>
      </c>
      <c r="H85" s="55">
        <f>MAX(0,H61-H73-IF(Mätdata!$B$57="Räknas bort",Mätdata!$B$56*Byggnader!H$39*IFERROR(Mätdata!$B$51/Mätdata!$B$55,0),0))</f>
        <v/>
      </c>
      <c r="I85" s="55">
        <f>SUM(C85:H85)</f>
        <v/>
      </c>
    </row>
    <row r="86" ht="15" customHeight="1">
      <c r="A86" s="37" t="inlineStr">
        <is>
          <t>Pellets/flis/briketter</t>
        </is>
      </c>
      <c r="C86" s="55">
        <f>MAX(0,C62-C74-IF(Mätdata!$B$57="Räknas bort",Mätdata!$B$56*Byggnader!C$39*IFERROR(Mätdata!$B$52/Mätdata!$B$55,0),0))</f>
        <v/>
      </c>
      <c r="D86" s="55">
        <f>MAX(0,D62-D74-IF(Mätdata!$B$57="Räknas bort",Mätdata!$B$56*Byggnader!D$39*IFERROR(Mätdata!$B$52/Mätdata!$B$55,0),0))</f>
        <v/>
      </c>
      <c r="E86" s="55">
        <f>MAX(0,E62-E74-IF(Mätdata!$B$57="Räknas bort",Mätdata!$B$56*Byggnader!E$39*IFERROR(Mätdata!$B$52/Mätdata!$B$55,0),0))</f>
        <v/>
      </c>
      <c r="F86" s="55">
        <f>MAX(0,F62-F74-IF(Mätdata!$B$57="Räknas bort",Mätdata!$B$56*Byggnader!F$39*IFERROR(Mätdata!$B$52/Mätdata!$B$55,0),0))</f>
        <v/>
      </c>
      <c r="G86" s="55">
        <f>MAX(0,G62-G74-IF(Mätdata!$B$57="Räknas bort",Mätdata!$B$56*Byggnader!G$39*IFERROR(Mätdata!$B$52/Mätdata!$B$55,0),0))</f>
        <v/>
      </c>
      <c r="H86" s="55">
        <f>MAX(0,H62-H74-IF(Mätdata!$B$57="Räknas bort",Mätdata!$B$56*Byggnader!H$39*IFERROR(Mätdata!$B$52/Mätdata!$B$55,0),0))</f>
        <v/>
      </c>
      <c r="I86" s="55">
        <f>SUM(C86:H86)</f>
        <v/>
      </c>
    </row>
    <row r="87" ht="15" customHeight="1">
      <c r="A87" s="37" t="inlineStr">
        <is>
          <t>Ved</t>
        </is>
      </c>
      <c r="C87" s="55">
        <f>MAX(0,C63-C75-IF(Mätdata!$B$57="Räknas bort",Mätdata!$B$56*Byggnader!C$39*IFERROR(Mätdata!$B$53/Mätdata!$B$55,0),0))</f>
        <v/>
      </c>
      <c r="D87" s="55">
        <f>MAX(0,D63-D75-IF(Mätdata!$B$57="Räknas bort",Mätdata!$B$56*Byggnader!D$39*IFERROR(Mätdata!$B$53/Mätdata!$B$55,0),0))</f>
        <v/>
      </c>
      <c r="E87" s="55">
        <f>MAX(0,E63-E75-IF(Mätdata!$B$57="Räknas bort",Mätdata!$B$56*Byggnader!E$39*IFERROR(Mätdata!$B$53/Mätdata!$B$55,0),0))</f>
        <v/>
      </c>
      <c r="F87" s="55">
        <f>MAX(0,F63-F75-IF(Mätdata!$B$57="Räknas bort",Mätdata!$B$56*Byggnader!F$39*IFERROR(Mätdata!$B$53/Mätdata!$B$55,0),0))</f>
        <v/>
      </c>
      <c r="G87" s="55">
        <f>MAX(0,G63-G75-IF(Mätdata!$B$57="Räknas bort",Mätdata!$B$56*Byggnader!G$39*IFERROR(Mätdata!$B$53/Mätdata!$B$55,0),0))</f>
        <v/>
      </c>
      <c r="H87" s="55">
        <f>MAX(0,H63-H75-IF(Mätdata!$B$57="Räknas bort",Mätdata!$B$56*Byggnader!H$39*IFERROR(Mätdata!$B$53/Mätdata!$B$55,0),0))</f>
        <v/>
      </c>
      <c r="I87" s="55">
        <f>SUM(C87:H87)</f>
        <v/>
      </c>
    </row>
    <row r="88" ht="15" customHeight="1">
      <c r="A88" s="37" t="inlineStr">
        <is>
          <t>Övrigt biobränsle</t>
        </is>
      </c>
      <c r="C88" s="55">
        <f>MAX(0,C64-C76-IF(Mätdata!$B$57="Räknas bort",Mätdata!$B$56*Byggnader!C$39*IFERROR(Mätdata!$B$54/Mätdata!$B$55,0),0))</f>
        <v/>
      </c>
      <c r="D88" s="55">
        <f>MAX(0,D64-D76-IF(Mätdata!$B$57="Räknas bort",Mätdata!$B$56*Byggnader!D$39*IFERROR(Mätdata!$B$54/Mätdata!$B$55,0),0))</f>
        <v/>
      </c>
      <c r="E88" s="55">
        <f>MAX(0,E64-E76-IF(Mätdata!$B$57="Räknas bort",Mätdata!$B$56*Byggnader!E$39*IFERROR(Mätdata!$B$54/Mätdata!$B$55,0),0))</f>
        <v/>
      </c>
      <c r="F88" s="55">
        <f>MAX(0,F64-F76-IF(Mätdata!$B$57="Räknas bort",Mätdata!$B$56*Byggnader!F$39*IFERROR(Mätdata!$B$54/Mätdata!$B$55,0),0))</f>
        <v/>
      </c>
      <c r="G88" s="55">
        <f>MAX(0,G64-G76-IF(Mätdata!$B$57="Räknas bort",Mätdata!$B$56*Byggnader!G$39*IFERROR(Mätdata!$B$54/Mätdata!$B$55,0),0))</f>
        <v/>
      </c>
      <c r="H88" s="55">
        <f>MAX(0,H64-H76-IF(Mätdata!$B$57="Räknas bort",Mätdata!$B$56*Byggnader!H$39*IFERROR(Mätdata!$B$54/Mätdata!$B$55,0),0))</f>
        <v/>
      </c>
      <c r="I88" s="55">
        <f>SUM(C88:H88)</f>
        <v/>
      </c>
    </row>
    <row r="89" ht="15" customHeight="1">
      <c r="A89" s="16" t="inlineStr">
        <is>
          <t>Summa</t>
        </is>
      </c>
      <c r="C89" s="55">
        <f>SUM(C81:C88)</f>
        <v/>
      </c>
      <c r="D89" s="55">
        <f>SUM(D81:D88)</f>
        <v/>
      </c>
      <c r="E89" s="55">
        <f>SUM(E81:E88)</f>
        <v/>
      </c>
      <c r="F89" s="55">
        <f>SUM(F81:F88)</f>
        <v/>
      </c>
      <c r="G89" s="55">
        <f>SUM(G81:G88)</f>
        <v/>
      </c>
      <c r="H89" s="55">
        <f>SUM(H81:H88)</f>
        <v/>
      </c>
      <c r="I89" s="55">
        <f>SUM(I81:I88)</f>
        <v/>
      </c>
    </row>
    <row r="91" ht="15" customHeight="1">
      <c r="A91" s="297" t="inlineStr">
        <is>
          <t>Producerad värme för uppvärmning (köpt × verkningsgrad)</t>
        </is>
      </c>
    </row>
    <row r="92" ht="15" customHeight="1">
      <c r="A92" s="16" t="inlineStr">
        <is>
          <t>Byggnad</t>
        </is>
      </c>
      <c r="C92" s="16">
        <f>Byggnader!C12</f>
        <v/>
      </c>
      <c r="D92" s="16">
        <f>Byggnader!D12</f>
        <v/>
      </c>
      <c r="E92" s="16">
        <f>Byggnader!E12</f>
        <v/>
      </c>
      <c r="F92" s="16">
        <f>Byggnader!F12</f>
        <v/>
      </c>
      <c r="G92" s="16">
        <f>Byggnader!G12</f>
        <v/>
      </c>
      <c r="H92" s="16">
        <f>Byggnader!H12</f>
        <v/>
      </c>
      <c r="I92" s="16" t="inlineStr">
        <is>
          <t>Summa</t>
        </is>
      </c>
    </row>
    <row r="93" ht="15" customHeight="1">
      <c r="A93" s="37" t="inlineStr">
        <is>
          <t>Fjärrvärme</t>
        </is>
      </c>
      <c r="C93" s="55">
        <f>C81*Mätdata!$D$47</f>
        <v/>
      </c>
      <c r="D93" s="55">
        <f>D81*Mätdata!$D$47</f>
        <v/>
      </c>
      <c r="E93" s="55">
        <f>E81*Mätdata!$D$47</f>
        <v/>
      </c>
      <c r="F93" s="55">
        <f>F81*Mätdata!$D$47</f>
        <v/>
      </c>
      <c r="G93" s="55">
        <f>G81*Mätdata!$D$47</f>
        <v/>
      </c>
      <c r="H93" s="55">
        <f>H81*Mätdata!$D$47</f>
        <v/>
      </c>
      <c r="I93" s="55">
        <f>SUM(C93:H93)</f>
        <v/>
      </c>
    </row>
    <row r="94" ht="15" customHeight="1">
      <c r="A94" s="37" t="inlineStr">
        <is>
          <t>Värmepump (el)</t>
        </is>
      </c>
      <c r="C94" s="55">
        <f>C82*Mätdata!$D$48</f>
        <v/>
      </c>
      <c r="D94" s="55">
        <f>D82*Mätdata!$D$48</f>
        <v/>
      </c>
      <c r="E94" s="55">
        <f>E82*Mätdata!$D$48</f>
        <v/>
      </c>
      <c r="F94" s="55">
        <f>F82*Mätdata!$D$48</f>
        <v/>
      </c>
      <c r="G94" s="55">
        <f>G82*Mätdata!$D$48</f>
        <v/>
      </c>
      <c r="H94" s="55">
        <f>H82*Mätdata!$D$48</f>
        <v/>
      </c>
      <c r="I94" s="55">
        <f>SUM(C94:H94)</f>
        <v/>
      </c>
    </row>
    <row r="95" ht="15" customHeight="1">
      <c r="A95" s="37" t="inlineStr">
        <is>
          <t>Elvärme</t>
        </is>
      </c>
      <c r="C95" s="55">
        <f>C83*Mätdata!$D$49</f>
        <v/>
      </c>
      <c r="D95" s="55">
        <f>D83*Mätdata!$D$49</f>
        <v/>
      </c>
      <c r="E95" s="55">
        <f>E83*Mätdata!$D$49</f>
        <v/>
      </c>
      <c r="F95" s="55">
        <f>F83*Mätdata!$D$49</f>
        <v/>
      </c>
      <c r="G95" s="55">
        <f>G83*Mätdata!$D$49</f>
        <v/>
      </c>
      <c r="H95" s="55">
        <f>H83*Mätdata!$D$49</f>
        <v/>
      </c>
      <c r="I95" s="55">
        <f>SUM(C95:H95)</f>
        <v/>
      </c>
    </row>
    <row r="96" ht="15" customHeight="1">
      <c r="A96" s="37" t="inlineStr">
        <is>
          <t>Olja</t>
        </is>
      </c>
      <c r="C96" s="55">
        <f>C84*Mätdata!$D$50</f>
        <v/>
      </c>
      <c r="D96" s="55">
        <f>D84*Mätdata!$D$50</f>
        <v/>
      </c>
      <c r="E96" s="55">
        <f>E84*Mätdata!$D$50</f>
        <v/>
      </c>
      <c r="F96" s="55">
        <f>F84*Mätdata!$D$50</f>
        <v/>
      </c>
      <c r="G96" s="55">
        <f>G84*Mätdata!$D$50</f>
        <v/>
      </c>
      <c r="H96" s="55">
        <f>H84*Mätdata!$D$50</f>
        <v/>
      </c>
      <c r="I96" s="55">
        <f>SUM(C96:H96)</f>
        <v/>
      </c>
    </row>
    <row r="97" ht="15" customHeight="1">
      <c r="A97" s="37" t="inlineStr">
        <is>
          <t>Gas</t>
        </is>
      </c>
      <c r="C97" s="55">
        <f>C85*Mätdata!$D$51</f>
        <v/>
      </c>
      <c r="D97" s="55">
        <f>D85*Mätdata!$D$51</f>
        <v/>
      </c>
      <c r="E97" s="55">
        <f>E85*Mätdata!$D$51</f>
        <v/>
      </c>
      <c r="F97" s="55">
        <f>F85*Mätdata!$D$51</f>
        <v/>
      </c>
      <c r="G97" s="55">
        <f>G85*Mätdata!$D$51</f>
        <v/>
      </c>
      <c r="H97" s="55">
        <f>H85*Mätdata!$D$51</f>
        <v/>
      </c>
      <c r="I97" s="55">
        <f>SUM(C97:H97)</f>
        <v/>
      </c>
    </row>
    <row r="98" ht="15" customHeight="1">
      <c r="A98" s="37" t="inlineStr">
        <is>
          <t>Pellets/flis/briketter</t>
        </is>
      </c>
      <c r="C98" s="55">
        <f>C86*Mätdata!$D$52</f>
        <v/>
      </c>
      <c r="D98" s="55">
        <f>D86*Mätdata!$D$52</f>
        <v/>
      </c>
      <c r="E98" s="55">
        <f>E86*Mätdata!$D$52</f>
        <v/>
      </c>
      <c r="F98" s="55">
        <f>F86*Mätdata!$D$52</f>
        <v/>
      </c>
      <c r="G98" s="55">
        <f>G86*Mätdata!$D$52</f>
        <v/>
      </c>
      <c r="H98" s="55">
        <f>H86*Mätdata!$D$52</f>
        <v/>
      </c>
      <c r="I98" s="55">
        <f>SUM(C98:H98)</f>
        <v/>
      </c>
    </row>
    <row r="99" ht="15" customHeight="1">
      <c r="A99" s="37" t="inlineStr">
        <is>
          <t>Ved</t>
        </is>
      </c>
      <c r="C99" s="55">
        <f>C87*Mätdata!$D$53</f>
        <v/>
      </c>
      <c r="D99" s="55">
        <f>D87*Mätdata!$D$53</f>
        <v/>
      </c>
      <c r="E99" s="55">
        <f>E87*Mätdata!$D$53</f>
        <v/>
      </c>
      <c r="F99" s="55">
        <f>F87*Mätdata!$D$53</f>
        <v/>
      </c>
      <c r="G99" s="55">
        <f>G87*Mätdata!$D$53</f>
        <v/>
      </c>
      <c r="H99" s="55">
        <f>H87*Mätdata!$D$53</f>
        <v/>
      </c>
      <c r="I99" s="55">
        <f>SUM(C99:H99)</f>
        <v/>
      </c>
    </row>
    <row r="100" ht="15" customHeight="1">
      <c r="A100" s="37" t="inlineStr">
        <is>
          <t>Övrigt biobränsle</t>
        </is>
      </c>
      <c r="C100" s="55">
        <f>C88*Mätdata!$D$54</f>
        <v/>
      </c>
      <c r="D100" s="55">
        <f>D88*Mätdata!$D$54</f>
        <v/>
      </c>
      <c r="E100" s="55">
        <f>E88*Mätdata!$D$54</f>
        <v/>
      </c>
      <c r="F100" s="55">
        <f>F88*Mätdata!$D$54</f>
        <v/>
      </c>
      <c r="G100" s="55">
        <f>G88*Mätdata!$D$54</f>
        <v/>
      </c>
      <c r="H100" s="55">
        <f>H88*Mätdata!$D$54</f>
        <v/>
      </c>
      <c r="I100" s="55">
        <f>SUM(C100:H100)</f>
        <v/>
      </c>
    </row>
    <row r="101" ht="15" customHeight="1">
      <c r="A101" s="16" t="inlineStr">
        <is>
          <t>Summa</t>
        </is>
      </c>
      <c r="C101" s="55">
        <f>SUM(C93:C100)</f>
        <v/>
      </c>
      <c r="D101" s="55">
        <f>SUM(D93:D100)</f>
        <v/>
      </c>
      <c r="E101" s="55">
        <f>SUM(E93:E100)</f>
        <v/>
      </c>
      <c r="F101" s="55">
        <f>SUM(F93:F100)</f>
        <v/>
      </c>
      <c r="G101" s="55">
        <f>SUM(G93:G100)</f>
        <v/>
      </c>
      <c r="H101" s="55">
        <f>SUM(H93:H100)</f>
        <v/>
      </c>
      <c r="I101" s="55">
        <f>SUM(I93:I100)</f>
        <v/>
      </c>
    </row>
    <row r="103" ht="15" customHeight="1">
      <c r="A103" s="297" t="inlineStr">
        <is>
          <t>Normaliseringarnas påverkan på värmebehovet (kWh/år)</t>
        </is>
      </c>
    </row>
    <row r="104" ht="15" customHeight="1">
      <c r="A104" s="16" t="inlineStr">
        <is>
          <t>Byggnad</t>
        </is>
      </c>
      <c r="C104" s="16">
        <f>Byggnader!C12</f>
        <v/>
      </c>
      <c r="D104" s="16">
        <f>Byggnader!D12</f>
        <v/>
      </c>
      <c r="E104" s="16">
        <f>Byggnader!E12</f>
        <v/>
      </c>
      <c r="F104" s="16">
        <f>Byggnader!F12</f>
        <v/>
      </c>
      <c r="G104" s="16">
        <f>Byggnader!G12</f>
        <v/>
      </c>
      <c r="H104" s="16">
        <f>Byggnader!H12</f>
        <v/>
      </c>
      <c r="I104" s="16" t="inlineStr">
        <is>
          <t>Summa</t>
        </is>
      </c>
    </row>
    <row r="105" ht="15" customHeight="1">
      <c r="A105" s="37" t="inlineStr">
        <is>
          <t>Innetemperatur</t>
        </is>
      </c>
      <c r="C105" s="55">
        <f>IF(C$19="Ja",C101*$B$5*(C$39-C$14),0)</f>
        <v/>
      </c>
      <c r="D105" s="55">
        <f>IF(D$19="Ja",D101*$B$5*(D$39-D$14),0)</f>
        <v/>
      </c>
      <c r="E105" s="55">
        <f>IF(E$19="Ja",E101*$B$5*(E$39-E$14),0)</f>
        <v/>
      </c>
      <c r="F105" s="55">
        <f>IF(F$19="Ja",F101*$B$5*(F$39-F$14),0)</f>
        <v/>
      </c>
      <c r="G105" s="55">
        <f>IF(G$19="Ja",G101*$B$5*(G$39-G$14),0)</f>
        <v/>
      </c>
      <c r="H105" s="55">
        <f>IF(H$19="Ja",H101*$B$5*(H$39-H$14),0)</f>
        <v/>
      </c>
      <c r="I105" s="55">
        <f>SUM(C105:H105)</f>
        <v/>
      </c>
    </row>
    <row r="106" ht="15" customHeight="1">
      <c r="A106" s="37" t="inlineStr">
        <is>
          <t>Internlast</t>
        </is>
      </c>
      <c r="C106" s="55">
        <f>IF(C$21="Ja",(C$49-C$41)*C$26*$B$9/1000,0)</f>
        <v/>
      </c>
      <c r="D106" s="55">
        <f>IF(D$21="Ja",(D$49-D$41)*D$26*$B$9/1000,0)</f>
        <v/>
      </c>
      <c r="E106" s="55">
        <f>IF(E$21="Ja",(E$49-E$41)*E$26*$B$9/1000,0)</f>
        <v/>
      </c>
      <c r="F106" s="55">
        <f>IF(F$21="Ja",(F$49-F$41)*F$26*$B$9/1000,0)</f>
        <v/>
      </c>
      <c r="G106" s="55">
        <f>IF(G$21="Ja",(G$49-G$41)*G$26*$B$9/1000,0)</f>
        <v/>
      </c>
      <c r="H106" s="55">
        <f>IF(H$21="Ja",(H$49-H$41)*H$26*$B$9/1000,0)</f>
        <v/>
      </c>
      <c r="I106" s="55">
        <f>SUM(C106:H106)</f>
        <v/>
      </c>
    </row>
    <row r="107" ht="15" customHeight="1">
      <c r="A107" s="37" t="inlineStr">
        <is>
          <t>Uteluftsflöde</t>
        </is>
      </c>
      <c r="C107" s="55">
        <f>IF(C$20="Ja",-1.2*(C$15-C$40)/1000*C$26*$B$10*(1-C$16),0)</f>
        <v/>
      </c>
      <c r="D107" s="55">
        <f>IF(D$20="Ja",-1.2*(D$15-D$40)/1000*D$26*$B$10*(1-D$16),0)</f>
        <v/>
      </c>
      <c r="E107" s="55">
        <f>IF(E$20="Ja",-1.2*(E$15-E$40)/1000*E$26*$B$10*(1-E$16),0)</f>
        <v/>
      </c>
      <c r="F107" s="55">
        <f>IF(F$20="Ja",-1.2*(F$15-F$40)/1000*F$26*$B$10*(1-F$16),0)</f>
        <v/>
      </c>
      <c r="G107" s="55">
        <f>IF(G$20="Ja",-1.2*(G$15-G$40)/1000*G$26*$B$10*(1-G$16),0)</f>
        <v/>
      </c>
      <c r="H107" s="55">
        <f>IF(H$20="Ja",-1.2*(H$15-H$40)/1000*H$26*$B$10*(1-H$16),0)</f>
        <v/>
      </c>
      <c r="I107" s="55">
        <f>SUM(C107:H107)</f>
        <v/>
      </c>
    </row>
    <row r="108" ht="15" customHeight="1">
      <c r="A108" s="16" t="inlineStr">
        <is>
          <t>Summa</t>
        </is>
      </c>
      <c r="C108" s="55">
        <f>SUM(C105:C107)</f>
        <v/>
      </c>
      <c r="D108" s="55">
        <f>SUM(D105:D107)</f>
        <v/>
      </c>
      <c r="E108" s="55">
        <f>SUM(E105:E107)</f>
        <v/>
      </c>
      <c r="F108" s="55">
        <f>SUM(F105:F107)</f>
        <v/>
      </c>
      <c r="G108" s="55">
        <f>SUM(G105:G107)</f>
        <v/>
      </c>
      <c r="H108" s="55">
        <f>SUM(H105:H107)</f>
        <v/>
      </c>
      <c r="I108" s="55">
        <f>SUM(C108:H108)</f>
        <v/>
      </c>
    </row>
    <row r="110" ht="15" customHeight="1">
      <c r="A110" s="297" t="inlineStr">
        <is>
          <t>Normaliserad energi uppvärmning, ej klimatkorrigerad (till Gripen)</t>
        </is>
      </c>
    </row>
    <row r="111" ht="15" customHeight="1">
      <c r="A111" s="16" t="inlineStr">
        <is>
          <t>Byggnad</t>
        </is>
      </c>
      <c r="C111" s="16">
        <f>Byggnader!C12</f>
        <v/>
      </c>
      <c r="D111" s="16">
        <f>Byggnader!D12</f>
        <v/>
      </c>
      <c r="E111" s="16">
        <f>Byggnader!E12</f>
        <v/>
      </c>
      <c r="F111" s="16">
        <f>Byggnader!F12</f>
        <v/>
      </c>
      <c r="G111" s="16">
        <f>Byggnader!G12</f>
        <v/>
      </c>
      <c r="H111" s="16">
        <f>Byggnader!H12</f>
        <v/>
      </c>
      <c r="I111" s="16" t="inlineStr">
        <is>
          <t>Summa</t>
        </is>
      </c>
    </row>
    <row r="112" ht="15" customHeight="1">
      <c r="A112" s="37" t="inlineStr">
        <is>
          <t>Fjärrvärme</t>
        </is>
      </c>
      <c r="C112" s="55">
        <f>MAX(0,C81+IFERROR(C93/C$101*C$108/Mätdata!$D$47,0))</f>
        <v/>
      </c>
      <c r="D112" s="55">
        <f>MAX(0,D81+IFERROR(D93/D$101*D$108/Mätdata!$D$47,0))</f>
        <v/>
      </c>
      <c r="E112" s="55">
        <f>MAX(0,E81+IFERROR(E93/E$101*E$108/Mätdata!$D$47,0))</f>
        <v/>
      </c>
      <c r="F112" s="55">
        <f>MAX(0,F81+IFERROR(F93/F$101*F$108/Mätdata!$D$47,0))</f>
        <v/>
      </c>
      <c r="G112" s="55">
        <f>MAX(0,G81+IFERROR(G93/G$101*G$108/Mätdata!$D$47,0))</f>
        <v/>
      </c>
      <c r="H112" s="55">
        <f>MAX(0,H81+IFERROR(H93/H$101*H$108/Mätdata!$D$47,0))</f>
        <v/>
      </c>
      <c r="I112" s="55">
        <f>SUM(C112:H112)</f>
        <v/>
      </c>
    </row>
    <row r="113" ht="15" customHeight="1">
      <c r="A113" s="37" t="inlineStr">
        <is>
          <t>Värmepump (el)</t>
        </is>
      </c>
      <c r="C113" s="55">
        <f>MAX(0,C82+IFERROR(C94/C$101*C$108/Mätdata!$D$48,0))</f>
        <v/>
      </c>
      <c r="D113" s="55">
        <f>MAX(0,D82+IFERROR(D94/D$101*D$108/Mätdata!$D$48,0))</f>
        <v/>
      </c>
      <c r="E113" s="55">
        <f>MAX(0,E82+IFERROR(E94/E$101*E$108/Mätdata!$D$48,0))</f>
        <v/>
      </c>
      <c r="F113" s="55">
        <f>MAX(0,F82+IFERROR(F94/F$101*F$108/Mätdata!$D$48,0))</f>
        <v/>
      </c>
      <c r="G113" s="55">
        <f>MAX(0,G82+IFERROR(G94/G$101*G$108/Mätdata!$D$48,0))</f>
        <v/>
      </c>
      <c r="H113" s="55">
        <f>MAX(0,H82+IFERROR(H94/H$101*H$108/Mätdata!$D$48,0))</f>
        <v/>
      </c>
      <c r="I113" s="55">
        <f>SUM(C113:H113)</f>
        <v/>
      </c>
    </row>
    <row r="114" ht="15" customHeight="1">
      <c r="A114" s="37" t="inlineStr">
        <is>
          <t>Elvärme</t>
        </is>
      </c>
      <c r="C114" s="55">
        <f>MAX(0,C83+IFERROR(C95/C$101*C$108/Mätdata!$D$49,0))</f>
        <v/>
      </c>
      <c r="D114" s="55">
        <f>MAX(0,D83+IFERROR(D95/D$101*D$108/Mätdata!$D$49,0))</f>
        <v/>
      </c>
      <c r="E114" s="55">
        <f>MAX(0,E83+IFERROR(E95/E$101*E$108/Mätdata!$D$49,0))</f>
        <v/>
      </c>
      <c r="F114" s="55">
        <f>MAX(0,F83+IFERROR(F95/F$101*F$108/Mätdata!$D$49,0))</f>
        <v/>
      </c>
      <c r="G114" s="55">
        <f>MAX(0,G83+IFERROR(G95/G$101*G$108/Mätdata!$D$49,0))</f>
        <v/>
      </c>
      <c r="H114" s="55">
        <f>MAX(0,H83+IFERROR(H95/H$101*H$108/Mätdata!$D$49,0))</f>
        <v/>
      </c>
      <c r="I114" s="55">
        <f>SUM(C114:H114)</f>
        <v/>
      </c>
    </row>
    <row r="115" ht="15" customHeight="1">
      <c r="A115" s="37" t="inlineStr">
        <is>
          <t>Olja</t>
        </is>
      </c>
      <c r="C115" s="55">
        <f>MAX(0,C84+IFERROR(C96/C$101*C$108/Mätdata!$D$50,0))</f>
        <v/>
      </c>
      <c r="D115" s="55">
        <f>MAX(0,D84+IFERROR(D96/D$101*D$108/Mätdata!$D$50,0))</f>
        <v/>
      </c>
      <c r="E115" s="55">
        <f>MAX(0,E84+IFERROR(E96/E$101*E$108/Mätdata!$D$50,0))</f>
        <v/>
      </c>
      <c r="F115" s="55">
        <f>MAX(0,F84+IFERROR(F96/F$101*F$108/Mätdata!$D$50,0))</f>
        <v/>
      </c>
      <c r="G115" s="55">
        <f>MAX(0,G84+IFERROR(G96/G$101*G$108/Mätdata!$D$50,0))</f>
        <v/>
      </c>
      <c r="H115" s="55">
        <f>MAX(0,H84+IFERROR(H96/H$101*H$108/Mätdata!$D$50,0))</f>
        <v/>
      </c>
      <c r="I115" s="55">
        <f>SUM(C115:H115)</f>
        <v/>
      </c>
    </row>
    <row r="116" ht="15" customHeight="1">
      <c r="A116" s="37" t="inlineStr">
        <is>
          <t>Gas</t>
        </is>
      </c>
      <c r="C116" s="55">
        <f>MAX(0,C85+IFERROR(C97/C$101*C$108/Mätdata!$D$51,0))</f>
        <v/>
      </c>
      <c r="D116" s="55">
        <f>MAX(0,D85+IFERROR(D97/D$101*D$108/Mätdata!$D$51,0))</f>
        <v/>
      </c>
      <c r="E116" s="55">
        <f>MAX(0,E85+IFERROR(E97/E$101*E$108/Mätdata!$D$51,0))</f>
        <v/>
      </c>
      <c r="F116" s="55">
        <f>MAX(0,F85+IFERROR(F97/F$101*F$108/Mätdata!$D$51,0))</f>
        <v/>
      </c>
      <c r="G116" s="55">
        <f>MAX(0,G85+IFERROR(G97/G$101*G$108/Mätdata!$D$51,0))</f>
        <v/>
      </c>
      <c r="H116" s="55">
        <f>MAX(0,H85+IFERROR(H97/H$101*H$108/Mätdata!$D$51,0))</f>
        <v/>
      </c>
      <c r="I116" s="55">
        <f>SUM(C116:H116)</f>
        <v/>
      </c>
    </row>
    <row r="117" ht="15" customHeight="1">
      <c r="A117" s="37" t="inlineStr">
        <is>
          <t>Pellets/flis/briketter</t>
        </is>
      </c>
      <c r="C117" s="55">
        <f>MAX(0,C86+IFERROR(C98/C$101*C$108/Mätdata!$D$52,0))</f>
        <v/>
      </c>
      <c r="D117" s="55">
        <f>MAX(0,D86+IFERROR(D98/D$101*D$108/Mätdata!$D$52,0))</f>
        <v/>
      </c>
      <c r="E117" s="55">
        <f>MAX(0,E86+IFERROR(E98/E$101*E$108/Mätdata!$D$52,0))</f>
        <v/>
      </c>
      <c r="F117" s="55">
        <f>MAX(0,F86+IFERROR(F98/F$101*F$108/Mätdata!$D$52,0))</f>
        <v/>
      </c>
      <c r="G117" s="55">
        <f>MAX(0,G86+IFERROR(G98/G$101*G$108/Mätdata!$D$52,0))</f>
        <v/>
      </c>
      <c r="H117" s="55">
        <f>MAX(0,H86+IFERROR(H98/H$101*H$108/Mätdata!$D$52,0))</f>
        <v/>
      </c>
      <c r="I117" s="55">
        <f>SUM(C117:H117)</f>
        <v/>
      </c>
    </row>
    <row r="118" ht="15" customHeight="1">
      <c r="A118" s="37" t="inlineStr">
        <is>
          <t>Ved</t>
        </is>
      </c>
      <c r="C118" s="55">
        <f>MAX(0,C87+IFERROR(C99/C$101*C$108/Mätdata!$D$53,0))</f>
        <v/>
      </c>
      <c r="D118" s="55">
        <f>MAX(0,D87+IFERROR(D99/D$101*D$108/Mätdata!$D$53,0))</f>
        <v/>
      </c>
      <c r="E118" s="55">
        <f>MAX(0,E87+IFERROR(E99/E$101*E$108/Mätdata!$D$53,0))</f>
        <v/>
      </c>
      <c r="F118" s="55">
        <f>MAX(0,F87+IFERROR(F99/F$101*F$108/Mätdata!$D$53,0))</f>
        <v/>
      </c>
      <c r="G118" s="55">
        <f>MAX(0,G87+IFERROR(G99/G$101*G$108/Mätdata!$D$53,0))</f>
        <v/>
      </c>
      <c r="H118" s="55">
        <f>MAX(0,H87+IFERROR(H99/H$101*H$108/Mätdata!$D$53,0))</f>
        <v/>
      </c>
      <c r="I118" s="55">
        <f>SUM(C118:H118)</f>
        <v/>
      </c>
    </row>
    <row r="119" ht="15" customHeight="1">
      <c r="A119" s="37" t="inlineStr">
        <is>
          <t>Övrigt biobränsle</t>
        </is>
      </c>
      <c r="C119" s="55">
        <f>MAX(0,C88+IFERROR(C100/C$101*C$108/Mätdata!$D$54,0))</f>
        <v/>
      </c>
      <c r="D119" s="55">
        <f>MAX(0,D88+IFERROR(D100/D$101*D$108/Mätdata!$D$54,0))</f>
        <v/>
      </c>
      <c r="E119" s="55">
        <f>MAX(0,E88+IFERROR(E100/E$101*E$108/Mätdata!$D$54,0))</f>
        <v/>
      </c>
      <c r="F119" s="55">
        <f>MAX(0,F88+IFERROR(F100/F$101*F$108/Mätdata!$D$54,0))</f>
        <v/>
      </c>
      <c r="G119" s="55">
        <f>MAX(0,G88+IFERROR(G100/G$101*G$108/Mätdata!$D$54,0))</f>
        <v/>
      </c>
      <c r="H119" s="55">
        <f>MAX(0,H88+IFERROR(H100/H$101*H$108/Mätdata!$D$54,0))</f>
        <v/>
      </c>
      <c r="I119" s="55">
        <f>SUM(C119:H119)</f>
        <v/>
      </c>
    </row>
    <row r="120" ht="15" customHeight="1">
      <c r="A120" s="16" t="inlineStr">
        <is>
          <t>Summa</t>
        </is>
      </c>
      <c r="C120" s="55">
        <f>SUM(C112:C119)</f>
        <v/>
      </c>
      <c r="D120" s="55">
        <f>SUM(D112:D119)</f>
        <v/>
      </c>
      <c r="E120" s="55">
        <f>SUM(E112:E119)</f>
        <v/>
      </c>
      <c r="F120" s="55">
        <f>SUM(F112:F119)</f>
        <v/>
      </c>
      <c r="G120" s="55">
        <f>SUM(G112:G119)</f>
        <v/>
      </c>
      <c r="H120" s="55">
        <f>SUM(H112:H119)</f>
        <v/>
      </c>
      <c r="I120" s="55">
        <f>SUM(I112:I119)</f>
        <v/>
      </c>
    </row>
    <row r="122" ht="15" customHeight="1">
      <c r="A122" s="297" t="inlineStr">
        <is>
          <t>Normaliserad energi tappvarmvatten (till Gripen)</t>
        </is>
      </c>
    </row>
    <row r="123" ht="15" customHeight="1">
      <c r="A123" s="16" t="inlineStr">
        <is>
          <t>Byggnad</t>
        </is>
      </c>
      <c r="C123" s="16">
        <f>Byggnader!C12</f>
        <v/>
      </c>
      <c r="D123" s="16">
        <f>Byggnader!D12</f>
        <v/>
      </c>
      <c r="E123" s="16">
        <f>Byggnader!E12</f>
        <v/>
      </c>
      <c r="F123" s="16">
        <f>Byggnader!F12</f>
        <v/>
      </c>
      <c r="G123" s="16">
        <f>Byggnader!G12</f>
        <v/>
      </c>
      <c r="H123" s="16">
        <f>Byggnader!H12</f>
        <v/>
      </c>
      <c r="I123" s="16" t="inlineStr">
        <is>
          <t>Summa</t>
        </is>
      </c>
    </row>
    <row r="124" ht="15" customHeight="1">
      <c r="A124" s="37" t="inlineStr">
        <is>
          <t>Fjärrvärme</t>
        </is>
      </c>
      <c r="C124" s="55">
        <f>IF(C$22="Ja",IFERROR(C$42*C$26/Mätdata!$B$42*Mätdata!$C$47/Mätdata!$D$47,0),C69)</f>
        <v/>
      </c>
      <c r="D124" s="55">
        <f>IF(D$22="Ja",IFERROR(D$42*D$26/Mätdata!$B$42*Mätdata!$C$47/Mätdata!$D$47,0),D69)</f>
        <v/>
      </c>
      <c r="E124" s="55">
        <f>IF(E$22="Ja",IFERROR(E$42*E$26/Mätdata!$B$42*Mätdata!$C$47/Mätdata!$D$47,0),E69)</f>
        <v/>
      </c>
      <c r="F124" s="55">
        <f>IF(F$22="Ja",IFERROR(F$42*F$26/Mätdata!$B$42*Mätdata!$C$47/Mätdata!$D$47,0),F69)</f>
        <v/>
      </c>
      <c r="G124" s="55">
        <f>IF(G$22="Ja",IFERROR(G$42*G$26/Mätdata!$B$42*Mätdata!$C$47/Mätdata!$D$47,0),G69)</f>
        <v/>
      </c>
      <c r="H124" s="55">
        <f>IF(H$22="Ja",IFERROR(H$42*H$26/Mätdata!$B$42*Mätdata!$C$47/Mätdata!$D$47,0),H69)</f>
        <v/>
      </c>
      <c r="I124" s="55">
        <f>SUM(C124:H124)</f>
        <v/>
      </c>
    </row>
    <row r="125" ht="15" customHeight="1">
      <c r="A125" s="37" t="inlineStr">
        <is>
          <t>Värmepump (el)</t>
        </is>
      </c>
      <c r="C125" s="55">
        <f>IF(C$22="Ja",IFERROR(C$42*C$26/Mätdata!$B$42*Mätdata!$C$48/Mätdata!$D$48,0),C70)</f>
        <v/>
      </c>
      <c r="D125" s="55">
        <f>IF(D$22="Ja",IFERROR(D$42*D$26/Mätdata!$B$42*Mätdata!$C$48/Mätdata!$D$48,0),D70)</f>
        <v/>
      </c>
      <c r="E125" s="55">
        <f>IF(E$22="Ja",IFERROR(E$42*E$26/Mätdata!$B$42*Mätdata!$C$48/Mätdata!$D$48,0),E70)</f>
        <v/>
      </c>
      <c r="F125" s="55">
        <f>IF(F$22="Ja",IFERROR(F$42*F$26/Mätdata!$B$42*Mätdata!$C$48/Mätdata!$D$48,0),F70)</f>
        <v/>
      </c>
      <c r="G125" s="55">
        <f>IF(G$22="Ja",IFERROR(G$42*G$26/Mätdata!$B$42*Mätdata!$C$48/Mätdata!$D$48,0),G70)</f>
        <v/>
      </c>
      <c r="H125" s="55">
        <f>IF(H$22="Ja",IFERROR(H$42*H$26/Mätdata!$B$42*Mätdata!$C$48/Mätdata!$D$48,0),H70)</f>
        <v/>
      </c>
      <c r="I125" s="55">
        <f>SUM(C125:H125)</f>
        <v/>
      </c>
    </row>
    <row r="126" ht="15" customHeight="1">
      <c r="A126" s="37" t="inlineStr">
        <is>
          <t>Elvärme</t>
        </is>
      </c>
      <c r="C126" s="55">
        <f>IF(C$22="Ja",IFERROR(C$42*C$26/Mätdata!$B$42*Mätdata!$C$49/Mätdata!$D$49,0),C71)</f>
        <v/>
      </c>
      <c r="D126" s="55">
        <f>IF(D$22="Ja",IFERROR(D$42*D$26/Mätdata!$B$42*Mätdata!$C$49/Mätdata!$D$49,0),D71)</f>
        <v/>
      </c>
      <c r="E126" s="55">
        <f>IF(E$22="Ja",IFERROR(E$42*E$26/Mätdata!$B$42*Mätdata!$C$49/Mätdata!$D$49,0),E71)</f>
        <v/>
      </c>
      <c r="F126" s="55">
        <f>IF(F$22="Ja",IFERROR(F$42*F$26/Mätdata!$B$42*Mätdata!$C$49/Mätdata!$D$49,0),F71)</f>
        <v/>
      </c>
      <c r="G126" s="55">
        <f>IF(G$22="Ja",IFERROR(G$42*G$26/Mätdata!$B$42*Mätdata!$C$49/Mätdata!$D$49,0),G71)</f>
        <v/>
      </c>
      <c r="H126" s="55">
        <f>IF(H$22="Ja",IFERROR(H$42*H$26/Mätdata!$B$42*Mätdata!$C$49/Mätdata!$D$49,0),H71)</f>
        <v/>
      </c>
      <c r="I126" s="55">
        <f>SUM(C126:H126)</f>
        <v/>
      </c>
    </row>
    <row r="127" ht="15" customHeight="1">
      <c r="A127" s="37" t="inlineStr">
        <is>
          <t>Olja</t>
        </is>
      </c>
      <c r="C127" s="55">
        <f>IF(C$22="Ja",IFERROR(C$42*C$26/Mätdata!$B$42*Mätdata!$C$50/Mätdata!$D$50,0),C72)</f>
        <v/>
      </c>
      <c r="D127" s="55">
        <f>IF(D$22="Ja",IFERROR(D$42*D$26/Mätdata!$B$42*Mätdata!$C$50/Mätdata!$D$50,0),D72)</f>
        <v/>
      </c>
      <c r="E127" s="55">
        <f>IF(E$22="Ja",IFERROR(E$42*E$26/Mätdata!$B$42*Mätdata!$C$50/Mätdata!$D$50,0),E72)</f>
        <v/>
      </c>
      <c r="F127" s="55">
        <f>IF(F$22="Ja",IFERROR(F$42*F$26/Mätdata!$B$42*Mätdata!$C$50/Mätdata!$D$50,0),F72)</f>
        <v/>
      </c>
      <c r="G127" s="55">
        <f>IF(G$22="Ja",IFERROR(G$42*G$26/Mätdata!$B$42*Mätdata!$C$50/Mätdata!$D$50,0),G72)</f>
        <v/>
      </c>
      <c r="H127" s="55">
        <f>IF(H$22="Ja",IFERROR(H$42*H$26/Mätdata!$B$42*Mätdata!$C$50/Mätdata!$D$50,0),H72)</f>
        <v/>
      </c>
      <c r="I127" s="55">
        <f>SUM(C127:H127)</f>
        <v/>
      </c>
    </row>
    <row r="128" ht="15" customHeight="1">
      <c r="A128" s="37" t="inlineStr">
        <is>
          <t>Gas</t>
        </is>
      </c>
      <c r="C128" s="55">
        <f>IF(C$22="Ja",IFERROR(C$42*C$26/Mätdata!$B$42*Mätdata!$C$51/Mätdata!$D$51,0),C73)</f>
        <v/>
      </c>
      <c r="D128" s="55">
        <f>IF(D$22="Ja",IFERROR(D$42*D$26/Mätdata!$B$42*Mätdata!$C$51/Mätdata!$D$51,0),D73)</f>
        <v/>
      </c>
      <c r="E128" s="55">
        <f>IF(E$22="Ja",IFERROR(E$42*E$26/Mätdata!$B$42*Mätdata!$C$51/Mätdata!$D$51,0),E73)</f>
        <v/>
      </c>
      <c r="F128" s="55">
        <f>IF(F$22="Ja",IFERROR(F$42*F$26/Mätdata!$B$42*Mätdata!$C$51/Mätdata!$D$51,0),F73)</f>
        <v/>
      </c>
      <c r="G128" s="55">
        <f>IF(G$22="Ja",IFERROR(G$42*G$26/Mätdata!$B$42*Mätdata!$C$51/Mätdata!$D$51,0),G73)</f>
        <v/>
      </c>
      <c r="H128" s="55">
        <f>IF(H$22="Ja",IFERROR(H$42*H$26/Mätdata!$B$42*Mätdata!$C$51/Mätdata!$D$51,0),H73)</f>
        <v/>
      </c>
      <c r="I128" s="55">
        <f>SUM(C128:H128)</f>
        <v/>
      </c>
    </row>
    <row r="129" ht="15" customHeight="1">
      <c r="A129" s="37" t="inlineStr">
        <is>
          <t>Pellets/flis/briketter</t>
        </is>
      </c>
      <c r="C129" s="55">
        <f>IF(C$22="Ja",IFERROR(C$42*C$26/Mätdata!$B$42*Mätdata!$C$52/Mätdata!$D$52,0),C74)</f>
        <v/>
      </c>
      <c r="D129" s="55">
        <f>IF(D$22="Ja",IFERROR(D$42*D$26/Mätdata!$B$42*Mätdata!$C$52/Mätdata!$D$52,0),D74)</f>
        <v/>
      </c>
      <c r="E129" s="55">
        <f>IF(E$22="Ja",IFERROR(E$42*E$26/Mätdata!$B$42*Mätdata!$C$52/Mätdata!$D$52,0),E74)</f>
        <v/>
      </c>
      <c r="F129" s="55">
        <f>IF(F$22="Ja",IFERROR(F$42*F$26/Mätdata!$B$42*Mätdata!$C$52/Mätdata!$D$52,0),F74)</f>
        <v/>
      </c>
      <c r="G129" s="55">
        <f>IF(G$22="Ja",IFERROR(G$42*G$26/Mätdata!$B$42*Mätdata!$C$52/Mätdata!$D$52,0),G74)</f>
        <v/>
      </c>
      <c r="H129" s="55">
        <f>IF(H$22="Ja",IFERROR(H$42*H$26/Mätdata!$B$42*Mätdata!$C$52/Mätdata!$D$52,0),H74)</f>
        <v/>
      </c>
      <c r="I129" s="55">
        <f>SUM(C129:H129)</f>
        <v/>
      </c>
    </row>
    <row r="130" ht="15" customHeight="1">
      <c r="A130" s="37" t="inlineStr">
        <is>
          <t>Ved</t>
        </is>
      </c>
      <c r="C130" s="55">
        <f>IF(C$22="Ja",IFERROR(C$42*C$26/Mätdata!$B$42*Mätdata!$C$53/Mätdata!$D$53,0),C75)</f>
        <v/>
      </c>
      <c r="D130" s="55">
        <f>IF(D$22="Ja",IFERROR(D$42*D$26/Mätdata!$B$42*Mätdata!$C$53/Mätdata!$D$53,0),D75)</f>
        <v/>
      </c>
      <c r="E130" s="55">
        <f>IF(E$22="Ja",IFERROR(E$42*E$26/Mätdata!$B$42*Mätdata!$C$53/Mätdata!$D$53,0),E75)</f>
        <v/>
      </c>
      <c r="F130" s="55">
        <f>IF(F$22="Ja",IFERROR(F$42*F$26/Mätdata!$B$42*Mätdata!$C$53/Mätdata!$D$53,0),F75)</f>
        <v/>
      </c>
      <c r="G130" s="55">
        <f>IF(G$22="Ja",IFERROR(G$42*G$26/Mätdata!$B$42*Mätdata!$C$53/Mätdata!$D$53,0),G75)</f>
        <v/>
      </c>
      <c r="H130" s="55">
        <f>IF(H$22="Ja",IFERROR(H$42*H$26/Mätdata!$B$42*Mätdata!$C$53/Mätdata!$D$53,0),H75)</f>
        <v/>
      </c>
      <c r="I130" s="55">
        <f>SUM(C130:H130)</f>
        <v/>
      </c>
    </row>
    <row r="131" ht="15" customHeight="1">
      <c r="A131" s="37" t="inlineStr">
        <is>
          <t>Övrigt biobränsle</t>
        </is>
      </c>
      <c r="C131" s="55">
        <f>IF(C$22="Ja",IFERROR(C$42*C$26/Mätdata!$B$42*Mätdata!$C$54/Mätdata!$D$54,0),C76)</f>
        <v/>
      </c>
      <c r="D131" s="55">
        <f>IF(D$22="Ja",IFERROR(D$42*D$26/Mätdata!$B$42*Mätdata!$C$54/Mätdata!$D$54,0),D76)</f>
        <v/>
      </c>
      <c r="E131" s="55">
        <f>IF(E$22="Ja",IFERROR(E$42*E$26/Mätdata!$B$42*Mätdata!$C$54/Mätdata!$D$54,0),E76)</f>
        <v/>
      </c>
      <c r="F131" s="55">
        <f>IF(F$22="Ja",IFERROR(F$42*F$26/Mätdata!$B$42*Mätdata!$C$54/Mätdata!$D$54,0),F76)</f>
        <v/>
      </c>
      <c r="G131" s="55">
        <f>IF(G$22="Ja",IFERROR(G$42*G$26/Mätdata!$B$42*Mätdata!$C$54/Mätdata!$D$54,0),G76)</f>
        <v/>
      </c>
      <c r="H131" s="55">
        <f>IF(H$22="Ja",IFERROR(H$42*H$26/Mätdata!$B$42*Mätdata!$C$54/Mätdata!$D$54,0),H76)</f>
        <v/>
      </c>
      <c r="I131" s="55">
        <f>SUM(C131:H131)</f>
        <v/>
      </c>
    </row>
    <row r="132" ht="15" customHeight="1">
      <c r="A132" s="16" t="inlineStr">
        <is>
          <t>Summa</t>
        </is>
      </c>
      <c r="C132" s="55">
        <f>SUM(C124:C131)</f>
        <v/>
      </c>
      <c r="D132" s="55">
        <f>SUM(D124:D131)</f>
        <v/>
      </c>
      <c r="E132" s="55">
        <f>SUM(E124:E131)</f>
        <v/>
      </c>
      <c r="F132" s="55">
        <f>SUM(F124:F131)</f>
        <v/>
      </c>
      <c r="G132" s="55">
        <f>SUM(G124:G131)</f>
        <v/>
      </c>
      <c r="H132" s="55">
        <f>SUM(H124:H131)</f>
        <v/>
      </c>
      <c r="I132" s="55">
        <f>SUM(I124:I131)</f>
        <v/>
      </c>
    </row>
    <row r="134" ht="15" customHeight="1">
      <c r="A134" s="297" t="inlineStr">
        <is>
          <t>El och övrig energi per byggnad (kWh/år)</t>
        </is>
      </c>
    </row>
    <row r="135" ht="15" customHeight="1">
      <c r="A135" s="16" t="inlineStr">
        <is>
          <t>Byggnad</t>
        </is>
      </c>
      <c r="C135" s="16">
        <f>Byggnader!C12</f>
        <v/>
      </c>
      <c r="D135" s="16">
        <f>Byggnader!D12</f>
        <v/>
      </c>
      <c r="E135" s="16">
        <f>Byggnader!E12</f>
        <v/>
      </c>
      <c r="F135" s="16">
        <f>Byggnader!F12</f>
        <v/>
      </c>
      <c r="G135" s="16">
        <f>Byggnader!G12</f>
        <v/>
      </c>
      <c r="H135" s="16">
        <f>Byggnader!H12</f>
        <v/>
      </c>
      <c r="I135" s="16" t="inlineStr">
        <is>
          <t>Summa</t>
        </is>
      </c>
    </row>
    <row r="136" ht="15" customHeight="1">
      <c r="A136" s="37" t="inlineStr">
        <is>
          <t>Fördelningsnyckel (ej använd för el, se fliken El)</t>
        </is>
      </c>
      <c r="C136" s="56">
        <f>Byggnader!C$43</f>
        <v/>
      </c>
      <c r="D136" s="56">
        <f>Byggnader!D$43</f>
        <v/>
      </c>
      <c r="E136" s="56">
        <f>Byggnader!E$43</f>
        <v/>
      </c>
      <c r="F136" s="56">
        <f>Byggnader!F$43</f>
        <v/>
      </c>
      <c r="G136" s="56">
        <f>Byggnader!G$43</f>
        <v/>
      </c>
      <c r="H136" s="56">
        <f>Byggnader!H$43</f>
        <v/>
      </c>
      <c r="I136" s="56">
        <f>SUM(C136:H136)</f>
        <v/>
      </c>
    </row>
    <row r="137" ht="15" customHeight="1">
      <c r="A137" s="37" t="inlineStr">
        <is>
          <t>Fastighetsel inom systemgräns</t>
        </is>
      </c>
      <c r="C137" s="55">
        <f>El!C127</f>
        <v/>
      </c>
      <c r="D137" s="55">
        <f>El!D127</f>
        <v/>
      </c>
      <c r="E137" s="55">
        <f>El!E127</f>
        <v/>
      </c>
      <c r="F137" s="55">
        <f>El!F127</f>
        <v/>
      </c>
      <c r="G137" s="55">
        <f>El!G127</f>
        <v/>
      </c>
      <c r="H137" s="55">
        <f>El!H127</f>
        <v/>
      </c>
      <c r="I137" s="55">
        <f>SUM(C137:H137)</f>
        <v/>
      </c>
    </row>
    <row r="138" ht="15" customHeight="1">
      <c r="A138" s="37" t="inlineStr">
        <is>
          <t>Egenanvänd solel till fastighetsenergi</t>
        </is>
      </c>
      <c r="C138" s="55">
        <f>Byggnader!C47</f>
        <v/>
      </c>
      <c r="D138" s="55">
        <f>Byggnader!D47</f>
        <v/>
      </c>
      <c r="E138" s="55">
        <f>Byggnader!E47</f>
        <v/>
      </c>
      <c r="F138" s="55">
        <f>Byggnader!F47</f>
        <v/>
      </c>
      <c r="G138" s="55">
        <f>Byggnader!G47</f>
        <v/>
      </c>
      <c r="H138" s="55">
        <f>Byggnader!H47</f>
        <v/>
      </c>
      <c r="I138" s="55">
        <f>SUM(C138:H138)</f>
        <v/>
      </c>
    </row>
    <row r="139" ht="15" customHeight="1">
      <c r="A139" s="37" t="inlineStr">
        <is>
          <t>Övrig energi som ingår i energiprestanda (el, netto)</t>
        </is>
      </c>
      <c r="C139" s="55">
        <f>MAX(0,C137-C138)</f>
        <v/>
      </c>
      <c r="D139" s="55">
        <f>MAX(0,D137-D138)</f>
        <v/>
      </c>
      <c r="E139" s="55">
        <f>MAX(0,E137-E138)</f>
        <v/>
      </c>
      <c r="F139" s="55">
        <f>MAX(0,F137-F138)</f>
        <v/>
      </c>
      <c r="G139" s="55">
        <f>MAX(0,G137-G138)</f>
        <v/>
      </c>
      <c r="H139" s="55">
        <f>MAX(0,H137-H138)</f>
        <v/>
      </c>
      <c r="I139" s="55">
        <f>SUM(C139:H139)</f>
        <v/>
      </c>
    </row>
    <row r="140" ht="15" customHeight="1">
      <c r="A140" s="37" t="inlineStr">
        <is>
          <t>El för komfortkyla</t>
        </is>
      </c>
      <c r="C140" s="55">
        <f>El!C131</f>
        <v/>
      </c>
      <c r="D140" s="55">
        <f>El!D131</f>
        <v/>
      </c>
      <c r="E140" s="55">
        <f>El!E131</f>
        <v/>
      </c>
      <c r="F140" s="55">
        <f>El!F131</f>
        <v/>
      </c>
      <c r="G140" s="55">
        <f>El!G131</f>
        <v/>
      </c>
      <c r="H140" s="55">
        <f>El!H131</f>
        <v/>
      </c>
      <c r="I140" s="55">
        <f>SUM(C140:H140)</f>
        <v/>
      </c>
    </row>
    <row r="141" ht="15" customHeight="1">
      <c r="A141" s="37" t="inlineStr">
        <is>
          <t>Fjärrkyla</t>
        </is>
      </c>
      <c r="C141" s="55">
        <f>(SUMIFS(Mätdata!$E$6:$E$25,Mätdata!$B$6:$B$25,"Fjärrkyla",Mätdata!$D$6:$D$25,Byggnader!C$12)+SUMIFS(Mätdata!$E$6:$E$25,Mätdata!$B$6:$B$25,"Fjärrkyla",Mätdata!$D$6:$D$25,"Alla")*Byggnader!C$43)</f>
        <v/>
      </c>
      <c r="D141" s="55">
        <f>(SUMIFS(Mätdata!$E$6:$E$25,Mätdata!$B$6:$B$25,"Fjärrkyla",Mätdata!$D$6:$D$25,Byggnader!D$12)+SUMIFS(Mätdata!$E$6:$E$25,Mätdata!$B$6:$B$25,"Fjärrkyla",Mätdata!$D$6:$D$25,"Alla")*Byggnader!D$43)</f>
        <v/>
      </c>
      <c r="E141" s="55">
        <f>(SUMIFS(Mätdata!$E$6:$E$25,Mätdata!$B$6:$B$25,"Fjärrkyla",Mätdata!$D$6:$D$25,Byggnader!E$12)+SUMIFS(Mätdata!$E$6:$E$25,Mätdata!$B$6:$B$25,"Fjärrkyla",Mätdata!$D$6:$D$25,"Alla")*Byggnader!E$43)</f>
        <v/>
      </c>
      <c r="F141" s="55">
        <f>(SUMIFS(Mätdata!$E$6:$E$25,Mätdata!$B$6:$B$25,"Fjärrkyla",Mätdata!$D$6:$D$25,Byggnader!F$12)+SUMIFS(Mätdata!$E$6:$E$25,Mätdata!$B$6:$B$25,"Fjärrkyla",Mätdata!$D$6:$D$25,"Alla")*Byggnader!F$43)</f>
        <v/>
      </c>
      <c r="G141" s="55">
        <f>(SUMIFS(Mätdata!$E$6:$E$25,Mätdata!$B$6:$B$25,"Fjärrkyla",Mätdata!$D$6:$D$25,Byggnader!G$12)+SUMIFS(Mätdata!$E$6:$E$25,Mätdata!$B$6:$B$25,"Fjärrkyla",Mätdata!$D$6:$D$25,"Alla")*Byggnader!G$43)</f>
        <v/>
      </c>
      <c r="H141" s="55">
        <f>(SUMIFS(Mätdata!$E$6:$E$25,Mätdata!$B$6:$B$25,"Fjärrkyla",Mätdata!$D$6:$D$25,Byggnader!H$12)+SUMIFS(Mätdata!$E$6:$E$25,Mätdata!$B$6:$B$25,"Fjärrkyla",Mätdata!$D$6:$D$25,"Alla")*Byggnader!H$43)</f>
        <v/>
      </c>
      <c r="I141" s="55">
        <f>SUM(C141:H141)</f>
        <v/>
      </c>
    </row>
    <row r="142" ht="15" customHeight="1">
      <c r="A142" s="37" t="inlineStr">
        <is>
          <t>Egenanvänd solel till värmepump, elvärme och komfortkyla</t>
        </is>
      </c>
      <c r="C142" s="55">
        <f>Byggnader!C48</f>
        <v/>
      </c>
      <c r="D142" s="55">
        <f>Byggnader!D48</f>
        <v/>
      </c>
      <c r="E142" s="55">
        <f>Byggnader!E48</f>
        <v/>
      </c>
      <c r="F142" s="55">
        <f>Byggnader!F48</f>
        <v/>
      </c>
      <c r="G142" s="55">
        <f>Byggnader!G48</f>
        <v/>
      </c>
      <c r="H142" s="55">
        <f>Byggnader!H48</f>
        <v/>
      </c>
      <c r="I142" s="55">
        <f>SUM(C142:H142)</f>
        <v/>
      </c>
    </row>
    <row r="143" ht="15" customHeight="1">
      <c r="A143" s="37" t="inlineStr">
        <is>
          <t>Hushållsel</t>
        </is>
      </c>
      <c r="C143" s="55">
        <f>C46</f>
        <v/>
      </c>
      <c r="D143" s="55">
        <f>D46</f>
        <v/>
      </c>
      <c r="E143" s="55">
        <f>E46</f>
        <v/>
      </c>
      <c r="F143" s="55">
        <f>F46</f>
        <v/>
      </c>
      <c r="G143" s="55">
        <f>G46</f>
        <v/>
      </c>
      <c r="H143" s="55">
        <f>H46</f>
        <v/>
      </c>
      <c r="I143" s="55">
        <f>SUM(C143:H143)</f>
        <v/>
      </c>
    </row>
    <row r="144" ht="15" customHeight="1">
      <c r="A144" s="37" t="inlineStr">
        <is>
          <t>Verksamhetsel</t>
        </is>
      </c>
      <c r="C144" s="55">
        <f>El!C134</f>
        <v/>
      </c>
      <c r="D144" s="55">
        <f>El!D134</f>
        <v/>
      </c>
      <c r="E144" s="55">
        <f>El!E134</f>
        <v/>
      </c>
      <c r="F144" s="55">
        <f>El!F134</f>
        <v/>
      </c>
      <c r="G144" s="55">
        <f>El!G134</f>
        <v/>
      </c>
      <c r="H144" s="55">
        <f>El!H134</f>
        <v/>
      </c>
      <c r="I144" s="55">
        <f>SUM(C144:H144)</f>
        <v/>
      </c>
    </row>
    <row r="145" ht="15" customHeight="1">
      <c r="A145" s="37" t="inlineStr">
        <is>
          <t>El utanför systemgräns</t>
        </is>
      </c>
      <c r="C145" s="55">
        <f>El!C135</f>
        <v/>
      </c>
      <c r="D145" s="55">
        <f>El!D135</f>
        <v/>
      </c>
      <c r="E145" s="55">
        <f>El!E135</f>
        <v/>
      </c>
      <c r="F145" s="55">
        <f>El!F135</f>
        <v/>
      </c>
      <c r="G145" s="55">
        <f>El!G135</f>
        <v/>
      </c>
      <c r="H145" s="55">
        <f>El!H135</f>
        <v/>
      </c>
      <c r="I145" s="55">
        <f>SUM(C145:H145)</f>
        <v/>
      </c>
    </row>
    <row r="147"/>
    <row r="148">
      <c r="A148" s="297" t="inlineStr">
        <is>
          <t>Köpt energi från kombinerade mätare (värme och tappvarmvatten)</t>
        </is>
      </c>
    </row>
    <row r="149">
      <c r="A149" s="16" t="inlineStr">
        <is>
          <t>Byggnad</t>
        </is>
      </c>
      <c r="C149" s="16">
        <f>Byggnader!C12</f>
        <v/>
      </c>
      <c r="D149" s="16">
        <f>Byggnader!D12</f>
        <v/>
      </c>
      <c r="E149" s="16">
        <f>Byggnader!E12</f>
        <v/>
      </c>
      <c r="F149" s="16">
        <f>Byggnader!F12</f>
        <v/>
      </c>
      <c r="G149" s="16">
        <f>Byggnader!G12</f>
        <v/>
      </c>
      <c r="H149" s="16">
        <f>Byggnader!H12</f>
        <v/>
      </c>
      <c r="I149" s="16" t="inlineStr">
        <is>
          <t>Summa</t>
        </is>
      </c>
    </row>
    <row r="150">
      <c r="A150" s="37" t="inlineStr">
        <is>
          <t>Fjärrvärme</t>
        </is>
      </c>
      <c r="C150" s="55">
        <f>SUMIFS(Mätdata!$E$6:$E$25,Mätdata!$B$6:$B$25,"Fjärrvärme",Mätdata!$C$6:$C$25,"Värme och tappvarmvatten",Mätdata!$D$6:$D$25,Byggnader!C$12)+SUMIFS(Mätdata!$E$6:$E$25,Mätdata!$B$6:$B$25,"Fjärrvärme",Mätdata!$C$6:$C$25,"Värme och tappvarmvatten",Mätdata!$D$6:$D$25,"Alla")*Byggnader!C$39</f>
        <v/>
      </c>
      <c r="D150" s="55">
        <f>SUMIFS(Mätdata!$E$6:$E$25,Mätdata!$B$6:$B$25,"Fjärrvärme",Mätdata!$C$6:$C$25,"Värme och tappvarmvatten",Mätdata!$D$6:$D$25,Byggnader!D$12)+SUMIFS(Mätdata!$E$6:$E$25,Mätdata!$B$6:$B$25,"Fjärrvärme",Mätdata!$C$6:$C$25,"Värme och tappvarmvatten",Mätdata!$D$6:$D$25,"Alla")*Byggnader!D$39</f>
        <v/>
      </c>
      <c r="E150" s="55">
        <f>SUMIFS(Mätdata!$E$6:$E$25,Mätdata!$B$6:$B$25,"Fjärrvärme",Mätdata!$C$6:$C$25,"Värme och tappvarmvatten",Mätdata!$D$6:$D$25,Byggnader!E$12)+SUMIFS(Mätdata!$E$6:$E$25,Mätdata!$B$6:$B$25,"Fjärrvärme",Mätdata!$C$6:$C$25,"Värme och tappvarmvatten",Mätdata!$D$6:$D$25,"Alla")*Byggnader!E$39</f>
        <v/>
      </c>
      <c r="F150" s="55">
        <f>SUMIFS(Mätdata!$E$6:$E$25,Mätdata!$B$6:$B$25,"Fjärrvärme",Mätdata!$C$6:$C$25,"Värme och tappvarmvatten",Mätdata!$D$6:$D$25,Byggnader!F$12)+SUMIFS(Mätdata!$E$6:$E$25,Mätdata!$B$6:$B$25,"Fjärrvärme",Mätdata!$C$6:$C$25,"Värme och tappvarmvatten",Mätdata!$D$6:$D$25,"Alla")*Byggnader!F$39</f>
        <v/>
      </c>
      <c r="G150" s="55">
        <f>SUMIFS(Mätdata!$E$6:$E$25,Mätdata!$B$6:$B$25,"Fjärrvärme",Mätdata!$C$6:$C$25,"Värme och tappvarmvatten",Mätdata!$D$6:$D$25,Byggnader!G$12)+SUMIFS(Mätdata!$E$6:$E$25,Mätdata!$B$6:$B$25,"Fjärrvärme",Mätdata!$C$6:$C$25,"Värme och tappvarmvatten",Mätdata!$D$6:$D$25,"Alla")*Byggnader!G$39</f>
        <v/>
      </c>
      <c r="H150" s="55">
        <f>SUMIFS(Mätdata!$E$6:$E$25,Mätdata!$B$6:$B$25,"Fjärrvärme",Mätdata!$C$6:$C$25,"Värme och tappvarmvatten",Mätdata!$D$6:$D$25,Byggnader!H$12)+SUMIFS(Mätdata!$E$6:$E$25,Mätdata!$B$6:$B$25,"Fjärrvärme",Mätdata!$C$6:$C$25,"Värme och tappvarmvatten",Mätdata!$D$6:$D$25,"Alla")*Byggnader!H$39</f>
        <v/>
      </c>
      <c r="I150" s="55">
        <f>SUM(C150:H150)</f>
        <v/>
      </c>
    </row>
    <row r="151">
      <c r="A151" s="37" t="inlineStr">
        <is>
          <t>Värmepump (el)</t>
        </is>
      </c>
      <c r="C151" s="55">
        <f>El!C129</f>
        <v/>
      </c>
      <c r="D151" s="55">
        <f>El!D129</f>
        <v/>
      </c>
      <c r="E151" s="55">
        <f>El!E129</f>
        <v/>
      </c>
      <c r="F151" s="55">
        <f>El!F129</f>
        <v/>
      </c>
      <c r="G151" s="55">
        <f>El!G129</f>
        <v/>
      </c>
      <c r="H151" s="55">
        <f>El!H129</f>
        <v/>
      </c>
      <c r="I151" s="55">
        <f>SUM(C151:H151)</f>
        <v/>
      </c>
    </row>
    <row r="152">
      <c r="A152" s="37" t="inlineStr">
        <is>
          <t>Elvärme</t>
        </is>
      </c>
      <c r="C152" s="55">
        <f>El!C130</f>
        <v/>
      </c>
      <c r="D152" s="55">
        <f>El!D130</f>
        <v/>
      </c>
      <c r="E152" s="55">
        <f>El!E130</f>
        <v/>
      </c>
      <c r="F152" s="55">
        <f>El!F130</f>
        <v/>
      </c>
      <c r="G152" s="55">
        <f>El!G130</f>
        <v/>
      </c>
      <c r="H152" s="55">
        <f>El!H130</f>
        <v/>
      </c>
      <c r="I152" s="55">
        <f>SUM(C152:H152)</f>
        <v/>
      </c>
    </row>
    <row r="153">
      <c r="A153" s="37" t="inlineStr">
        <is>
          <t>Olja</t>
        </is>
      </c>
      <c r="C153" s="55">
        <f>SUMIFS(Mätdata!$E$6:$E$25,Mätdata!$B$6:$B$25,"Olja",Mätdata!$C$6:$C$25,"Värme och tappvarmvatten",Mätdata!$D$6:$D$25,Byggnader!C$12)+SUMIFS(Mätdata!$E$6:$E$25,Mätdata!$B$6:$B$25,"Olja",Mätdata!$C$6:$C$25,"Värme och tappvarmvatten",Mätdata!$D$6:$D$25,"Alla")*Byggnader!C$39</f>
        <v/>
      </c>
      <c r="D153" s="55">
        <f>SUMIFS(Mätdata!$E$6:$E$25,Mätdata!$B$6:$B$25,"Olja",Mätdata!$C$6:$C$25,"Värme och tappvarmvatten",Mätdata!$D$6:$D$25,Byggnader!D$12)+SUMIFS(Mätdata!$E$6:$E$25,Mätdata!$B$6:$B$25,"Olja",Mätdata!$C$6:$C$25,"Värme och tappvarmvatten",Mätdata!$D$6:$D$25,"Alla")*Byggnader!D$39</f>
        <v/>
      </c>
      <c r="E153" s="55">
        <f>SUMIFS(Mätdata!$E$6:$E$25,Mätdata!$B$6:$B$25,"Olja",Mätdata!$C$6:$C$25,"Värme och tappvarmvatten",Mätdata!$D$6:$D$25,Byggnader!E$12)+SUMIFS(Mätdata!$E$6:$E$25,Mätdata!$B$6:$B$25,"Olja",Mätdata!$C$6:$C$25,"Värme och tappvarmvatten",Mätdata!$D$6:$D$25,"Alla")*Byggnader!E$39</f>
        <v/>
      </c>
      <c r="F153" s="55">
        <f>SUMIFS(Mätdata!$E$6:$E$25,Mätdata!$B$6:$B$25,"Olja",Mätdata!$C$6:$C$25,"Värme och tappvarmvatten",Mätdata!$D$6:$D$25,Byggnader!F$12)+SUMIFS(Mätdata!$E$6:$E$25,Mätdata!$B$6:$B$25,"Olja",Mätdata!$C$6:$C$25,"Värme och tappvarmvatten",Mätdata!$D$6:$D$25,"Alla")*Byggnader!F$39</f>
        <v/>
      </c>
      <c r="G153" s="55">
        <f>SUMIFS(Mätdata!$E$6:$E$25,Mätdata!$B$6:$B$25,"Olja",Mätdata!$C$6:$C$25,"Värme och tappvarmvatten",Mätdata!$D$6:$D$25,Byggnader!G$12)+SUMIFS(Mätdata!$E$6:$E$25,Mätdata!$B$6:$B$25,"Olja",Mätdata!$C$6:$C$25,"Värme och tappvarmvatten",Mätdata!$D$6:$D$25,"Alla")*Byggnader!G$39</f>
        <v/>
      </c>
      <c r="H153" s="55">
        <f>SUMIFS(Mätdata!$E$6:$E$25,Mätdata!$B$6:$B$25,"Olja",Mätdata!$C$6:$C$25,"Värme och tappvarmvatten",Mätdata!$D$6:$D$25,Byggnader!H$12)+SUMIFS(Mätdata!$E$6:$E$25,Mätdata!$B$6:$B$25,"Olja",Mätdata!$C$6:$C$25,"Värme och tappvarmvatten",Mätdata!$D$6:$D$25,"Alla")*Byggnader!H$39</f>
        <v/>
      </c>
      <c r="I153" s="55">
        <f>SUM(C153:H153)</f>
        <v/>
      </c>
    </row>
    <row r="154">
      <c r="A154" s="37" t="inlineStr">
        <is>
          <t>Gas</t>
        </is>
      </c>
      <c r="C154" s="55">
        <f>SUMIFS(Mätdata!$E$6:$E$25,Mätdata!$B$6:$B$25,"Gas",Mätdata!$C$6:$C$25,"Värme och tappvarmvatten",Mätdata!$D$6:$D$25,Byggnader!C$12)+SUMIFS(Mätdata!$E$6:$E$25,Mätdata!$B$6:$B$25,"Gas",Mätdata!$C$6:$C$25,"Värme och tappvarmvatten",Mätdata!$D$6:$D$25,"Alla")*Byggnader!C$39</f>
        <v/>
      </c>
      <c r="D154" s="55">
        <f>SUMIFS(Mätdata!$E$6:$E$25,Mätdata!$B$6:$B$25,"Gas",Mätdata!$C$6:$C$25,"Värme och tappvarmvatten",Mätdata!$D$6:$D$25,Byggnader!D$12)+SUMIFS(Mätdata!$E$6:$E$25,Mätdata!$B$6:$B$25,"Gas",Mätdata!$C$6:$C$25,"Värme och tappvarmvatten",Mätdata!$D$6:$D$25,"Alla")*Byggnader!D$39</f>
        <v/>
      </c>
      <c r="E154" s="55">
        <f>SUMIFS(Mätdata!$E$6:$E$25,Mätdata!$B$6:$B$25,"Gas",Mätdata!$C$6:$C$25,"Värme och tappvarmvatten",Mätdata!$D$6:$D$25,Byggnader!E$12)+SUMIFS(Mätdata!$E$6:$E$25,Mätdata!$B$6:$B$25,"Gas",Mätdata!$C$6:$C$25,"Värme och tappvarmvatten",Mätdata!$D$6:$D$25,"Alla")*Byggnader!E$39</f>
        <v/>
      </c>
      <c r="F154" s="55">
        <f>SUMIFS(Mätdata!$E$6:$E$25,Mätdata!$B$6:$B$25,"Gas",Mätdata!$C$6:$C$25,"Värme och tappvarmvatten",Mätdata!$D$6:$D$25,Byggnader!F$12)+SUMIFS(Mätdata!$E$6:$E$25,Mätdata!$B$6:$B$25,"Gas",Mätdata!$C$6:$C$25,"Värme och tappvarmvatten",Mätdata!$D$6:$D$25,"Alla")*Byggnader!F$39</f>
        <v/>
      </c>
      <c r="G154" s="55">
        <f>SUMIFS(Mätdata!$E$6:$E$25,Mätdata!$B$6:$B$25,"Gas",Mätdata!$C$6:$C$25,"Värme och tappvarmvatten",Mätdata!$D$6:$D$25,Byggnader!G$12)+SUMIFS(Mätdata!$E$6:$E$25,Mätdata!$B$6:$B$25,"Gas",Mätdata!$C$6:$C$25,"Värme och tappvarmvatten",Mätdata!$D$6:$D$25,"Alla")*Byggnader!G$39</f>
        <v/>
      </c>
      <c r="H154" s="55">
        <f>SUMIFS(Mätdata!$E$6:$E$25,Mätdata!$B$6:$B$25,"Gas",Mätdata!$C$6:$C$25,"Värme och tappvarmvatten",Mätdata!$D$6:$D$25,Byggnader!H$12)+SUMIFS(Mätdata!$E$6:$E$25,Mätdata!$B$6:$B$25,"Gas",Mätdata!$C$6:$C$25,"Värme och tappvarmvatten",Mätdata!$D$6:$D$25,"Alla")*Byggnader!H$39</f>
        <v/>
      </c>
      <c r="I154" s="55">
        <f>SUM(C154:H154)</f>
        <v/>
      </c>
    </row>
    <row r="155">
      <c r="A155" s="37" t="inlineStr">
        <is>
          <t>Pellets/flis/briketter</t>
        </is>
      </c>
      <c r="C155" s="55">
        <f>SUMIFS(Mätdata!$E$6:$E$25,Mätdata!$B$6:$B$25,"Pellets/flis/briketter",Mätdata!$C$6:$C$25,"Värme och tappvarmvatten",Mätdata!$D$6:$D$25,Byggnader!C$12)+SUMIFS(Mätdata!$E$6:$E$25,Mätdata!$B$6:$B$25,"Pellets/flis/briketter",Mätdata!$C$6:$C$25,"Värme och tappvarmvatten",Mätdata!$D$6:$D$25,"Alla")*Byggnader!C$39</f>
        <v/>
      </c>
      <c r="D155" s="55">
        <f>SUMIFS(Mätdata!$E$6:$E$25,Mätdata!$B$6:$B$25,"Pellets/flis/briketter",Mätdata!$C$6:$C$25,"Värme och tappvarmvatten",Mätdata!$D$6:$D$25,Byggnader!D$12)+SUMIFS(Mätdata!$E$6:$E$25,Mätdata!$B$6:$B$25,"Pellets/flis/briketter",Mätdata!$C$6:$C$25,"Värme och tappvarmvatten",Mätdata!$D$6:$D$25,"Alla")*Byggnader!D$39</f>
        <v/>
      </c>
      <c r="E155" s="55">
        <f>SUMIFS(Mätdata!$E$6:$E$25,Mätdata!$B$6:$B$25,"Pellets/flis/briketter",Mätdata!$C$6:$C$25,"Värme och tappvarmvatten",Mätdata!$D$6:$D$25,Byggnader!E$12)+SUMIFS(Mätdata!$E$6:$E$25,Mätdata!$B$6:$B$25,"Pellets/flis/briketter",Mätdata!$C$6:$C$25,"Värme och tappvarmvatten",Mätdata!$D$6:$D$25,"Alla")*Byggnader!E$39</f>
        <v/>
      </c>
      <c r="F155" s="55">
        <f>SUMIFS(Mätdata!$E$6:$E$25,Mätdata!$B$6:$B$25,"Pellets/flis/briketter",Mätdata!$C$6:$C$25,"Värme och tappvarmvatten",Mätdata!$D$6:$D$25,Byggnader!F$12)+SUMIFS(Mätdata!$E$6:$E$25,Mätdata!$B$6:$B$25,"Pellets/flis/briketter",Mätdata!$C$6:$C$25,"Värme och tappvarmvatten",Mätdata!$D$6:$D$25,"Alla")*Byggnader!F$39</f>
        <v/>
      </c>
      <c r="G155" s="55">
        <f>SUMIFS(Mätdata!$E$6:$E$25,Mätdata!$B$6:$B$25,"Pellets/flis/briketter",Mätdata!$C$6:$C$25,"Värme och tappvarmvatten",Mätdata!$D$6:$D$25,Byggnader!G$12)+SUMIFS(Mätdata!$E$6:$E$25,Mätdata!$B$6:$B$25,"Pellets/flis/briketter",Mätdata!$C$6:$C$25,"Värme och tappvarmvatten",Mätdata!$D$6:$D$25,"Alla")*Byggnader!G$39</f>
        <v/>
      </c>
      <c r="H155" s="55">
        <f>SUMIFS(Mätdata!$E$6:$E$25,Mätdata!$B$6:$B$25,"Pellets/flis/briketter",Mätdata!$C$6:$C$25,"Värme och tappvarmvatten",Mätdata!$D$6:$D$25,Byggnader!H$12)+SUMIFS(Mätdata!$E$6:$E$25,Mätdata!$B$6:$B$25,"Pellets/flis/briketter",Mätdata!$C$6:$C$25,"Värme och tappvarmvatten",Mätdata!$D$6:$D$25,"Alla")*Byggnader!H$39</f>
        <v/>
      </c>
      <c r="I155" s="55">
        <f>SUM(C155:H155)</f>
        <v/>
      </c>
    </row>
    <row r="156">
      <c r="A156" s="37" t="inlineStr">
        <is>
          <t>Ved</t>
        </is>
      </c>
      <c r="C156" s="55">
        <f>SUMIFS(Mätdata!$E$6:$E$25,Mätdata!$B$6:$B$25,"Ved",Mätdata!$C$6:$C$25,"Värme och tappvarmvatten",Mätdata!$D$6:$D$25,Byggnader!C$12)+SUMIFS(Mätdata!$E$6:$E$25,Mätdata!$B$6:$B$25,"Ved",Mätdata!$C$6:$C$25,"Värme och tappvarmvatten",Mätdata!$D$6:$D$25,"Alla")*Byggnader!C$39</f>
        <v/>
      </c>
      <c r="D156" s="55">
        <f>SUMIFS(Mätdata!$E$6:$E$25,Mätdata!$B$6:$B$25,"Ved",Mätdata!$C$6:$C$25,"Värme och tappvarmvatten",Mätdata!$D$6:$D$25,Byggnader!D$12)+SUMIFS(Mätdata!$E$6:$E$25,Mätdata!$B$6:$B$25,"Ved",Mätdata!$C$6:$C$25,"Värme och tappvarmvatten",Mätdata!$D$6:$D$25,"Alla")*Byggnader!D$39</f>
        <v/>
      </c>
      <c r="E156" s="55">
        <f>SUMIFS(Mätdata!$E$6:$E$25,Mätdata!$B$6:$B$25,"Ved",Mätdata!$C$6:$C$25,"Värme och tappvarmvatten",Mätdata!$D$6:$D$25,Byggnader!E$12)+SUMIFS(Mätdata!$E$6:$E$25,Mätdata!$B$6:$B$25,"Ved",Mätdata!$C$6:$C$25,"Värme och tappvarmvatten",Mätdata!$D$6:$D$25,"Alla")*Byggnader!E$39</f>
        <v/>
      </c>
      <c r="F156" s="55">
        <f>SUMIFS(Mätdata!$E$6:$E$25,Mätdata!$B$6:$B$25,"Ved",Mätdata!$C$6:$C$25,"Värme och tappvarmvatten",Mätdata!$D$6:$D$25,Byggnader!F$12)+SUMIFS(Mätdata!$E$6:$E$25,Mätdata!$B$6:$B$25,"Ved",Mätdata!$C$6:$C$25,"Värme och tappvarmvatten",Mätdata!$D$6:$D$25,"Alla")*Byggnader!F$39</f>
        <v/>
      </c>
      <c r="G156" s="55">
        <f>SUMIFS(Mätdata!$E$6:$E$25,Mätdata!$B$6:$B$25,"Ved",Mätdata!$C$6:$C$25,"Värme och tappvarmvatten",Mätdata!$D$6:$D$25,Byggnader!G$12)+SUMIFS(Mätdata!$E$6:$E$25,Mätdata!$B$6:$B$25,"Ved",Mätdata!$C$6:$C$25,"Värme och tappvarmvatten",Mätdata!$D$6:$D$25,"Alla")*Byggnader!G$39</f>
        <v/>
      </c>
      <c r="H156" s="55">
        <f>SUMIFS(Mätdata!$E$6:$E$25,Mätdata!$B$6:$B$25,"Ved",Mätdata!$C$6:$C$25,"Värme och tappvarmvatten",Mätdata!$D$6:$D$25,Byggnader!H$12)+SUMIFS(Mätdata!$E$6:$E$25,Mätdata!$B$6:$B$25,"Ved",Mätdata!$C$6:$C$25,"Värme och tappvarmvatten",Mätdata!$D$6:$D$25,"Alla")*Byggnader!H$39</f>
        <v/>
      </c>
      <c r="I156" s="55">
        <f>SUM(C156:H156)</f>
        <v/>
      </c>
    </row>
    <row r="157">
      <c r="A157" s="37" t="inlineStr">
        <is>
          <t>Övrigt biobränsle</t>
        </is>
      </c>
      <c r="C157" s="55">
        <f>SUMIFS(Mätdata!$E$6:$E$25,Mätdata!$B$6:$B$25,"Övrigt biobränsle",Mätdata!$C$6:$C$25,"Värme och tappvarmvatten",Mätdata!$D$6:$D$25,Byggnader!C$12)+SUMIFS(Mätdata!$E$6:$E$25,Mätdata!$B$6:$B$25,"Övrigt biobränsle",Mätdata!$C$6:$C$25,"Värme och tappvarmvatten",Mätdata!$D$6:$D$25,"Alla")*Byggnader!C$39</f>
        <v/>
      </c>
      <c r="D157" s="55">
        <f>SUMIFS(Mätdata!$E$6:$E$25,Mätdata!$B$6:$B$25,"Övrigt biobränsle",Mätdata!$C$6:$C$25,"Värme och tappvarmvatten",Mätdata!$D$6:$D$25,Byggnader!D$12)+SUMIFS(Mätdata!$E$6:$E$25,Mätdata!$B$6:$B$25,"Övrigt biobränsle",Mätdata!$C$6:$C$25,"Värme och tappvarmvatten",Mätdata!$D$6:$D$25,"Alla")*Byggnader!D$39</f>
        <v/>
      </c>
      <c r="E157" s="55">
        <f>SUMIFS(Mätdata!$E$6:$E$25,Mätdata!$B$6:$B$25,"Övrigt biobränsle",Mätdata!$C$6:$C$25,"Värme och tappvarmvatten",Mätdata!$D$6:$D$25,Byggnader!E$12)+SUMIFS(Mätdata!$E$6:$E$25,Mätdata!$B$6:$B$25,"Övrigt biobränsle",Mätdata!$C$6:$C$25,"Värme och tappvarmvatten",Mätdata!$D$6:$D$25,"Alla")*Byggnader!E$39</f>
        <v/>
      </c>
      <c r="F157" s="55">
        <f>SUMIFS(Mätdata!$E$6:$E$25,Mätdata!$B$6:$B$25,"Övrigt biobränsle",Mätdata!$C$6:$C$25,"Värme och tappvarmvatten",Mätdata!$D$6:$D$25,Byggnader!F$12)+SUMIFS(Mätdata!$E$6:$E$25,Mätdata!$B$6:$B$25,"Övrigt biobränsle",Mätdata!$C$6:$C$25,"Värme och tappvarmvatten",Mätdata!$D$6:$D$25,"Alla")*Byggnader!F$39</f>
        <v/>
      </c>
      <c r="G157" s="55">
        <f>SUMIFS(Mätdata!$E$6:$E$25,Mätdata!$B$6:$B$25,"Övrigt biobränsle",Mätdata!$C$6:$C$25,"Värme och tappvarmvatten",Mätdata!$D$6:$D$25,Byggnader!G$12)+SUMIFS(Mätdata!$E$6:$E$25,Mätdata!$B$6:$B$25,"Övrigt biobränsle",Mätdata!$C$6:$C$25,"Värme och tappvarmvatten",Mätdata!$D$6:$D$25,"Alla")*Byggnader!G$39</f>
        <v/>
      </c>
      <c r="H157" s="55">
        <f>SUMIFS(Mätdata!$E$6:$E$25,Mätdata!$B$6:$B$25,"Övrigt biobränsle",Mätdata!$C$6:$C$25,"Värme och tappvarmvatten",Mätdata!$D$6:$D$25,Byggnader!H$12)+SUMIFS(Mätdata!$E$6:$E$25,Mätdata!$B$6:$B$25,"Övrigt biobränsle",Mätdata!$C$6:$C$25,"Värme och tappvarmvatten",Mätdata!$D$6:$D$25,"Alla")*Byggnader!H$39</f>
        <v/>
      </c>
      <c r="I157" s="55">
        <f>SUM(C157:H157)</f>
        <v/>
      </c>
    </row>
    <row r="158">
      <c r="A158" s="16" t="inlineStr">
        <is>
          <t>Summa</t>
        </is>
      </c>
      <c r="C158" s="55">
        <f>SUM(C150:C157)</f>
        <v/>
      </c>
      <c r="D158" s="55">
        <f>SUM(D150:D157)</f>
        <v/>
      </c>
      <c r="E158" s="55">
        <f>SUM(E150:E157)</f>
        <v/>
      </c>
      <c r="F158" s="55">
        <f>SUM(F150:F157)</f>
        <v/>
      </c>
      <c r="G158" s="55">
        <f>SUM(G150:G157)</f>
        <v/>
      </c>
      <c r="H158" s="55">
        <f>SUM(H150:H157)</f>
        <v/>
      </c>
      <c r="I158" s="55">
        <f>SUM(I150:I157)</f>
        <v/>
      </c>
    </row>
    <row r="160">
      <c r="A160" s="297" t="inlineStr">
        <is>
          <t>Köpt energi från separata mätare för uppvärmning</t>
        </is>
      </c>
    </row>
    <row r="161">
      <c r="A161" s="16" t="inlineStr">
        <is>
          <t>Byggnad</t>
        </is>
      </c>
      <c r="C161" s="16">
        <f>Byggnader!C12</f>
        <v/>
      </c>
      <c r="D161" s="16">
        <f>Byggnader!D12</f>
        <v/>
      </c>
      <c r="E161" s="16">
        <f>Byggnader!E12</f>
        <v/>
      </c>
      <c r="F161" s="16">
        <f>Byggnader!F12</f>
        <v/>
      </c>
      <c r="G161" s="16">
        <f>Byggnader!G12</f>
        <v/>
      </c>
      <c r="H161" s="16">
        <f>Byggnader!H12</f>
        <v/>
      </c>
      <c r="I161" s="16" t="inlineStr">
        <is>
          <t>Summa</t>
        </is>
      </c>
    </row>
    <row r="162">
      <c r="A162" s="37" t="inlineStr">
        <is>
          <t>Fjärrvärme</t>
        </is>
      </c>
      <c r="C162" s="55">
        <f>SUMIFS(Mätdata!$E$6:$E$25,Mätdata!$B$6:$B$25,"Fjärrvärme",Mätdata!$C$6:$C$25,"Endast uppvärmning",Mätdata!$D$6:$D$25,Byggnader!C$12)+SUMIFS(Mätdata!$E$6:$E$25,Mätdata!$B$6:$B$25,"Fjärrvärme",Mätdata!$C$6:$C$25,"Endast uppvärmning",Mätdata!$D$6:$D$25,"Alla")*Byggnader!C$39</f>
        <v/>
      </c>
      <c r="D162" s="55">
        <f>SUMIFS(Mätdata!$E$6:$E$25,Mätdata!$B$6:$B$25,"Fjärrvärme",Mätdata!$C$6:$C$25,"Endast uppvärmning",Mätdata!$D$6:$D$25,Byggnader!D$12)+SUMIFS(Mätdata!$E$6:$E$25,Mätdata!$B$6:$B$25,"Fjärrvärme",Mätdata!$C$6:$C$25,"Endast uppvärmning",Mätdata!$D$6:$D$25,"Alla")*Byggnader!D$39</f>
        <v/>
      </c>
      <c r="E162" s="55">
        <f>SUMIFS(Mätdata!$E$6:$E$25,Mätdata!$B$6:$B$25,"Fjärrvärme",Mätdata!$C$6:$C$25,"Endast uppvärmning",Mätdata!$D$6:$D$25,Byggnader!E$12)+SUMIFS(Mätdata!$E$6:$E$25,Mätdata!$B$6:$B$25,"Fjärrvärme",Mätdata!$C$6:$C$25,"Endast uppvärmning",Mätdata!$D$6:$D$25,"Alla")*Byggnader!E$39</f>
        <v/>
      </c>
      <c r="F162" s="55">
        <f>SUMIFS(Mätdata!$E$6:$E$25,Mätdata!$B$6:$B$25,"Fjärrvärme",Mätdata!$C$6:$C$25,"Endast uppvärmning",Mätdata!$D$6:$D$25,Byggnader!F$12)+SUMIFS(Mätdata!$E$6:$E$25,Mätdata!$B$6:$B$25,"Fjärrvärme",Mätdata!$C$6:$C$25,"Endast uppvärmning",Mätdata!$D$6:$D$25,"Alla")*Byggnader!F$39</f>
        <v/>
      </c>
      <c r="G162" s="55">
        <f>SUMIFS(Mätdata!$E$6:$E$25,Mätdata!$B$6:$B$25,"Fjärrvärme",Mätdata!$C$6:$C$25,"Endast uppvärmning",Mätdata!$D$6:$D$25,Byggnader!G$12)+SUMIFS(Mätdata!$E$6:$E$25,Mätdata!$B$6:$B$25,"Fjärrvärme",Mätdata!$C$6:$C$25,"Endast uppvärmning",Mätdata!$D$6:$D$25,"Alla")*Byggnader!G$39</f>
        <v/>
      </c>
      <c r="H162" s="55">
        <f>SUMIFS(Mätdata!$E$6:$E$25,Mätdata!$B$6:$B$25,"Fjärrvärme",Mätdata!$C$6:$C$25,"Endast uppvärmning",Mätdata!$D$6:$D$25,Byggnader!H$12)+SUMIFS(Mätdata!$E$6:$E$25,Mätdata!$B$6:$B$25,"Fjärrvärme",Mätdata!$C$6:$C$25,"Endast uppvärmning",Mätdata!$D$6:$D$25,"Alla")*Byggnader!H$39</f>
        <v/>
      </c>
      <c r="I162" s="55">
        <f>SUM(C162:H162)</f>
        <v/>
      </c>
    </row>
    <row r="163">
      <c r="A163" s="37" t="inlineStr">
        <is>
          <t>Värmepump (el)</t>
        </is>
      </c>
      <c r="C163" s="55" t="n">
        <v>0</v>
      </c>
      <c r="D163" s="55" t="n">
        <v>0</v>
      </c>
      <c r="E163" s="55" t="n">
        <v>0</v>
      </c>
      <c r="F163" s="55" t="n">
        <v>0</v>
      </c>
      <c r="G163" s="55" t="n">
        <v>0</v>
      </c>
      <c r="H163" s="55" t="n">
        <v>0</v>
      </c>
      <c r="I163" s="55">
        <f>SUM(C163:H163)</f>
        <v/>
      </c>
    </row>
    <row r="164">
      <c r="A164" s="37" t="inlineStr">
        <is>
          <t>Elvärme</t>
        </is>
      </c>
      <c r="C164" s="55" t="n">
        <v>0</v>
      </c>
      <c r="D164" s="55" t="n">
        <v>0</v>
      </c>
      <c r="E164" s="55" t="n">
        <v>0</v>
      </c>
      <c r="F164" s="55" t="n">
        <v>0</v>
      </c>
      <c r="G164" s="55" t="n">
        <v>0</v>
      </c>
      <c r="H164" s="55" t="n">
        <v>0</v>
      </c>
      <c r="I164" s="55">
        <f>SUM(C164:H164)</f>
        <v/>
      </c>
    </row>
    <row r="165">
      <c r="A165" s="37" t="inlineStr">
        <is>
          <t>Olja</t>
        </is>
      </c>
      <c r="C165" s="55">
        <f>SUMIFS(Mätdata!$E$6:$E$25,Mätdata!$B$6:$B$25,"Olja",Mätdata!$C$6:$C$25,"Endast uppvärmning",Mätdata!$D$6:$D$25,Byggnader!C$12)+SUMIFS(Mätdata!$E$6:$E$25,Mätdata!$B$6:$B$25,"Olja",Mätdata!$C$6:$C$25,"Endast uppvärmning",Mätdata!$D$6:$D$25,"Alla")*Byggnader!C$39</f>
        <v/>
      </c>
      <c r="D165" s="55">
        <f>SUMIFS(Mätdata!$E$6:$E$25,Mätdata!$B$6:$B$25,"Olja",Mätdata!$C$6:$C$25,"Endast uppvärmning",Mätdata!$D$6:$D$25,Byggnader!D$12)+SUMIFS(Mätdata!$E$6:$E$25,Mätdata!$B$6:$B$25,"Olja",Mätdata!$C$6:$C$25,"Endast uppvärmning",Mätdata!$D$6:$D$25,"Alla")*Byggnader!D$39</f>
        <v/>
      </c>
      <c r="E165" s="55">
        <f>SUMIFS(Mätdata!$E$6:$E$25,Mätdata!$B$6:$B$25,"Olja",Mätdata!$C$6:$C$25,"Endast uppvärmning",Mätdata!$D$6:$D$25,Byggnader!E$12)+SUMIFS(Mätdata!$E$6:$E$25,Mätdata!$B$6:$B$25,"Olja",Mätdata!$C$6:$C$25,"Endast uppvärmning",Mätdata!$D$6:$D$25,"Alla")*Byggnader!E$39</f>
        <v/>
      </c>
      <c r="F165" s="55">
        <f>SUMIFS(Mätdata!$E$6:$E$25,Mätdata!$B$6:$B$25,"Olja",Mätdata!$C$6:$C$25,"Endast uppvärmning",Mätdata!$D$6:$D$25,Byggnader!F$12)+SUMIFS(Mätdata!$E$6:$E$25,Mätdata!$B$6:$B$25,"Olja",Mätdata!$C$6:$C$25,"Endast uppvärmning",Mätdata!$D$6:$D$25,"Alla")*Byggnader!F$39</f>
        <v/>
      </c>
      <c r="G165" s="55">
        <f>SUMIFS(Mätdata!$E$6:$E$25,Mätdata!$B$6:$B$25,"Olja",Mätdata!$C$6:$C$25,"Endast uppvärmning",Mätdata!$D$6:$D$25,Byggnader!G$12)+SUMIFS(Mätdata!$E$6:$E$25,Mätdata!$B$6:$B$25,"Olja",Mätdata!$C$6:$C$25,"Endast uppvärmning",Mätdata!$D$6:$D$25,"Alla")*Byggnader!G$39</f>
        <v/>
      </c>
      <c r="H165" s="55">
        <f>SUMIFS(Mätdata!$E$6:$E$25,Mätdata!$B$6:$B$25,"Olja",Mätdata!$C$6:$C$25,"Endast uppvärmning",Mätdata!$D$6:$D$25,Byggnader!H$12)+SUMIFS(Mätdata!$E$6:$E$25,Mätdata!$B$6:$B$25,"Olja",Mätdata!$C$6:$C$25,"Endast uppvärmning",Mätdata!$D$6:$D$25,"Alla")*Byggnader!H$39</f>
        <v/>
      </c>
      <c r="I165" s="55">
        <f>SUM(C165:H165)</f>
        <v/>
      </c>
    </row>
    <row r="166">
      <c r="A166" s="37" t="inlineStr">
        <is>
          <t>Gas</t>
        </is>
      </c>
      <c r="C166" s="55">
        <f>SUMIFS(Mätdata!$E$6:$E$25,Mätdata!$B$6:$B$25,"Gas",Mätdata!$C$6:$C$25,"Endast uppvärmning",Mätdata!$D$6:$D$25,Byggnader!C$12)+SUMIFS(Mätdata!$E$6:$E$25,Mätdata!$B$6:$B$25,"Gas",Mätdata!$C$6:$C$25,"Endast uppvärmning",Mätdata!$D$6:$D$25,"Alla")*Byggnader!C$39</f>
        <v/>
      </c>
      <c r="D166" s="55">
        <f>SUMIFS(Mätdata!$E$6:$E$25,Mätdata!$B$6:$B$25,"Gas",Mätdata!$C$6:$C$25,"Endast uppvärmning",Mätdata!$D$6:$D$25,Byggnader!D$12)+SUMIFS(Mätdata!$E$6:$E$25,Mätdata!$B$6:$B$25,"Gas",Mätdata!$C$6:$C$25,"Endast uppvärmning",Mätdata!$D$6:$D$25,"Alla")*Byggnader!D$39</f>
        <v/>
      </c>
      <c r="E166" s="55">
        <f>SUMIFS(Mätdata!$E$6:$E$25,Mätdata!$B$6:$B$25,"Gas",Mätdata!$C$6:$C$25,"Endast uppvärmning",Mätdata!$D$6:$D$25,Byggnader!E$12)+SUMIFS(Mätdata!$E$6:$E$25,Mätdata!$B$6:$B$25,"Gas",Mätdata!$C$6:$C$25,"Endast uppvärmning",Mätdata!$D$6:$D$25,"Alla")*Byggnader!E$39</f>
        <v/>
      </c>
      <c r="F166" s="55">
        <f>SUMIFS(Mätdata!$E$6:$E$25,Mätdata!$B$6:$B$25,"Gas",Mätdata!$C$6:$C$25,"Endast uppvärmning",Mätdata!$D$6:$D$25,Byggnader!F$12)+SUMIFS(Mätdata!$E$6:$E$25,Mätdata!$B$6:$B$25,"Gas",Mätdata!$C$6:$C$25,"Endast uppvärmning",Mätdata!$D$6:$D$25,"Alla")*Byggnader!F$39</f>
        <v/>
      </c>
      <c r="G166" s="55">
        <f>SUMIFS(Mätdata!$E$6:$E$25,Mätdata!$B$6:$B$25,"Gas",Mätdata!$C$6:$C$25,"Endast uppvärmning",Mätdata!$D$6:$D$25,Byggnader!G$12)+SUMIFS(Mätdata!$E$6:$E$25,Mätdata!$B$6:$B$25,"Gas",Mätdata!$C$6:$C$25,"Endast uppvärmning",Mätdata!$D$6:$D$25,"Alla")*Byggnader!G$39</f>
        <v/>
      </c>
      <c r="H166" s="55">
        <f>SUMIFS(Mätdata!$E$6:$E$25,Mätdata!$B$6:$B$25,"Gas",Mätdata!$C$6:$C$25,"Endast uppvärmning",Mätdata!$D$6:$D$25,Byggnader!H$12)+SUMIFS(Mätdata!$E$6:$E$25,Mätdata!$B$6:$B$25,"Gas",Mätdata!$C$6:$C$25,"Endast uppvärmning",Mätdata!$D$6:$D$25,"Alla")*Byggnader!H$39</f>
        <v/>
      </c>
      <c r="I166" s="55">
        <f>SUM(C166:H166)</f>
        <v/>
      </c>
    </row>
    <row r="167">
      <c r="A167" s="37" t="inlineStr">
        <is>
          <t>Pellets/flis/briketter</t>
        </is>
      </c>
      <c r="C167" s="55">
        <f>SUMIFS(Mätdata!$E$6:$E$25,Mätdata!$B$6:$B$25,"Pellets/flis/briketter",Mätdata!$C$6:$C$25,"Endast uppvärmning",Mätdata!$D$6:$D$25,Byggnader!C$12)+SUMIFS(Mätdata!$E$6:$E$25,Mätdata!$B$6:$B$25,"Pellets/flis/briketter",Mätdata!$C$6:$C$25,"Endast uppvärmning",Mätdata!$D$6:$D$25,"Alla")*Byggnader!C$39</f>
        <v/>
      </c>
      <c r="D167" s="55">
        <f>SUMIFS(Mätdata!$E$6:$E$25,Mätdata!$B$6:$B$25,"Pellets/flis/briketter",Mätdata!$C$6:$C$25,"Endast uppvärmning",Mätdata!$D$6:$D$25,Byggnader!D$12)+SUMIFS(Mätdata!$E$6:$E$25,Mätdata!$B$6:$B$25,"Pellets/flis/briketter",Mätdata!$C$6:$C$25,"Endast uppvärmning",Mätdata!$D$6:$D$25,"Alla")*Byggnader!D$39</f>
        <v/>
      </c>
      <c r="E167" s="55">
        <f>SUMIFS(Mätdata!$E$6:$E$25,Mätdata!$B$6:$B$25,"Pellets/flis/briketter",Mätdata!$C$6:$C$25,"Endast uppvärmning",Mätdata!$D$6:$D$25,Byggnader!E$12)+SUMIFS(Mätdata!$E$6:$E$25,Mätdata!$B$6:$B$25,"Pellets/flis/briketter",Mätdata!$C$6:$C$25,"Endast uppvärmning",Mätdata!$D$6:$D$25,"Alla")*Byggnader!E$39</f>
        <v/>
      </c>
      <c r="F167" s="55">
        <f>SUMIFS(Mätdata!$E$6:$E$25,Mätdata!$B$6:$B$25,"Pellets/flis/briketter",Mätdata!$C$6:$C$25,"Endast uppvärmning",Mätdata!$D$6:$D$25,Byggnader!F$12)+SUMIFS(Mätdata!$E$6:$E$25,Mätdata!$B$6:$B$25,"Pellets/flis/briketter",Mätdata!$C$6:$C$25,"Endast uppvärmning",Mätdata!$D$6:$D$25,"Alla")*Byggnader!F$39</f>
        <v/>
      </c>
      <c r="G167" s="55">
        <f>SUMIFS(Mätdata!$E$6:$E$25,Mätdata!$B$6:$B$25,"Pellets/flis/briketter",Mätdata!$C$6:$C$25,"Endast uppvärmning",Mätdata!$D$6:$D$25,Byggnader!G$12)+SUMIFS(Mätdata!$E$6:$E$25,Mätdata!$B$6:$B$25,"Pellets/flis/briketter",Mätdata!$C$6:$C$25,"Endast uppvärmning",Mätdata!$D$6:$D$25,"Alla")*Byggnader!G$39</f>
        <v/>
      </c>
      <c r="H167" s="55">
        <f>SUMIFS(Mätdata!$E$6:$E$25,Mätdata!$B$6:$B$25,"Pellets/flis/briketter",Mätdata!$C$6:$C$25,"Endast uppvärmning",Mätdata!$D$6:$D$25,Byggnader!H$12)+SUMIFS(Mätdata!$E$6:$E$25,Mätdata!$B$6:$B$25,"Pellets/flis/briketter",Mätdata!$C$6:$C$25,"Endast uppvärmning",Mätdata!$D$6:$D$25,"Alla")*Byggnader!H$39</f>
        <v/>
      </c>
      <c r="I167" s="55">
        <f>SUM(C167:H167)</f>
        <v/>
      </c>
    </row>
    <row r="168">
      <c r="A168" s="37" t="inlineStr">
        <is>
          <t>Ved</t>
        </is>
      </c>
      <c r="C168" s="55">
        <f>SUMIFS(Mätdata!$E$6:$E$25,Mätdata!$B$6:$B$25,"Ved",Mätdata!$C$6:$C$25,"Endast uppvärmning",Mätdata!$D$6:$D$25,Byggnader!C$12)+SUMIFS(Mätdata!$E$6:$E$25,Mätdata!$B$6:$B$25,"Ved",Mätdata!$C$6:$C$25,"Endast uppvärmning",Mätdata!$D$6:$D$25,"Alla")*Byggnader!C$39</f>
        <v/>
      </c>
      <c r="D168" s="55">
        <f>SUMIFS(Mätdata!$E$6:$E$25,Mätdata!$B$6:$B$25,"Ved",Mätdata!$C$6:$C$25,"Endast uppvärmning",Mätdata!$D$6:$D$25,Byggnader!D$12)+SUMIFS(Mätdata!$E$6:$E$25,Mätdata!$B$6:$B$25,"Ved",Mätdata!$C$6:$C$25,"Endast uppvärmning",Mätdata!$D$6:$D$25,"Alla")*Byggnader!D$39</f>
        <v/>
      </c>
      <c r="E168" s="55">
        <f>SUMIFS(Mätdata!$E$6:$E$25,Mätdata!$B$6:$B$25,"Ved",Mätdata!$C$6:$C$25,"Endast uppvärmning",Mätdata!$D$6:$D$25,Byggnader!E$12)+SUMIFS(Mätdata!$E$6:$E$25,Mätdata!$B$6:$B$25,"Ved",Mätdata!$C$6:$C$25,"Endast uppvärmning",Mätdata!$D$6:$D$25,"Alla")*Byggnader!E$39</f>
        <v/>
      </c>
      <c r="F168" s="55">
        <f>SUMIFS(Mätdata!$E$6:$E$25,Mätdata!$B$6:$B$25,"Ved",Mätdata!$C$6:$C$25,"Endast uppvärmning",Mätdata!$D$6:$D$25,Byggnader!F$12)+SUMIFS(Mätdata!$E$6:$E$25,Mätdata!$B$6:$B$25,"Ved",Mätdata!$C$6:$C$25,"Endast uppvärmning",Mätdata!$D$6:$D$25,"Alla")*Byggnader!F$39</f>
        <v/>
      </c>
      <c r="G168" s="55">
        <f>SUMIFS(Mätdata!$E$6:$E$25,Mätdata!$B$6:$B$25,"Ved",Mätdata!$C$6:$C$25,"Endast uppvärmning",Mätdata!$D$6:$D$25,Byggnader!G$12)+SUMIFS(Mätdata!$E$6:$E$25,Mätdata!$B$6:$B$25,"Ved",Mätdata!$C$6:$C$25,"Endast uppvärmning",Mätdata!$D$6:$D$25,"Alla")*Byggnader!G$39</f>
        <v/>
      </c>
      <c r="H168" s="55">
        <f>SUMIFS(Mätdata!$E$6:$E$25,Mätdata!$B$6:$B$25,"Ved",Mätdata!$C$6:$C$25,"Endast uppvärmning",Mätdata!$D$6:$D$25,Byggnader!H$12)+SUMIFS(Mätdata!$E$6:$E$25,Mätdata!$B$6:$B$25,"Ved",Mätdata!$C$6:$C$25,"Endast uppvärmning",Mätdata!$D$6:$D$25,"Alla")*Byggnader!H$39</f>
        <v/>
      </c>
      <c r="I168" s="55">
        <f>SUM(C168:H168)</f>
        <v/>
      </c>
    </row>
    <row r="169">
      <c r="A169" s="37" t="inlineStr">
        <is>
          <t>Övrigt biobränsle</t>
        </is>
      </c>
      <c r="C169" s="55">
        <f>SUMIFS(Mätdata!$E$6:$E$25,Mätdata!$B$6:$B$25,"Övrigt biobränsle",Mätdata!$C$6:$C$25,"Endast uppvärmning",Mätdata!$D$6:$D$25,Byggnader!C$12)+SUMIFS(Mätdata!$E$6:$E$25,Mätdata!$B$6:$B$25,"Övrigt biobränsle",Mätdata!$C$6:$C$25,"Endast uppvärmning",Mätdata!$D$6:$D$25,"Alla")*Byggnader!C$39</f>
        <v/>
      </c>
      <c r="D169" s="55">
        <f>SUMIFS(Mätdata!$E$6:$E$25,Mätdata!$B$6:$B$25,"Övrigt biobränsle",Mätdata!$C$6:$C$25,"Endast uppvärmning",Mätdata!$D$6:$D$25,Byggnader!D$12)+SUMIFS(Mätdata!$E$6:$E$25,Mätdata!$B$6:$B$25,"Övrigt biobränsle",Mätdata!$C$6:$C$25,"Endast uppvärmning",Mätdata!$D$6:$D$25,"Alla")*Byggnader!D$39</f>
        <v/>
      </c>
      <c r="E169" s="55">
        <f>SUMIFS(Mätdata!$E$6:$E$25,Mätdata!$B$6:$B$25,"Övrigt biobränsle",Mätdata!$C$6:$C$25,"Endast uppvärmning",Mätdata!$D$6:$D$25,Byggnader!E$12)+SUMIFS(Mätdata!$E$6:$E$25,Mätdata!$B$6:$B$25,"Övrigt biobränsle",Mätdata!$C$6:$C$25,"Endast uppvärmning",Mätdata!$D$6:$D$25,"Alla")*Byggnader!E$39</f>
        <v/>
      </c>
      <c r="F169" s="55">
        <f>SUMIFS(Mätdata!$E$6:$E$25,Mätdata!$B$6:$B$25,"Övrigt biobränsle",Mätdata!$C$6:$C$25,"Endast uppvärmning",Mätdata!$D$6:$D$25,Byggnader!F$12)+SUMIFS(Mätdata!$E$6:$E$25,Mätdata!$B$6:$B$25,"Övrigt biobränsle",Mätdata!$C$6:$C$25,"Endast uppvärmning",Mätdata!$D$6:$D$25,"Alla")*Byggnader!F$39</f>
        <v/>
      </c>
      <c r="G169" s="55">
        <f>SUMIFS(Mätdata!$E$6:$E$25,Mätdata!$B$6:$B$25,"Övrigt biobränsle",Mätdata!$C$6:$C$25,"Endast uppvärmning",Mätdata!$D$6:$D$25,Byggnader!G$12)+SUMIFS(Mätdata!$E$6:$E$25,Mätdata!$B$6:$B$25,"Övrigt biobränsle",Mätdata!$C$6:$C$25,"Endast uppvärmning",Mätdata!$D$6:$D$25,"Alla")*Byggnader!G$39</f>
        <v/>
      </c>
      <c r="H169" s="55">
        <f>SUMIFS(Mätdata!$E$6:$E$25,Mätdata!$B$6:$B$25,"Övrigt biobränsle",Mätdata!$C$6:$C$25,"Endast uppvärmning",Mätdata!$D$6:$D$25,Byggnader!H$12)+SUMIFS(Mätdata!$E$6:$E$25,Mätdata!$B$6:$B$25,"Övrigt biobränsle",Mätdata!$C$6:$C$25,"Endast uppvärmning",Mätdata!$D$6:$D$25,"Alla")*Byggnader!H$39</f>
        <v/>
      </c>
      <c r="I169" s="55">
        <f>SUM(C169:H169)</f>
        <v/>
      </c>
    </row>
    <row r="170">
      <c r="A170" s="16" t="inlineStr">
        <is>
          <t>Summa</t>
        </is>
      </c>
      <c r="C170" s="55">
        <f>SUM(C162:C169)</f>
        <v/>
      </c>
      <c r="D170" s="55">
        <f>SUM(D162:D169)</f>
        <v/>
      </c>
      <c r="E170" s="55">
        <f>SUM(E162:E169)</f>
        <v/>
      </c>
      <c r="F170" s="55">
        <f>SUM(F162:F169)</f>
        <v/>
      </c>
      <c r="G170" s="55">
        <f>SUM(G162:G169)</f>
        <v/>
      </c>
      <c r="H170" s="55">
        <f>SUM(H162:H169)</f>
        <v/>
      </c>
      <c r="I170" s="55">
        <f>SUM(I162:I169)</f>
        <v/>
      </c>
    </row>
    <row r="172">
      <c r="A172" s="297" t="inlineStr">
        <is>
          <t>Köpt energi från separata mätare för tappvarmvatten inkl. VVC</t>
        </is>
      </c>
    </row>
    <row r="173">
      <c r="A173" s="16" t="inlineStr">
        <is>
          <t>Byggnad</t>
        </is>
      </c>
      <c r="C173" s="16">
        <f>Byggnader!C12</f>
        <v/>
      </c>
      <c r="D173" s="16">
        <f>Byggnader!D12</f>
        <v/>
      </c>
      <c r="E173" s="16">
        <f>Byggnader!E12</f>
        <v/>
      </c>
      <c r="F173" s="16">
        <f>Byggnader!F12</f>
        <v/>
      </c>
      <c r="G173" s="16">
        <f>Byggnader!G12</f>
        <v/>
      </c>
      <c r="H173" s="16">
        <f>Byggnader!H12</f>
        <v/>
      </c>
      <c r="I173" s="16" t="inlineStr">
        <is>
          <t>Summa</t>
        </is>
      </c>
    </row>
    <row r="174">
      <c r="A174" s="37" t="inlineStr">
        <is>
          <t>Fjärrvärme</t>
        </is>
      </c>
      <c r="C174" s="55">
        <f>SUMIFS(Mätdata!$E$6:$E$25,Mätdata!$B$6:$B$25,"Fjärrvärme",Mätdata!$C$6:$C$25,"Endast tappvarmvatten inkl. VVC",Mätdata!$D$6:$D$25,Byggnader!C$12)+SUMIFS(Mätdata!$E$6:$E$25,Mätdata!$B$6:$B$25,"Fjärrvärme",Mätdata!$C$6:$C$25,"Endast tappvarmvatten inkl. VVC",Mätdata!$D$6:$D$25,"Alla")*Byggnader!C$42</f>
        <v/>
      </c>
      <c r="D174" s="55">
        <f>SUMIFS(Mätdata!$E$6:$E$25,Mätdata!$B$6:$B$25,"Fjärrvärme",Mätdata!$C$6:$C$25,"Endast tappvarmvatten inkl. VVC",Mätdata!$D$6:$D$25,Byggnader!D$12)+SUMIFS(Mätdata!$E$6:$E$25,Mätdata!$B$6:$B$25,"Fjärrvärme",Mätdata!$C$6:$C$25,"Endast tappvarmvatten inkl. VVC",Mätdata!$D$6:$D$25,"Alla")*Byggnader!D$42</f>
        <v/>
      </c>
      <c r="E174" s="55">
        <f>SUMIFS(Mätdata!$E$6:$E$25,Mätdata!$B$6:$B$25,"Fjärrvärme",Mätdata!$C$6:$C$25,"Endast tappvarmvatten inkl. VVC",Mätdata!$D$6:$D$25,Byggnader!E$12)+SUMIFS(Mätdata!$E$6:$E$25,Mätdata!$B$6:$B$25,"Fjärrvärme",Mätdata!$C$6:$C$25,"Endast tappvarmvatten inkl. VVC",Mätdata!$D$6:$D$25,"Alla")*Byggnader!E$42</f>
        <v/>
      </c>
      <c r="F174" s="55">
        <f>SUMIFS(Mätdata!$E$6:$E$25,Mätdata!$B$6:$B$25,"Fjärrvärme",Mätdata!$C$6:$C$25,"Endast tappvarmvatten inkl. VVC",Mätdata!$D$6:$D$25,Byggnader!F$12)+SUMIFS(Mätdata!$E$6:$E$25,Mätdata!$B$6:$B$25,"Fjärrvärme",Mätdata!$C$6:$C$25,"Endast tappvarmvatten inkl. VVC",Mätdata!$D$6:$D$25,"Alla")*Byggnader!F$42</f>
        <v/>
      </c>
      <c r="G174" s="55">
        <f>SUMIFS(Mätdata!$E$6:$E$25,Mätdata!$B$6:$B$25,"Fjärrvärme",Mätdata!$C$6:$C$25,"Endast tappvarmvatten inkl. VVC",Mätdata!$D$6:$D$25,Byggnader!G$12)+SUMIFS(Mätdata!$E$6:$E$25,Mätdata!$B$6:$B$25,"Fjärrvärme",Mätdata!$C$6:$C$25,"Endast tappvarmvatten inkl. VVC",Mätdata!$D$6:$D$25,"Alla")*Byggnader!G$42</f>
        <v/>
      </c>
      <c r="H174" s="55">
        <f>SUMIFS(Mätdata!$E$6:$E$25,Mätdata!$B$6:$B$25,"Fjärrvärme",Mätdata!$C$6:$C$25,"Endast tappvarmvatten inkl. VVC",Mätdata!$D$6:$D$25,Byggnader!H$12)+SUMIFS(Mätdata!$E$6:$E$25,Mätdata!$B$6:$B$25,"Fjärrvärme",Mätdata!$C$6:$C$25,"Endast tappvarmvatten inkl. VVC",Mätdata!$D$6:$D$25,"Alla")*Byggnader!H$42</f>
        <v/>
      </c>
      <c r="I174" s="55">
        <f>SUM(C174:H174)</f>
        <v/>
      </c>
    </row>
    <row r="175">
      <c r="A175" s="37" t="inlineStr">
        <is>
          <t>Värmepump (el)</t>
        </is>
      </c>
      <c r="C175" s="55" t="n">
        <v>0</v>
      </c>
      <c r="D175" s="55" t="n">
        <v>0</v>
      </c>
      <c r="E175" s="55" t="n">
        <v>0</v>
      </c>
      <c r="F175" s="55" t="n">
        <v>0</v>
      </c>
      <c r="G175" s="55" t="n">
        <v>0</v>
      </c>
      <c r="H175" s="55" t="n">
        <v>0</v>
      </c>
      <c r="I175" s="55">
        <f>SUM(C175:H175)</f>
        <v/>
      </c>
    </row>
    <row r="176">
      <c r="A176" s="37" t="inlineStr">
        <is>
          <t>Elvärme</t>
        </is>
      </c>
      <c r="C176" s="55" t="n">
        <v>0</v>
      </c>
      <c r="D176" s="55" t="n">
        <v>0</v>
      </c>
      <c r="E176" s="55" t="n">
        <v>0</v>
      </c>
      <c r="F176" s="55" t="n">
        <v>0</v>
      </c>
      <c r="G176" s="55" t="n">
        <v>0</v>
      </c>
      <c r="H176" s="55" t="n">
        <v>0</v>
      </c>
      <c r="I176" s="55">
        <f>SUM(C176:H176)</f>
        <v/>
      </c>
    </row>
    <row r="177">
      <c r="A177" s="37" t="inlineStr">
        <is>
          <t>Olja</t>
        </is>
      </c>
      <c r="C177" s="55">
        <f>SUMIFS(Mätdata!$E$6:$E$25,Mätdata!$B$6:$B$25,"Olja",Mätdata!$C$6:$C$25,"Endast tappvarmvatten inkl. VVC",Mätdata!$D$6:$D$25,Byggnader!C$12)+SUMIFS(Mätdata!$E$6:$E$25,Mätdata!$B$6:$B$25,"Olja",Mätdata!$C$6:$C$25,"Endast tappvarmvatten inkl. VVC",Mätdata!$D$6:$D$25,"Alla")*Byggnader!C$42</f>
        <v/>
      </c>
      <c r="D177" s="55">
        <f>SUMIFS(Mätdata!$E$6:$E$25,Mätdata!$B$6:$B$25,"Olja",Mätdata!$C$6:$C$25,"Endast tappvarmvatten inkl. VVC",Mätdata!$D$6:$D$25,Byggnader!D$12)+SUMIFS(Mätdata!$E$6:$E$25,Mätdata!$B$6:$B$25,"Olja",Mätdata!$C$6:$C$25,"Endast tappvarmvatten inkl. VVC",Mätdata!$D$6:$D$25,"Alla")*Byggnader!D$42</f>
        <v/>
      </c>
      <c r="E177" s="55">
        <f>SUMIFS(Mätdata!$E$6:$E$25,Mätdata!$B$6:$B$25,"Olja",Mätdata!$C$6:$C$25,"Endast tappvarmvatten inkl. VVC",Mätdata!$D$6:$D$25,Byggnader!E$12)+SUMIFS(Mätdata!$E$6:$E$25,Mätdata!$B$6:$B$25,"Olja",Mätdata!$C$6:$C$25,"Endast tappvarmvatten inkl. VVC",Mätdata!$D$6:$D$25,"Alla")*Byggnader!E$42</f>
        <v/>
      </c>
      <c r="F177" s="55">
        <f>SUMIFS(Mätdata!$E$6:$E$25,Mätdata!$B$6:$B$25,"Olja",Mätdata!$C$6:$C$25,"Endast tappvarmvatten inkl. VVC",Mätdata!$D$6:$D$25,Byggnader!F$12)+SUMIFS(Mätdata!$E$6:$E$25,Mätdata!$B$6:$B$25,"Olja",Mätdata!$C$6:$C$25,"Endast tappvarmvatten inkl. VVC",Mätdata!$D$6:$D$25,"Alla")*Byggnader!F$42</f>
        <v/>
      </c>
      <c r="G177" s="55">
        <f>SUMIFS(Mätdata!$E$6:$E$25,Mätdata!$B$6:$B$25,"Olja",Mätdata!$C$6:$C$25,"Endast tappvarmvatten inkl. VVC",Mätdata!$D$6:$D$25,Byggnader!G$12)+SUMIFS(Mätdata!$E$6:$E$25,Mätdata!$B$6:$B$25,"Olja",Mätdata!$C$6:$C$25,"Endast tappvarmvatten inkl. VVC",Mätdata!$D$6:$D$25,"Alla")*Byggnader!G$42</f>
        <v/>
      </c>
      <c r="H177" s="55">
        <f>SUMIFS(Mätdata!$E$6:$E$25,Mätdata!$B$6:$B$25,"Olja",Mätdata!$C$6:$C$25,"Endast tappvarmvatten inkl. VVC",Mätdata!$D$6:$D$25,Byggnader!H$12)+SUMIFS(Mätdata!$E$6:$E$25,Mätdata!$B$6:$B$25,"Olja",Mätdata!$C$6:$C$25,"Endast tappvarmvatten inkl. VVC",Mätdata!$D$6:$D$25,"Alla")*Byggnader!H$42</f>
        <v/>
      </c>
      <c r="I177" s="55">
        <f>SUM(C177:H177)</f>
        <v/>
      </c>
    </row>
    <row r="178">
      <c r="A178" s="37" t="inlineStr">
        <is>
          <t>Gas</t>
        </is>
      </c>
      <c r="C178" s="55">
        <f>SUMIFS(Mätdata!$E$6:$E$25,Mätdata!$B$6:$B$25,"Gas",Mätdata!$C$6:$C$25,"Endast tappvarmvatten inkl. VVC",Mätdata!$D$6:$D$25,Byggnader!C$12)+SUMIFS(Mätdata!$E$6:$E$25,Mätdata!$B$6:$B$25,"Gas",Mätdata!$C$6:$C$25,"Endast tappvarmvatten inkl. VVC",Mätdata!$D$6:$D$25,"Alla")*Byggnader!C$42</f>
        <v/>
      </c>
      <c r="D178" s="55">
        <f>SUMIFS(Mätdata!$E$6:$E$25,Mätdata!$B$6:$B$25,"Gas",Mätdata!$C$6:$C$25,"Endast tappvarmvatten inkl. VVC",Mätdata!$D$6:$D$25,Byggnader!D$12)+SUMIFS(Mätdata!$E$6:$E$25,Mätdata!$B$6:$B$25,"Gas",Mätdata!$C$6:$C$25,"Endast tappvarmvatten inkl. VVC",Mätdata!$D$6:$D$25,"Alla")*Byggnader!D$42</f>
        <v/>
      </c>
      <c r="E178" s="55">
        <f>SUMIFS(Mätdata!$E$6:$E$25,Mätdata!$B$6:$B$25,"Gas",Mätdata!$C$6:$C$25,"Endast tappvarmvatten inkl. VVC",Mätdata!$D$6:$D$25,Byggnader!E$12)+SUMIFS(Mätdata!$E$6:$E$25,Mätdata!$B$6:$B$25,"Gas",Mätdata!$C$6:$C$25,"Endast tappvarmvatten inkl. VVC",Mätdata!$D$6:$D$25,"Alla")*Byggnader!E$42</f>
        <v/>
      </c>
      <c r="F178" s="55">
        <f>SUMIFS(Mätdata!$E$6:$E$25,Mätdata!$B$6:$B$25,"Gas",Mätdata!$C$6:$C$25,"Endast tappvarmvatten inkl. VVC",Mätdata!$D$6:$D$25,Byggnader!F$12)+SUMIFS(Mätdata!$E$6:$E$25,Mätdata!$B$6:$B$25,"Gas",Mätdata!$C$6:$C$25,"Endast tappvarmvatten inkl. VVC",Mätdata!$D$6:$D$25,"Alla")*Byggnader!F$42</f>
        <v/>
      </c>
      <c r="G178" s="55">
        <f>SUMIFS(Mätdata!$E$6:$E$25,Mätdata!$B$6:$B$25,"Gas",Mätdata!$C$6:$C$25,"Endast tappvarmvatten inkl. VVC",Mätdata!$D$6:$D$25,Byggnader!G$12)+SUMIFS(Mätdata!$E$6:$E$25,Mätdata!$B$6:$B$25,"Gas",Mätdata!$C$6:$C$25,"Endast tappvarmvatten inkl. VVC",Mätdata!$D$6:$D$25,"Alla")*Byggnader!G$42</f>
        <v/>
      </c>
      <c r="H178" s="55">
        <f>SUMIFS(Mätdata!$E$6:$E$25,Mätdata!$B$6:$B$25,"Gas",Mätdata!$C$6:$C$25,"Endast tappvarmvatten inkl. VVC",Mätdata!$D$6:$D$25,Byggnader!H$12)+SUMIFS(Mätdata!$E$6:$E$25,Mätdata!$B$6:$B$25,"Gas",Mätdata!$C$6:$C$25,"Endast tappvarmvatten inkl. VVC",Mätdata!$D$6:$D$25,"Alla")*Byggnader!H$42</f>
        <v/>
      </c>
      <c r="I178" s="55">
        <f>SUM(C178:H178)</f>
        <v/>
      </c>
    </row>
    <row r="179">
      <c r="A179" s="37" t="inlineStr">
        <is>
          <t>Pellets/flis/briketter</t>
        </is>
      </c>
      <c r="C179" s="55">
        <f>SUMIFS(Mätdata!$E$6:$E$25,Mätdata!$B$6:$B$25,"Pellets/flis/briketter",Mätdata!$C$6:$C$25,"Endast tappvarmvatten inkl. VVC",Mätdata!$D$6:$D$25,Byggnader!C$12)+SUMIFS(Mätdata!$E$6:$E$25,Mätdata!$B$6:$B$25,"Pellets/flis/briketter",Mätdata!$C$6:$C$25,"Endast tappvarmvatten inkl. VVC",Mätdata!$D$6:$D$25,"Alla")*Byggnader!C$42</f>
        <v/>
      </c>
      <c r="D179" s="55">
        <f>SUMIFS(Mätdata!$E$6:$E$25,Mätdata!$B$6:$B$25,"Pellets/flis/briketter",Mätdata!$C$6:$C$25,"Endast tappvarmvatten inkl. VVC",Mätdata!$D$6:$D$25,Byggnader!D$12)+SUMIFS(Mätdata!$E$6:$E$25,Mätdata!$B$6:$B$25,"Pellets/flis/briketter",Mätdata!$C$6:$C$25,"Endast tappvarmvatten inkl. VVC",Mätdata!$D$6:$D$25,"Alla")*Byggnader!D$42</f>
        <v/>
      </c>
      <c r="E179" s="55">
        <f>SUMIFS(Mätdata!$E$6:$E$25,Mätdata!$B$6:$B$25,"Pellets/flis/briketter",Mätdata!$C$6:$C$25,"Endast tappvarmvatten inkl. VVC",Mätdata!$D$6:$D$25,Byggnader!E$12)+SUMIFS(Mätdata!$E$6:$E$25,Mätdata!$B$6:$B$25,"Pellets/flis/briketter",Mätdata!$C$6:$C$25,"Endast tappvarmvatten inkl. VVC",Mätdata!$D$6:$D$25,"Alla")*Byggnader!E$42</f>
        <v/>
      </c>
      <c r="F179" s="55">
        <f>SUMIFS(Mätdata!$E$6:$E$25,Mätdata!$B$6:$B$25,"Pellets/flis/briketter",Mätdata!$C$6:$C$25,"Endast tappvarmvatten inkl. VVC",Mätdata!$D$6:$D$25,Byggnader!F$12)+SUMIFS(Mätdata!$E$6:$E$25,Mätdata!$B$6:$B$25,"Pellets/flis/briketter",Mätdata!$C$6:$C$25,"Endast tappvarmvatten inkl. VVC",Mätdata!$D$6:$D$25,"Alla")*Byggnader!F$42</f>
        <v/>
      </c>
      <c r="G179" s="55">
        <f>SUMIFS(Mätdata!$E$6:$E$25,Mätdata!$B$6:$B$25,"Pellets/flis/briketter",Mätdata!$C$6:$C$25,"Endast tappvarmvatten inkl. VVC",Mätdata!$D$6:$D$25,Byggnader!G$12)+SUMIFS(Mätdata!$E$6:$E$25,Mätdata!$B$6:$B$25,"Pellets/flis/briketter",Mätdata!$C$6:$C$25,"Endast tappvarmvatten inkl. VVC",Mätdata!$D$6:$D$25,"Alla")*Byggnader!G$42</f>
        <v/>
      </c>
      <c r="H179" s="55">
        <f>SUMIFS(Mätdata!$E$6:$E$25,Mätdata!$B$6:$B$25,"Pellets/flis/briketter",Mätdata!$C$6:$C$25,"Endast tappvarmvatten inkl. VVC",Mätdata!$D$6:$D$25,Byggnader!H$12)+SUMIFS(Mätdata!$E$6:$E$25,Mätdata!$B$6:$B$25,"Pellets/flis/briketter",Mätdata!$C$6:$C$25,"Endast tappvarmvatten inkl. VVC",Mätdata!$D$6:$D$25,"Alla")*Byggnader!H$42</f>
        <v/>
      </c>
      <c r="I179" s="55">
        <f>SUM(C179:H179)</f>
        <v/>
      </c>
    </row>
    <row r="180">
      <c r="A180" s="37" t="inlineStr">
        <is>
          <t>Ved</t>
        </is>
      </c>
      <c r="C180" s="55">
        <f>SUMIFS(Mätdata!$E$6:$E$25,Mätdata!$B$6:$B$25,"Ved",Mätdata!$C$6:$C$25,"Endast tappvarmvatten inkl. VVC",Mätdata!$D$6:$D$25,Byggnader!C$12)+SUMIFS(Mätdata!$E$6:$E$25,Mätdata!$B$6:$B$25,"Ved",Mätdata!$C$6:$C$25,"Endast tappvarmvatten inkl. VVC",Mätdata!$D$6:$D$25,"Alla")*Byggnader!C$42</f>
        <v/>
      </c>
      <c r="D180" s="55">
        <f>SUMIFS(Mätdata!$E$6:$E$25,Mätdata!$B$6:$B$25,"Ved",Mätdata!$C$6:$C$25,"Endast tappvarmvatten inkl. VVC",Mätdata!$D$6:$D$25,Byggnader!D$12)+SUMIFS(Mätdata!$E$6:$E$25,Mätdata!$B$6:$B$25,"Ved",Mätdata!$C$6:$C$25,"Endast tappvarmvatten inkl. VVC",Mätdata!$D$6:$D$25,"Alla")*Byggnader!D$42</f>
        <v/>
      </c>
      <c r="E180" s="55">
        <f>SUMIFS(Mätdata!$E$6:$E$25,Mätdata!$B$6:$B$25,"Ved",Mätdata!$C$6:$C$25,"Endast tappvarmvatten inkl. VVC",Mätdata!$D$6:$D$25,Byggnader!E$12)+SUMIFS(Mätdata!$E$6:$E$25,Mätdata!$B$6:$B$25,"Ved",Mätdata!$C$6:$C$25,"Endast tappvarmvatten inkl. VVC",Mätdata!$D$6:$D$25,"Alla")*Byggnader!E$42</f>
        <v/>
      </c>
      <c r="F180" s="55">
        <f>SUMIFS(Mätdata!$E$6:$E$25,Mätdata!$B$6:$B$25,"Ved",Mätdata!$C$6:$C$25,"Endast tappvarmvatten inkl. VVC",Mätdata!$D$6:$D$25,Byggnader!F$12)+SUMIFS(Mätdata!$E$6:$E$25,Mätdata!$B$6:$B$25,"Ved",Mätdata!$C$6:$C$25,"Endast tappvarmvatten inkl. VVC",Mätdata!$D$6:$D$25,"Alla")*Byggnader!F$42</f>
        <v/>
      </c>
      <c r="G180" s="55">
        <f>SUMIFS(Mätdata!$E$6:$E$25,Mätdata!$B$6:$B$25,"Ved",Mätdata!$C$6:$C$25,"Endast tappvarmvatten inkl. VVC",Mätdata!$D$6:$D$25,Byggnader!G$12)+SUMIFS(Mätdata!$E$6:$E$25,Mätdata!$B$6:$B$25,"Ved",Mätdata!$C$6:$C$25,"Endast tappvarmvatten inkl. VVC",Mätdata!$D$6:$D$25,"Alla")*Byggnader!G$42</f>
        <v/>
      </c>
      <c r="H180" s="55">
        <f>SUMIFS(Mätdata!$E$6:$E$25,Mätdata!$B$6:$B$25,"Ved",Mätdata!$C$6:$C$25,"Endast tappvarmvatten inkl. VVC",Mätdata!$D$6:$D$25,Byggnader!H$12)+SUMIFS(Mätdata!$E$6:$E$25,Mätdata!$B$6:$B$25,"Ved",Mätdata!$C$6:$C$25,"Endast tappvarmvatten inkl. VVC",Mätdata!$D$6:$D$25,"Alla")*Byggnader!H$42</f>
        <v/>
      </c>
      <c r="I180" s="55">
        <f>SUM(C180:H180)</f>
        <v/>
      </c>
    </row>
    <row r="181">
      <c r="A181" s="37" t="inlineStr">
        <is>
          <t>Övrigt biobränsle</t>
        </is>
      </c>
      <c r="C181" s="55">
        <f>SUMIFS(Mätdata!$E$6:$E$25,Mätdata!$B$6:$B$25,"Övrigt biobränsle",Mätdata!$C$6:$C$25,"Endast tappvarmvatten inkl. VVC",Mätdata!$D$6:$D$25,Byggnader!C$12)+SUMIFS(Mätdata!$E$6:$E$25,Mätdata!$B$6:$B$25,"Övrigt biobränsle",Mätdata!$C$6:$C$25,"Endast tappvarmvatten inkl. VVC",Mätdata!$D$6:$D$25,"Alla")*Byggnader!C$42</f>
        <v/>
      </c>
      <c r="D181" s="55">
        <f>SUMIFS(Mätdata!$E$6:$E$25,Mätdata!$B$6:$B$25,"Övrigt biobränsle",Mätdata!$C$6:$C$25,"Endast tappvarmvatten inkl. VVC",Mätdata!$D$6:$D$25,Byggnader!D$12)+SUMIFS(Mätdata!$E$6:$E$25,Mätdata!$B$6:$B$25,"Övrigt biobränsle",Mätdata!$C$6:$C$25,"Endast tappvarmvatten inkl. VVC",Mätdata!$D$6:$D$25,"Alla")*Byggnader!D$42</f>
        <v/>
      </c>
      <c r="E181" s="55">
        <f>SUMIFS(Mätdata!$E$6:$E$25,Mätdata!$B$6:$B$25,"Övrigt biobränsle",Mätdata!$C$6:$C$25,"Endast tappvarmvatten inkl. VVC",Mätdata!$D$6:$D$25,Byggnader!E$12)+SUMIFS(Mätdata!$E$6:$E$25,Mätdata!$B$6:$B$25,"Övrigt biobränsle",Mätdata!$C$6:$C$25,"Endast tappvarmvatten inkl. VVC",Mätdata!$D$6:$D$25,"Alla")*Byggnader!E$42</f>
        <v/>
      </c>
      <c r="F181" s="55">
        <f>SUMIFS(Mätdata!$E$6:$E$25,Mätdata!$B$6:$B$25,"Övrigt biobränsle",Mätdata!$C$6:$C$25,"Endast tappvarmvatten inkl. VVC",Mätdata!$D$6:$D$25,Byggnader!F$12)+SUMIFS(Mätdata!$E$6:$E$25,Mätdata!$B$6:$B$25,"Övrigt biobränsle",Mätdata!$C$6:$C$25,"Endast tappvarmvatten inkl. VVC",Mätdata!$D$6:$D$25,"Alla")*Byggnader!F$42</f>
        <v/>
      </c>
      <c r="G181" s="55">
        <f>SUMIFS(Mätdata!$E$6:$E$25,Mätdata!$B$6:$B$25,"Övrigt biobränsle",Mätdata!$C$6:$C$25,"Endast tappvarmvatten inkl. VVC",Mätdata!$D$6:$D$25,Byggnader!G$12)+SUMIFS(Mätdata!$E$6:$E$25,Mätdata!$B$6:$B$25,"Övrigt biobränsle",Mätdata!$C$6:$C$25,"Endast tappvarmvatten inkl. VVC",Mätdata!$D$6:$D$25,"Alla")*Byggnader!G$42</f>
        <v/>
      </c>
      <c r="H181" s="55">
        <f>SUMIFS(Mätdata!$E$6:$E$25,Mätdata!$B$6:$B$25,"Övrigt biobränsle",Mätdata!$C$6:$C$25,"Endast tappvarmvatten inkl. VVC",Mätdata!$D$6:$D$25,Byggnader!H$12)+SUMIFS(Mätdata!$E$6:$E$25,Mätdata!$B$6:$B$25,"Övrigt biobränsle",Mätdata!$C$6:$C$25,"Endast tappvarmvatten inkl. VVC",Mätdata!$D$6:$D$25,"Alla")*Byggnader!H$42</f>
        <v/>
      </c>
      <c r="I181" s="55">
        <f>SUM(C181:H181)</f>
        <v/>
      </c>
    </row>
    <row r="182">
      <c r="A182" s="16" t="inlineStr">
        <is>
          <t>Summa</t>
        </is>
      </c>
      <c r="C182" s="55">
        <f>SUM(C174:C181)</f>
        <v/>
      </c>
      <c r="D182" s="55">
        <f>SUM(D174:D181)</f>
        <v/>
      </c>
      <c r="E182" s="55">
        <f>SUM(E174:E181)</f>
        <v/>
      </c>
      <c r="F182" s="55">
        <f>SUM(F174:F181)</f>
        <v/>
      </c>
      <c r="G182" s="55">
        <f>SUM(G174:G181)</f>
        <v/>
      </c>
      <c r="H182" s="55">
        <f>SUM(H174:H181)</f>
        <v/>
      </c>
      <c r="I182" s="55">
        <f>SUM(I174:I181)</f>
        <v/>
      </c>
    </row>
  </sheetData>
  <dataValidations count="1">
    <dataValidation sqref="C19:H22" showDropDown="0" showInputMessage="0" showErrorMessage="0" allowBlank="1" type="list">
      <formula1>'Regler BFS 2026'!$X$5:$X$6</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I34"/>
  <sheetViews>
    <sheetView zoomScaleNormal="100" workbookViewId="0">
      <pane xSplit="2" ySplit="4" topLeftCell="C5" activePane="bottomRight" state="frozen"/>
      <selection pane="topRight" activeCell="C1" sqref="C1"/>
      <selection pane="bottomLeft" activeCell="A5" sqref="A5"/>
      <selection pane="bottomRight" activeCell="D41" sqref="D41"/>
    </sheetView>
  </sheetViews>
  <sheetFormatPr baseColWidth="8" defaultColWidth="8.7265625" defaultRowHeight="14.5"/>
  <cols>
    <col width="50" customWidth="1" min="1" max="1"/>
    <col width="4" customWidth="1" min="2" max="2"/>
    <col width="13" customWidth="1" min="3" max="9"/>
  </cols>
  <sheetData>
    <row r="1" ht="21.75" customHeight="1">
      <c r="A1" s="15" t="inlineStr">
        <is>
          <t>Energiprestandatal och energiklass</t>
        </is>
      </c>
    </row>
    <row r="2" ht="15" customHeight="1">
      <c r="A2" s="18" t="inlineStr">
        <is>
          <t>Kontrollberäkning av det Gripen räknar fram. Uppvärmningen klimatkorrigeras med energiindex i Byggnader C10.</t>
        </is>
      </c>
    </row>
    <row r="4" ht="15" customHeight="1">
      <c r="A4" s="16" t="inlineStr">
        <is>
          <t>Byggnad</t>
        </is>
      </c>
      <c r="C4" s="16">
        <f>Byggnader!C12</f>
        <v/>
      </c>
      <c r="D4" s="16">
        <f>Byggnader!D12</f>
        <v/>
      </c>
      <c r="E4" s="16">
        <f>Byggnader!E12</f>
        <v/>
      </c>
      <c r="F4" s="16">
        <f>Byggnader!F12</f>
        <v/>
      </c>
      <c r="G4" s="16">
        <f>Byggnader!G12</f>
        <v/>
      </c>
      <c r="H4" s="16">
        <f>Byggnader!H12</f>
        <v/>
      </c>
      <c r="I4" s="16" t="inlineStr">
        <is>
          <t>Fastighet</t>
        </is>
      </c>
    </row>
    <row r="5" ht="15" customHeight="1">
      <c r="A5" s="37" t="inlineStr">
        <is>
          <t>Egen beteckning</t>
        </is>
      </c>
      <c r="C5" s="291">
        <f>IF(Byggnader!C13="","",Byggnader!C13)</f>
        <v/>
      </c>
      <c r="D5" s="291">
        <f>IF(Byggnader!D13="","",Byggnader!D13)</f>
        <v/>
      </c>
      <c r="E5" s="291">
        <f>IF(Byggnader!E13="","",Byggnader!E13)</f>
        <v/>
      </c>
      <c r="F5" s="291">
        <f>IF(Byggnader!F13="","",Byggnader!F13)</f>
        <v/>
      </c>
      <c r="G5" s="291">
        <f>IF(Byggnader!G13="","",Byggnader!G13)</f>
        <v/>
      </c>
      <c r="H5" s="291">
        <f>IF(Byggnader!H13="","",Byggnader!H13)</f>
        <v/>
      </c>
    </row>
    <row r="6" ht="15" customHeight="1">
      <c r="A6" s="37" t="inlineStr">
        <is>
          <t>A-temp (m²)</t>
        </is>
      </c>
      <c r="C6" s="55">
        <f>Normalisering!C26</f>
        <v/>
      </c>
      <c r="D6" s="55">
        <f>Normalisering!D26</f>
        <v/>
      </c>
      <c r="E6" s="55">
        <f>Normalisering!E26</f>
        <v/>
      </c>
      <c r="F6" s="55">
        <f>Normalisering!F26</f>
        <v/>
      </c>
      <c r="G6" s="55">
        <f>Normalisering!G26</f>
        <v/>
      </c>
      <c r="H6" s="55">
        <f>Normalisering!H26</f>
        <v/>
      </c>
      <c r="I6" s="55">
        <f>Normalisering!I26</f>
        <v/>
      </c>
    </row>
    <row r="7" ht="15" customHeight="1">
      <c r="A7" s="37" t="inlineStr">
        <is>
          <t>Uppvärmning, klimatkorrigerad (kWh/år)</t>
        </is>
      </c>
      <c r="C7" s="55">
        <f>Normalisering!C120/Byggnader!$C$10</f>
        <v/>
      </c>
      <c r="D7" s="55">
        <f>Normalisering!D120/Byggnader!$C$10</f>
        <v/>
      </c>
      <c r="E7" s="55">
        <f>Normalisering!E120/Byggnader!$C$10</f>
        <v/>
      </c>
      <c r="F7" s="55">
        <f>Normalisering!F120/Byggnader!$C$10</f>
        <v/>
      </c>
      <c r="G7" s="55">
        <f>Normalisering!G120/Byggnader!$C$10</f>
        <v/>
      </c>
      <c r="H7" s="55">
        <f>Normalisering!H120/Byggnader!$C$10</f>
        <v/>
      </c>
      <c r="I7" s="55">
        <f>Normalisering!I120/Byggnader!$C$10</f>
        <v/>
      </c>
    </row>
    <row r="8" ht="15" customHeight="1">
      <c r="A8" s="37" t="inlineStr">
        <is>
          <t>Tappvarmvatten (kWh/år)</t>
        </is>
      </c>
      <c r="C8" s="55">
        <f>Normalisering!C132</f>
        <v/>
      </c>
      <c r="D8" s="55">
        <f>Normalisering!D132</f>
        <v/>
      </c>
      <c r="E8" s="55">
        <f>Normalisering!E132</f>
        <v/>
      </c>
      <c r="F8" s="55">
        <f>Normalisering!F132</f>
        <v/>
      </c>
      <c r="G8" s="55">
        <f>Normalisering!G132</f>
        <v/>
      </c>
      <c r="H8" s="55">
        <f>Normalisering!H132</f>
        <v/>
      </c>
      <c r="I8" s="55">
        <f>Normalisering!I132</f>
        <v/>
      </c>
    </row>
    <row r="9" ht="15" customHeight="1">
      <c r="A9" s="37" t="inlineStr">
        <is>
          <t>Övrig energi som ingår, el (kWh/år)</t>
        </is>
      </c>
      <c r="C9" s="55">
        <f>Normalisering!C139-Normalisering!C142</f>
        <v/>
      </c>
      <c r="D9" s="55">
        <f>Normalisering!D139-Normalisering!D142</f>
        <v/>
      </c>
      <c r="E9" s="55">
        <f>Normalisering!E139-Normalisering!E142</f>
        <v/>
      </c>
      <c r="F9" s="55">
        <f>Normalisering!F139-Normalisering!F142</f>
        <v/>
      </c>
      <c r="G9" s="55">
        <f>Normalisering!G139-Normalisering!G142</f>
        <v/>
      </c>
      <c r="H9" s="55">
        <f>Normalisering!H139-Normalisering!H142</f>
        <v/>
      </c>
      <c r="I9" s="55">
        <f>Normalisering!I139-Normalisering!I142</f>
        <v/>
      </c>
    </row>
    <row r="10" ht="15" customHeight="1">
      <c r="A10" s="37" t="inlineStr">
        <is>
          <t>Komfortkyla och fjärrkyla (kWh/år)</t>
        </is>
      </c>
      <c r="C10" s="55">
        <f>Normalisering!C140+Normalisering!C141</f>
        <v/>
      </c>
      <c r="D10" s="55">
        <f>Normalisering!D140+Normalisering!D141</f>
        <v/>
      </c>
      <c r="E10" s="55">
        <f>Normalisering!E140+Normalisering!E141</f>
        <v/>
      </c>
      <c r="F10" s="55">
        <f>Normalisering!F140+Normalisering!F141</f>
        <v/>
      </c>
      <c r="G10" s="55">
        <f>Normalisering!G140+Normalisering!G141</f>
        <v/>
      </c>
      <c r="H10" s="55">
        <f>Normalisering!H140+Normalisering!H141</f>
        <v/>
      </c>
      <c r="I10" s="55">
        <f>Normalisering!I140+Normalisering!I141</f>
        <v/>
      </c>
    </row>
    <row r="11" ht="15" customHeight="1">
      <c r="A11" s="37" t="inlineStr">
        <is>
          <t>Byggnadens energianvändning (kWh/år)</t>
        </is>
      </c>
      <c r="C11" s="55">
        <f>C7+C8+C9+C10</f>
        <v/>
      </c>
      <c r="D11" s="55">
        <f>D7+D8+D9+D10</f>
        <v/>
      </c>
      <c r="E11" s="55">
        <f>E7+E8+E9+E10</f>
        <v/>
      </c>
      <c r="F11" s="55">
        <f>F7+F8+F9+F10</f>
        <v/>
      </c>
      <c r="G11" s="55">
        <f>G7+G8+G9+G10</f>
        <v/>
      </c>
      <c r="H11" s="55">
        <f>H7+H8+H9+H10</f>
        <v/>
      </c>
      <c r="I11" s="55">
        <f>I7+I8+I9+I10</f>
        <v/>
      </c>
    </row>
    <row r="12" ht="15" customHeight="1">
      <c r="A12" s="37" t="inlineStr">
        <is>
          <t>Byggnadens viktade energianvändning (kWh/år)</t>
        </is>
      </c>
      <c r="C12" s="55">
        <f>SUMPRODUCT(Normalisering!C112:C119,Mätdata!$E$47:$E$54)/Byggnader!$C$10+SUMPRODUCT(Normalisering!C124:C131,Mätdata!$E$47:$E$54)+'Regler BFS 2026'!$B$4*(C9+Normalisering!C140)+'Regler BFS 2026'!$B$6*Normalisering!C141</f>
        <v/>
      </c>
      <c r="D12" s="55">
        <f>SUMPRODUCT(Normalisering!D112:D119,Mätdata!$E$47:$E$54)/Byggnader!$C$10+SUMPRODUCT(Normalisering!D124:D131,Mätdata!$E$47:$E$54)+'Regler BFS 2026'!$B$4*(D9+Normalisering!D140)+'Regler BFS 2026'!$B$6*Normalisering!D141</f>
        <v/>
      </c>
      <c r="E12" s="55">
        <f>SUMPRODUCT(Normalisering!E112:E119,Mätdata!$E$47:$E$54)/Byggnader!$C$10+SUMPRODUCT(Normalisering!E124:E131,Mätdata!$E$47:$E$54)+'Regler BFS 2026'!$B$4*(E9+Normalisering!E140)+'Regler BFS 2026'!$B$6*Normalisering!E141</f>
        <v/>
      </c>
      <c r="F12" s="55">
        <f>SUMPRODUCT(Normalisering!F112:F119,Mätdata!$E$47:$E$54)/Byggnader!$C$10+SUMPRODUCT(Normalisering!F124:F131,Mätdata!$E$47:$E$54)+'Regler BFS 2026'!$B$4*(F9+Normalisering!F140)+'Regler BFS 2026'!$B$6*Normalisering!F141</f>
        <v/>
      </c>
      <c r="G12" s="55">
        <f>SUMPRODUCT(Normalisering!G112:G119,Mätdata!$E$47:$E$54)/Byggnader!$C$10+SUMPRODUCT(Normalisering!G124:G131,Mätdata!$E$47:$E$54)+'Regler BFS 2026'!$B$4*(G9+Normalisering!G140)+'Regler BFS 2026'!$B$6*Normalisering!G141</f>
        <v/>
      </c>
      <c r="H12" s="55">
        <f>SUMPRODUCT(Normalisering!H112:H119,Mätdata!$E$47:$E$54)/Byggnader!$C$10+SUMPRODUCT(Normalisering!H124:H131,Mätdata!$E$47:$E$54)+'Regler BFS 2026'!$B$4*(H9+Normalisering!H140)+'Regler BFS 2026'!$B$6*Normalisering!H141</f>
        <v/>
      </c>
      <c r="I12" s="55">
        <f>SUMPRODUCT(Normalisering!I112:I119,Mätdata!$E$47:$E$54)/Byggnader!$C$10+SUMPRODUCT(Normalisering!I124:I131,Mätdata!$E$47:$E$54)+'Regler BFS 2026'!$B$4*(I9+Normalisering!I140)+'Regler BFS 2026'!$B$6*Normalisering!I141</f>
        <v/>
      </c>
    </row>
    <row r="13" ht="15" customHeight="1">
      <c r="A13" s="16" t="inlineStr">
        <is>
          <t>Energiprestandatal Etal (kWh/m²,år)</t>
        </is>
      </c>
      <c r="C13" s="53">
        <f>IF(C6=0,"",C12/C6)</f>
        <v/>
      </c>
      <c r="D13" s="53">
        <f>IF(D6=0,"",D12/D6)</f>
        <v/>
      </c>
      <c r="E13" s="53">
        <f>IF(E6=0,"",E12/E6)</f>
        <v/>
      </c>
      <c r="F13" s="53">
        <f>IF(F6=0,"",F12/F6)</f>
        <v/>
      </c>
      <c r="G13" s="53">
        <f>IF(G6=0,"",G12/G6)</f>
        <v/>
      </c>
      <c r="H13" s="53">
        <f>IF(H6=0,"",H12/H6)</f>
        <v/>
      </c>
      <c r="I13" s="53">
        <f>IF(I6=0,"",I12/I6)</f>
        <v/>
      </c>
    </row>
    <row r="14" ht="15" customHeight="1">
      <c r="A14" s="37" t="inlineStr">
        <is>
          <t>Energianvändning, oviktad (kWh/m²,år)</t>
        </is>
      </c>
      <c r="C14" s="53">
        <f>IF(C6=0,"",C11/C6)</f>
        <v/>
      </c>
      <c r="D14" s="53">
        <f>IF(D6=0,"",D11/D6)</f>
        <v/>
      </c>
      <c r="E14" s="53">
        <f>IF(E6=0,"",E11/E6)</f>
        <v/>
      </c>
      <c r="F14" s="53">
        <f>IF(F6=0,"",F11/F6)</f>
        <v/>
      </c>
      <c r="G14" s="53">
        <f>IF(G6=0,"",G11/G6)</f>
        <v/>
      </c>
      <c r="H14" s="53">
        <f>IF(H6=0,"",H11/H6)</f>
        <v/>
      </c>
      <c r="I14" s="53">
        <f>IF(I6=0,"",I11/I6)</f>
        <v/>
      </c>
    </row>
    <row r="16" ht="15" customHeight="1">
      <c r="A16" s="16" t="inlineStr">
        <is>
          <t>Högsta Etal per energiklass (kWh/m²,år)</t>
        </is>
      </c>
    </row>
    <row r="17" ht="15" customHeight="1">
      <c r="A17" s="37" t="inlineStr">
        <is>
          <t>Klass A</t>
        </is>
      </c>
      <c r="C17" s="53">
        <f>IF(Normalisering!C$38=0,"",(SUMPRODUCT(Normalisering!C$27:C$37,'Regler BFS 2026'!$F$12:$F$22)+Byggnader!$C$7*SUMPRODUCT(Normalisering!C$27:C$37,'Regler BFS 2026'!$G$12:$G$22))/Normalisering!C$38)</f>
        <v/>
      </c>
      <c r="D17" s="53">
        <f>IF(Normalisering!D$38=0,"",(SUMPRODUCT(Normalisering!D$27:D$37,'Regler BFS 2026'!$F$12:$F$22)+Byggnader!$C$7*SUMPRODUCT(Normalisering!D$27:D$37,'Regler BFS 2026'!$G$12:$G$22))/Normalisering!D$38)</f>
        <v/>
      </c>
      <c r="E17" s="53">
        <f>IF(Normalisering!E$38=0,"",(SUMPRODUCT(Normalisering!E$27:E$37,'Regler BFS 2026'!$F$12:$F$22)+Byggnader!$C$7*SUMPRODUCT(Normalisering!E$27:E$37,'Regler BFS 2026'!$G$12:$G$22))/Normalisering!E$38)</f>
        <v/>
      </c>
      <c r="F17" s="53">
        <f>IF(Normalisering!F$38=0,"",(SUMPRODUCT(Normalisering!F$27:F$37,'Regler BFS 2026'!$F$12:$F$22)+Byggnader!$C$7*SUMPRODUCT(Normalisering!F$27:F$37,'Regler BFS 2026'!$G$12:$G$22))/Normalisering!F$38)</f>
        <v/>
      </c>
      <c r="G17" s="53">
        <f>IF(Normalisering!G$38=0,"",(SUMPRODUCT(Normalisering!G$27:G$37,'Regler BFS 2026'!$F$12:$F$22)+Byggnader!$C$7*SUMPRODUCT(Normalisering!G$27:G$37,'Regler BFS 2026'!$G$12:$G$22))/Normalisering!G$38)</f>
        <v/>
      </c>
      <c r="H17" s="53">
        <f>IF(Normalisering!H$38=0,"",(SUMPRODUCT(Normalisering!H$27:H$37,'Regler BFS 2026'!$F$12:$F$22)+Byggnader!$C$7*SUMPRODUCT(Normalisering!H$27:H$37,'Regler BFS 2026'!$G$12:$G$22))/Normalisering!H$38)</f>
        <v/>
      </c>
      <c r="I17" s="53">
        <f>IF(Normalisering!I$38=0,"",(SUMPRODUCT(Normalisering!I$27:I$37,'Regler BFS 2026'!$F$12:$F$22)+Byggnader!$C$7*SUMPRODUCT(Normalisering!I$27:I$37,'Regler BFS 2026'!$G$12:$G$22))/Normalisering!I$38)</f>
        <v/>
      </c>
    </row>
    <row r="18" ht="15" customHeight="1">
      <c r="A18" s="37" t="inlineStr">
        <is>
          <t>Klass B</t>
        </is>
      </c>
      <c r="C18" s="53">
        <f>IF(Normalisering!C$38=0,"",(SUMPRODUCT(Normalisering!C$27:C$37,'Regler BFS 2026'!$H$12:$H$22)+Byggnader!$C$7*SUMPRODUCT(Normalisering!C$27:C$37,'Regler BFS 2026'!$I$12:$I$22))/Normalisering!C$38)</f>
        <v/>
      </c>
      <c r="D18" s="53">
        <f>IF(Normalisering!D$38=0,"",(SUMPRODUCT(Normalisering!D$27:D$37,'Regler BFS 2026'!$H$12:$H$22)+Byggnader!$C$7*SUMPRODUCT(Normalisering!D$27:D$37,'Regler BFS 2026'!$I$12:$I$22))/Normalisering!D$38)</f>
        <v/>
      </c>
      <c r="E18" s="53">
        <f>IF(Normalisering!E$38=0,"",(SUMPRODUCT(Normalisering!E$27:E$37,'Regler BFS 2026'!$H$12:$H$22)+Byggnader!$C$7*SUMPRODUCT(Normalisering!E$27:E$37,'Regler BFS 2026'!$I$12:$I$22))/Normalisering!E$38)</f>
        <v/>
      </c>
      <c r="F18" s="53">
        <f>IF(Normalisering!F$38=0,"",(SUMPRODUCT(Normalisering!F$27:F$37,'Regler BFS 2026'!$H$12:$H$22)+Byggnader!$C$7*SUMPRODUCT(Normalisering!F$27:F$37,'Regler BFS 2026'!$I$12:$I$22))/Normalisering!F$38)</f>
        <v/>
      </c>
      <c r="G18" s="53">
        <f>IF(Normalisering!G$38=0,"",(SUMPRODUCT(Normalisering!G$27:G$37,'Regler BFS 2026'!$H$12:$H$22)+Byggnader!$C$7*SUMPRODUCT(Normalisering!G$27:G$37,'Regler BFS 2026'!$I$12:$I$22))/Normalisering!G$38)</f>
        <v/>
      </c>
      <c r="H18" s="53">
        <f>IF(Normalisering!H$38=0,"",(SUMPRODUCT(Normalisering!H$27:H$37,'Regler BFS 2026'!$H$12:$H$22)+Byggnader!$C$7*SUMPRODUCT(Normalisering!H$27:H$37,'Regler BFS 2026'!$I$12:$I$22))/Normalisering!H$38)</f>
        <v/>
      </c>
      <c r="I18" s="53">
        <f>IF(Normalisering!I$38=0,"",(SUMPRODUCT(Normalisering!I$27:I$37,'Regler BFS 2026'!$H$12:$H$22)+Byggnader!$C$7*SUMPRODUCT(Normalisering!I$27:I$37,'Regler BFS 2026'!$I$12:$I$22))/Normalisering!I$38)</f>
        <v/>
      </c>
    </row>
    <row r="19" ht="15" customHeight="1">
      <c r="A19" s="37" t="inlineStr">
        <is>
          <t>Klass C</t>
        </is>
      </c>
      <c r="C19" s="53">
        <f>IF(Normalisering!C$38=0,"",(SUMPRODUCT(Normalisering!C$27:C$37,'Regler BFS 2026'!$J$12:$J$22)+Byggnader!$C$7*SUMPRODUCT(Normalisering!C$27:C$37,'Regler BFS 2026'!$K$12:$K$22))/Normalisering!C$38)</f>
        <v/>
      </c>
      <c r="D19" s="53">
        <f>IF(Normalisering!D$38=0,"",(SUMPRODUCT(Normalisering!D$27:D$37,'Regler BFS 2026'!$J$12:$J$22)+Byggnader!$C$7*SUMPRODUCT(Normalisering!D$27:D$37,'Regler BFS 2026'!$K$12:$K$22))/Normalisering!D$38)</f>
        <v/>
      </c>
      <c r="E19" s="53">
        <f>IF(Normalisering!E$38=0,"",(SUMPRODUCT(Normalisering!E$27:E$37,'Regler BFS 2026'!$J$12:$J$22)+Byggnader!$C$7*SUMPRODUCT(Normalisering!E$27:E$37,'Regler BFS 2026'!$K$12:$K$22))/Normalisering!E$38)</f>
        <v/>
      </c>
      <c r="F19" s="53">
        <f>IF(Normalisering!F$38=0,"",(SUMPRODUCT(Normalisering!F$27:F$37,'Regler BFS 2026'!$J$12:$J$22)+Byggnader!$C$7*SUMPRODUCT(Normalisering!F$27:F$37,'Regler BFS 2026'!$K$12:$K$22))/Normalisering!F$38)</f>
        <v/>
      </c>
      <c r="G19" s="53">
        <f>IF(Normalisering!G$38=0,"",(SUMPRODUCT(Normalisering!G$27:G$37,'Regler BFS 2026'!$J$12:$J$22)+Byggnader!$C$7*SUMPRODUCT(Normalisering!G$27:G$37,'Regler BFS 2026'!$K$12:$K$22))/Normalisering!G$38)</f>
        <v/>
      </c>
      <c r="H19" s="53">
        <f>IF(Normalisering!H$38=0,"",(SUMPRODUCT(Normalisering!H$27:H$37,'Regler BFS 2026'!$J$12:$J$22)+Byggnader!$C$7*SUMPRODUCT(Normalisering!H$27:H$37,'Regler BFS 2026'!$K$12:$K$22))/Normalisering!H$38)</f>
        <v/>
      </c>
      <c r="I19" s="53">
        <f>IF(Normalisering!I$38=0,"",(SUMPRODUCT(Normalisering!I$27:I$37,'Regler BFS 2026'!$J$12:$J$22)+Byggnader!$C$7*SUMPRODUCT(Normalisering!I$27:I$37,'Regler BFS 2026'!$K$12:$K$22))/Normalisering!I$38)</f>
        <v/>
      </c>
    </row>
    <row r="20" ht="15" customHeight="1">
      <c r="A20" s="37" t="inlineStr">
        <is>
          <t>Klass D</t>
        </is>
      </c>
      <c r="C20" s="53">
        <f>IF(Normalisering!C$38=0,"",(SUMPRODUCT(Normalisering!C$27:C$37,'Regler BFS 2026'!$L$12:$L$22)+Byggnader!$C$7*SUMPRODUCT(Normalisering!C$27:C$37,'Regler BFS 2026'!$M$12:$M$22))/Normalisering!C$38)</f>
        <v/>
      </c>
      <c r="D20" s="53">
        <f>IF(Normalisering!D$38=0,"",(SUMPRODUCT(Normalisering!D$27:D$37,'Regler BFS 2026'!$L$12:$L$22)+Byggnader!$C$7*SUMPRODUCT(Normalisering!D$27:D$37,'Regler BFS 2026'!$M$12:$M$22))/Normalisering!D$38)</f>
        <v/>
      </c>
      <c r="E20" s="53">
        <f>IF(Normalisering!E$38=0,"",(SUMPRODUCT(Normalisering!E$27:E$37,'Regler BFS 2026'!$L$12:$L$22)+Byggnader!$C$7*SUMPRODUCT(Normalisering!E$27:E$37,'Regler BFS 2026'!$M$12:$M$22))/Normalisering!E$38)</f>
        <v/>
      </c>
      <c r="F20" s="53">
        <f>IF(Normalisering!F$38=0,"",(SUMPRODUCT(Normalisering!F$27:F$37,'Regler BFS 2026'!$L$12:$L$22)+Byggnader!$C$7*SUMPRODUCT(Normalisering!F$27:F$37,'Regler BFS 2026'!$M$12:$M$22))/Normalisering!F$38)</f>
        <v/>
      </c>
      <c r="G20" s="53">
        <f>IF(Normalisering!G$38=0,"",(SUMPRODUCT(Normalisering!G$27:G$37,'Regler BFS 2026'!$L$12:$L$22)+Byggnader!$C$7*SUMPRODUCT(Normalisering!G$27:G$37,'Regler BFS 2026'!$M$12:$M$22))/Normalisering!G$38)</f>
        <v/>
      </c>
      <c r="H20" s="53">
        <f>IF(Normalisering!H$38=0,"",(SUMPRODUCT(Normalisering!H$27:H$37,'Regler BFS 2026'!$L$12:$L$22)+Byggnader!$C$7*SUMPRODUCT(Normalisering!H$27:H$37,'Regler BFS 2026'!$M$12:$M$22))/Normalisering!H$38)</f>
        <v/>
      </c>
      <c r="I20" s="53">
        <f>IF(Normalisering!I$38=0,"",(SUMPRODUCT(Normalisering!I$27:I$37,'Regler BFS 2026'!$L$12:$L$22)+Byggnader!$C$7*SUMPRODUCT(Normalisering!I$27:I$37,'Regler BFS 2026'!$M$12:$M$22))/Normalisering!I$38)</f>
        <v/>
      </c>
    </row>
    <row r="21" ht="15" customHeight="1">
      <c r="A21" s="37" t="inlineStr">
        <is>
          <t>Klass E</t>
        </is>
      </c>
      <c r="C21" s="53">
        <f>IF(Normalisering!C$38=0,"",(SUMPRODUCT(Normalisering!C$27:C$37,'Regler BFS 2026'!$N$12:$N$22)+Byggnader!$C$7*SUMPRODUCT(Normalisering!C$27:C$37,'Regler BFS 2026'!$O$12:$O$22))/Normalisering!C$38)</f>
        <v/>
      </c>
      <c r="D21" s="53">
        <f>IF(Normalisering!D$38=0,"",(SUMPRODUCT(Normalisering!D$27:D$37,'Regler BFS 2026'!$N$12:$N$22)+Byggnader!$C$7*SUMPRODUCT(Normalisering!D$27:D$37,'Regler BFS 2026'!$O$12:$O$22))/Normalisering!D$38)</f>
        <v/>
      </c>
      <c r="E21" s="53">
        <f>IF(Normalisering!E$38=0,"",(SUMPRODUCT(Normalisering!E$27:E$37,'Regler BFS 2026'!$N$12:$N$22)+Byggnader!$C$7*SUMPRODUCT(Normalisering!E$27:E$37,'Regler BFS 2026'!$O$12:$O$22))/Normalisering!E$38)</f>
        <v/>
      </c>
      <c r="F21" s="53">
        <f>IF(Normalisering!F$38=0,"",(SUMPRODUCT(Normalisering!F$27:F$37,'Regler BFS 2026'!$N$12:$N$22)+Byggnader!$C$7*SUMPRODUCT(Normalisering!F$27:F$37,'Regler BFS 2026'!$O$12:$O$22))/Normalisering!F$38)</f>
        <v/>
      </c>
      <c r="G21" s="53">
        <f>IF(Normalisering!G$38=0,"",(SUMPRODUCT(Normalisering!G$27:G$37,'Regler BFS 2026'!$N$12:$N$22)+Byggnader!$C$7*SUMPRODUCT(Normalisering!G$27:G$37,'Regler BFS 2026'!$O$12:$O$22))/Normalisering!G$38)</f>
        <v/>
      </c>
      <c r="H21" s="53">
        <f>IF(Normalisering!H$38=0,"",(SUMPRODUCT(Normalisering!H$27:H$37,'Regler BFS 2026'!$N$12:$N$22)+Byggnader!$C$7*SUMPRODUCT(Normalisering!H$27:H$37,'Regler BFS 2026'!$O$12:$O$22))/Normalisering!H$38)</f>
        <v/>
      </c>
      <c r="I21" s="53">
        <f>IF(Normalisering!I$38=0,"",(SUMPRODUCT(Normalisering!I$27:I$37,'Regler BFS 2026'!$N$12:$N$22)+Byggnader!$C$7*SUMPRODUCT(Normalisering!I$27:I$37,'Regler BFS 2026'!$O$12:$O$22))/Normalisering!I$38)</f>
        <v/>
      </c>
    </row>
    <row r="22" ht="15" customHeight="1">
      <c r="A22" s="37" t="inlineStr">
        <is>
          <t>Klass F</t>
        </is>
      </c>
      <c r="C22" s="53">
        <f>IF(Normalisering!C$38=0,"",(SUMPRODUCT(Normalisering!C$27:C$37,'Regler BFS 2026'!$P$12:$P$22)+Byggnader!$C$7*SUMPRODUCT(Normalisering!C$27:C$37,'Regler BFS 2026'!$Q$12:$Q$22))/Normalisering!C$38)</f>
        <v/>
      </c>
      <c r="D22" s="53">
        <f>IF(Normalisering!D$38=0,"",(SUMPRODUCT(Normalisering!D$27:D$37,'Regler BFS 2026'!$P$12:$P$22)+Byggnader!$C$7*SUMPRODUCT(Normalisering!D$27:D$37,'Regler BFS 2026'!$Q$12:$Q$22))/Normalisering!D$38)</f>
        <v/>
      </c>
      <c r="E22" s="53">
        <f>IF(Normalisering!E$38=0,"",(SUMPRODUCT(Normalisering!E$27:E$37,'Regler BFS 2026'!$P$12:$P$22)+Byggnader!$C$7*SUMPRODUCT(Normalisering!E$27:E$37,'Regler BFS 2026'!$Q$12:$Q$22))/Normalisering!E$38)</f>
        <v/>
      </c>
      <c r="F22" s="53">
        <f>IF(Normalisering!F$38=0,"",(SUMPRODUCT(Normalisering!F$27:F$37,'Regler BFS 2026'!$P$12:$P$22)+Byggnader!$C$7*SUMPRODUCT(Normalisering!F$27:F$37,'Regler BFS 2026'!$Q$12:$Q$22))/Normalisering!F$38)</f>
        <v/>
      </c>
      <c r="G22" s="53">
        <f>IF(Normalisering!G$38=0,"",(SUMPRODUCT(Normalisering!G$27:G$37,'Regler BFS 2026'!$P$12:$P$22)+Byggnader!$C$7*SUMPRODUCT(Normalisering!G$27:G$37,'Regler BFS 2026'!$Q$12:$Q$22))/Normalisering!G$38)</f>
        <v/>
      </c>
      <c r="H22" s="53">
        <f>IF(Normalisering!H$38=0,"",(SUMPRODUCT(Normalisering!H$27:H$37,'Regler BFS 2026'!$P$12:$P$22)+Byggnader!$C$7*SUMPRODUCT(Normalisering!H$27:H$37,'Regler BFS 2026'!$Q$12:$Q$22))/Normalisering!H$38)</f>
        <v/>
      </c>
      <c r="I22" s="53">
        <f>IF(Normalisering!I$38=0,"",(SUMPRODUCT(Normalisering!I$27:I$37,'Regler BFS 2026'!$P$12:$P$22)+Byggnader!$C$7*SUMPRODUCT(Normalisering!I$27:I$37,'Regler BFS 2026'!$Q$12:$Q$22))/Normalisering!I$38)</f>
        <v/>
      </c>
    </row>
    <row r="24" ht="15" customHeight="1">
      <c r="A24" s="16" t="inlineStr">
        <is>
          <t>Energiklass BFS 2026:10</t>
        </is>
      </c>
      <c r="C24" s="291">
        <f>IF(C13="","",IF(C13&lt;=C17,"A",IF(C13&lt;=C18,"B",IF(C13&lt;=C19,"C",IF(C13&lt;=C20,"D",IF(C13&lt;=C21,"E",IF(C13&lt;=C22,"F","G")))))))</f>
        <v/>
      </c>
      <c r="D24" s="291">
        <f>IF(D13="","",IF(D13&lt;=D17,"A",IF(D13&lt;=D18,"B",IF(D13&lt;=D19,"C",IF(D13&lt;=D20,"D",IF(D13&lt;=D21,"E",IF(D13&lt;=D22,"F","G")))))))</f>
        <v/>
      </c>
      <c r="E24" s="291">
        <f>IF(E13="","",IF(E13&lt;=E17,"A",IF(E13&lt;=E18,"B",IF(E13&lt;=E19,"C",IF(E13&lt;=E20,"D",IF(E13&lt;=E21,"E",IF(E13&lt;=E22,"F","G")))))))</f>
        <v/>
      </c>
      <c r="F24" s="291">
        <f>IF(F13="","",IF(F13&lt;=F17,"A",IF(F13&lt;=F18,"B",IF(F13&lt;=F19,"C",IF(F13&lt;=F20,"D",IF(F13&lt;=F21,"E",IF(F13&lt;=F22,"F","G")))))))</f>
        <v/>
      </c>
      <c r="G24" s="291">
        <f>IF(G13="","",IF(G13&lt;=G17,"A",IF(G13&lt;=G18,"B",IF(G13&lt;=G19,"C",IF(G13&lt;=G20,"D",IF(G13&lt;=G21,"E",IF(G13&lt;=G22,"F","G")))))))</f>
        <v/>
      </c>
      <c r="H24" s="291">
        <f>IF(H13="","",IF(H13&lt;=H17,"A",IF(H13&lt;=H18,"B",IF(H13&lt;=H19,"C",IF(H13&lt;=H20,"D",IF(H13&lt;=H21,"E",IF(H13&lt;=H22,"F","G")))))))</f>
        <v/>
      </c>
      <c r="I24" s="291">
        <f>IF(I13="","",IF(I13&lt;=I17,"A",IF(I13&lt;=I18,"B",IF(I13&lt;=I19,"C",IF(I13&lt;=I20,"D",IF(I13&lt;=I21,"E",IF(I13&lt;=I22,"F","G")))))))</f>
        <v/>
      </c>
    </row>
    <row r="25" ht="15" customHeight="1">
      <c r="A25" s="37" t="inlineStr">
        <is>
          <t>Fossila bränslen förbränns på plats</t>
        </is>
      </c>
      <c r="C25" s="291">
        <f>IF(C6=0,"",IF(Normalisering!C60+Normalisering!C61&gt;0,"Ja","Nej"))</f>
        <v/>
      </c>
      <c r="D25" s="291">
        <f>IF(D6=0,"",IF(Normalisering!D60+Normalisering!D61&gt;0,"Ja","Nej"))</f>
        <v/>
      </c>
      <c r="E25" s="291">
        <f>IF(E6=0,"",IF(Normalisering!E60+Normalisering!E61&gt;0,"Ja","Nej"))</f>
        <v/>
      </c>
      <c r="F25" s="291">
        <f>IF(F6=0,"",IF(Normalisering!F60+Normalisering!F61&gt;0,"Ja","Nej"))</f>
        <v/>
      </c>
      <c r="G25" s="291">
        <f>IF(G6=0,"",IF(Normalisering!G60+Normalisering!G61&gt;0,"Ja","Nej"))</f>
        <v/>
      </c>
      <c r="H25" s="291">
        <f>IF(H6=0,"",IF(Normalisering!H60+Normalisering!H61&gt;0,"Ja","Nej"))</f>
        <v/>
      </c>
      <c r="I25" s="291">
        <f>IF(I6=0,"",IF(Normalisering!I60+Normalisering!I61&gt;0,"Ja","Nej"))</f>
        <v/>
      </c>
    </row>
    <row r="26" ht="15" customHeight="1">
      <c r="A26" s="37" t="inlineStr">
        <is>
          <t>Energiprestandakriterium nollutsläppsbyggnad (befintlig)</t>
        </is>
      </c>
      <c r="C26" s="291">
        <f>IF(C13="","",IF(C25="Ja","Ej uppfyllt (fossilt)",IF(C13&lt;=C18,"Uppfyllt","Ej uppfyllt")))</f>
        <v/>
      </c>
      <c r="D26" s="291">
        <f>IF(D13="","",IF(D25="Ja","Ej uppfyllt (fossilt)",IF(D13&lt;=D18,"Uppfyllt","Ej uppfyllt")))</f>
        <v/>
      </c>
      <c r="E26" s="291">
        <f>IF(E13="","",IF(E25="Ja","Ej uppfyllt (fossilt)",IF(E13&lt;=E18,"Uppfyllt","Ej uppfyllt")))</f>
        <v/>
      </c>
      <c r="F26" s="291">
        <f>IF(F13="","",IF(F25="Ja","Ej uppfyllt (fossilt)",IF(F13&lt;=F18,"Uppfyllt","Ej uppfyllt")))</f>
        <v/>
      </c>
      <c r="G26" s="291">
        <f>IF(G13="","",IF(G25="Ja","Ej uppfyllt (fossilt)",IF(G13&lt;=G18,"Uppfyllt","Ej uppfyllt")))</f>
        <v/>
      </c>
      <c r="H26" s="291">
        <f>IF(H13="","",IF(H25="Ja","Ej uppfyllt (fossilt)",IF(H13&lt;=H18,"Uppfyllt","Ej uppfyllt")))</f>
        <v/>
      </c>
      <c r="I26" s="291">
        <f>IF(I13="","",IF(I25="Ja","Ej uppfyllt (fossilt)",IF(I13&lt;=I18,"Uppfyllt","Ej uppfyllt")))</f>
        <v/>
      </c>
    </row>
    <row r="27" ht="15" customHeight="1">
      <c r="A27" s="37" t="inlineStr">
        <is>
          <t>Högsta Etal nya nollutsläppsbyggnader (= gräns klass A)</t>
        </is>
      </c>
      <c r="C27" s="53">
        <f>C17</f>
        <v/>
      </c>
      <c r="D27" s="53">
        <f>D17</f>
        <v/>
      </c>
      <c r="E27" s="53">
        <f>E17</f>
        <v/>
      </c>
      <c r="F27" s="53">
        <f>F17</f>
        <v/>
      </c>
      <c r="G27" s="53">
        <f>G17</f>
        <v/>
      </c>
      <c r="H27" s="53">
        <f>H17</f>
        <v/>
      </c>
      <c r="I27" s="53">
        <f>I17</f>
        <v/>
      </c>
    </row>
    <row r="28" ht="15" customHeight="1">
      <c r="A28" s="37" t="inlineStr">
        <is>
          <t>Högsta Etal befintliga nollutsläppsbyggnader (= gräns klass B)</t>
        </is>
      </c>
      <c r="C28" s="53">
        <f>C18</f>
        <v/>
      </c>
      <c r="D28" s="53">
        <f>D18</f>
        <v/>
      </c>
      <c r="E28" s="53">
        <f>E18</f>
        <v/>
      </c>
      <c r="F28" s="53">
        <f>F18</f>
        <v/>
      </c>
      <c r="G28" s="53">
        <f>G18</f>
        <v/>
      </c>
      <c r="H28" s="53">
        <f>H18</f>
        <v/>
      </c>
      <c r="I28" s="53">
        <f>I18</f>
        <v/>
      </c>
    </row>
    <row r="29" ht="15" customHeight="1">
      <c r="A29" s="37" t="inlineStr">
        <is>
          <t>Krav ny nära-nollenergibyggnad, Etal (BFS 2026:9 tabell 1)</t>
        </is>
      </c>
      <c r="C29" s="53">
        <f>IF(Normalisering!C$38=0,"",(SUMPRODUCT(Normalisering!C$27:C$37,'Regler BFS 2026'!$R$12:$R$22)+Byggnader!$C$7*SUMPRODUCT(Normalisering!C$27:C$37,'Regler BFS 2026'!$S$12:$S$22))/Normalisering!C$38)</f>
        <v/>
      </c>
      <c r="D29" s="53">
        <f>IF(Normalisering!D$38=0,"",(SUMPRODUCT(Normalisering!D$27:D$37,'Regler BFS 2026'!$R$12:$R$22)+Byggnader!$C$7*SUMPRODUCT(Normalisering!D$27:D$37,'Regler BFS 2026'!$S$12:$S$22))/Normalisering!D$38)</f>
        <v/>
      </c>
      <c r="E29" s="53">
        <f>IF(Normalisering!E$38=0,"",(SUMPRODUCT(Normalisering!E$27:E$37,'Regler BFS 2026'!$R$12:$R$22)+Byggnader!$C$7*SUMPRODUCT(Normalisering!E$27:E$37,'Regler BFS 2026'!$S$12:$S$22))/Normalisering!E$38)</f>
        <v/>
      </c>
      <c r="F29" s="53">
        <f>IF(Normalisering!F$38=0,"",(SUMPRODUCT(Normalisering!F$27:F$37,'Regler BFS 2026'!$R$12:$R$22)+Byggnader!$C$7*SUMPRODUCT(Normalisering!F$27:F$37,'Regler BFS 2026'!$S$12:$S$22))/Normalisering!F$38)</f>
        <v/>
      </c>
      <c r="G29" s="53">
        <f>IF(Normalisering!G$38=0,"",(SUMPRODUCT(Normalisering!G$27:G$37,'Regler BFS 2026'!$R$12:$R$22)+Byggnader!$C$7*SUMPRODUCT(Normalisering!G$27:G$37,'Regler BFS 2026'!$S$12:$S$22))/Normalisering!G$38)</f>
        <v/>
      </c>
      <c r="H29" s="53">
        <f>IF(Normalisering!H$38=0,"",(SUMPRODUCT(Normalisering!H$27:H$37,'Regler BFS 2026'!$R$12:$R$22)+Byggnader!$C$7*SUMPRODUCT(Normalisering!H$27:H$37,'Regler BFS 2026'!$S$12:$S$22))/Normalisering!H$38)</f>
        <v/>
      </c>
      <c r="I29" s="53">
        <f>IF(Normalisering!I$38=0,"",(SUMPRODUCT(Normalisering!I$27:I$37,'Regler BFS 2026'!$R$12:$R$22)+Byggnader!$C$7*SUMPRODUCT(Normalisering!I$27:I$37,'Regler BFS 2026'!$S$12:$S$22))/Normalisering!I$38)</f>
        <v/>
      </c>
    </row>
    <row r="31" ht="15" customHeight="1">
      <c r="A31" s="297" t="inlineStr">
        <is>
          <t>Jämförelse med tidigare deklaration</t>
        </is>
      </c>
    </row>
    <row r="32" ht="15" customHeight="1">
      <c r="A32" s="37" t="inlineStr">
        <is>
          <t>Tidigare primärenergital (kWh/m²,år)</t>
        </is>
      </c>
      <c r="C32" s="53">
        <f>IF(Byggnader!C51="","",Byggnader!C51)</f>
        <v/>
      </c>
      <c r="D32" s="53">
        <f>IF(Byggnader!D51="","",Byggnader!D51)</f>
        <v/>
      </c>
      <c r="E32" s="53">
        <f>IF(Byggnader!E51="","",Byggnader!E51)</f>
        <v/>
      </c>
      <c r="F32" s="53">
        <f>IF(Byggnader!F51="","",Byggnader!F51)</f>
        <v/>
      </c>
      <c r="G32" s="53">
        <f>IF(Byggnader!G51="","",Byggnader!G51)</f>
        <v/>
      </c>
      <c r="H32" s="53">
        <f>IF(Byggnader!H51="","",Byggnader!H51)</f>
        <v/>
      </c>
    </row>
    <row r="33" ht="15" customHeight="1">
      <c r="A33" s="37" t="inlineStr">
        <is>
          <t>Tidigare energiklass</t>
        </is>
      </c>
      <c r="C33" s="291">
        <f>IF(Byggnader!C52="","",Byggnader!C52)</f>
        <v/>
      </c>
      <c r="D33" s="291">
        <f>IF(Byggnader!D52="","",Byggnader!D52)</f>
        <v/>
      </c>
      <c r="E33" s="291">
        <f>IF(Byggnader!E52="","",Byggnader!E52)</f>
        <v/>
      </c>
      <c r="F33" s="291">
        <f>IF(Byggnader!F52="","",Byggnader!F52)</f>
        <v/>
      </c>
      <c r="G33" s="291">
        <f>IF(Byggnader!G52="","",Byggnader!G52)</f>
        <v/>
      </c>
      <c r="H33" s="291">
        <f>IF(Byggnader!H52="","",Byggnader!H52)</f>
        <v/>
      </c>
    </row>
    <row r="34" ht="15" customHeight="1">
      <c r="A34" s="37" t="inlineStr">
        <is>
          <t>Skillnad Etal − tidigare primärenergital</t>
        </is>
      </c>
      <c r="C34" s="53">
        <f>IF(OR(C13="",C32=""),"",C13-C32)</f>
        <v/>
      </c>
      <c r="D34" s="53">
        <f>IF(OR(D13="",D32=""),"",D13-D32)</f>
        <v/>
      </c>
      <c r="E34" s="53">
        <f>IF(OR(E13="",E32=""),"",E13-E32)</f>
        <v/>
      </c>
      <c r="F34" s="53">
        <f>IF(OR(F13="",F32=""),"",F13-F32)</f>
        <v/>
      </c>
      <c r="G34" s="53">
        <f>IF(OR(G13="",G32=""),"",G13-G32)</f>
        <v/>
      </c>
      <c r="H34" s="53">
        <f>IF(OR(H13="",H32=""),"",H13-H32)</f>
        <v/>
      </c>
    </row>
  </sheetData>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F102"/>
  <sheetViews>
    <sheetView zoomScaleNormal="100" workbookViewId="0">
      <pane ySplit="6" topLeftCell="A32" activePane="bottomLeft" state="frozen"/>
      <selection pane="bottomLeft" activeCell="C57" sqref="C57"/>
    </sheetView>
  </sheetViews>
  <sheetFormatPr baseColWidth="8" defaultColWidth="8.7265625" defaultRowHeight="14.5"/>
  <cols>
    <col width="52" customWidth="1" min="1" max="1"/>
    <col width="18" customWidth="1" min="2" max="4"/>
    <col width="16" customWidth="1" min="5" max="5"/>
    <col width="62" customWidth="1" min="6" max="6"/>
  </cols>
  <sheetData>
    <row r="1" ht="21.75" customHeight="1">
      <c r="A1" s="15" t="inlineStr">
        <is>
          <t>Inmatning i Gripen</t>
        </is>
      </c>
    </row>
    <row r="2" ht="15" customHeight="1">
      <c r="A2" s="18" t="inlineStr">
        <is>
          <t>Välj byggnad. Avsnitten följer Gripens formulär. Grå celler förs över till Gripen.</t>
        </is>
      </c>
    </row>
    <row r="4" ht="15" customHeight="1">
      <c r="A4" s="16" t="inlineStr">
        <is>
          <t>Byggnad</t>
        </is>
      </c>
      <c r="B4" s="46" t="inlineStr">
        <is>
          <t>Byggnad 1</t>
        </is>
      </c>
    </row>
    <row r="5" ht="15" customHeight="1">
      <c r="A5" s="37" t="inlineStr">
        <is>
          <t>Kolumnindex (hjälpcell)</t>
        </is>
      </c>
      <c r="B5" s="53">
        <f>MATCH(B4,Byggnader!$C$12:$H$12,0)</f>
        <v/>
      </c>
    </row>
    <row r="6" ht="15" customHeight="1">
      <c r="A6" s="37" t="inlineStr">
        <is>
          <t>Egen beteckning / adress</t>
        </is>
      </c>
      <c r="B6" s="291">
        <f>INDEX(Byggnader!$C$13:$H$13,$B$5)&amp;IF(INDEX(Byggnader!$C$14:$H$14,$B$5)="",""," – "&amp;INDEX(Byggnader!$C$14:$H$14,$B$5))</f>
        <v/>
      </c>
      <c r="C6" s="307" t="n"/>
      <c r="D6" s="308" t="n"/>
    </row>
    <row r="8" ht="15" customHeight="1">
      <c r="A8" s="297" t="inlineStr">
        <is>
          <t>Egenskaper</t>
        </is>
      </c>
    </row>
    <row r="9" ht="15" customHeight="1">
      <c r="A9" s="37" t="inlineStr">
        <is>
          <t>Atemp (m²)</t>
        </is>
      </c>
      <c r="B9" s="55">
        <f>INDEX(Normalisering!$C$26:$H$26,$B$5)</f>
        <v/>
      </c>
    </row>
    <row r="10" ht="15" customHeight="1">
      <c r="A10" s="37" t="inlineStr">
        <is>
          <t>Nybyggnadsår</t>
        </is>
      </c>
      <c r="B10" s="53">
        <f>IF(INDEX(Byggnader!$C$17:$H$17,$B$5)="","",INDEX(Byggnader!$C$17:$H$17,$B$5))</f>
        <v/>
      </c>
    </row>
    <row r="12" ht="15" customHeight="1">
      <c r="A12" s="297" t="inlineStr">
        <is>
          <t>Byggnadskategori</t>
        </is>
      </c>
    </row>
    <row r="13" ht="25.5" customHeight="1">
      <c r="A13" s="50" t="inlineStr">
        <is>
          <t>Kategori</t>
        </is>
      </c>
      <c r="B13" s="50" t="inlineStr">
        <is>
          <t>Procent av Atemp</t>
        </is>
      </c>
    </row>
    <row r="14" ht="15" customHeight="1">
      <c r="A14" s="37" t="inlineStr">
        <is>
          <t>Flerbostadshus</t>
        </is>
      </c>
      <c r="B14" s="63">
        <f>IFERROR((INDEX(Normalisering!$C$27:$H$27,$B$5))/INDEX(Normalisering!$C$38:$H$38,$B$5),0)</f>
        <v/>
      </c>
    </row>
    <row r="15" ht="15" customHeight="1">
      <c r="A15" s="37" t="inlineStr">
        <is>
          <t>En- och tvåbostadshus</t>
        </is>
      </c>
      <c r="B15" s="63">
        <f>IFERROR((INDEX(Normalisering!$C$28:$H$28,$B$5)+INDEX(Normalisering!$C$29:$H$29,$B$5)+INDEX(Normalisering!$C$30:$H$30,$B$5))/INDEX(Normalisering!$C$38:$H$38,$B$5),0)</f>
        <v/>
      </c>
    </row>
    <row r="16" ht="15" customHeight="1">
      <c r="A16" s="37" t="inlineStr">
        <is>
          <t>Kontor</t>
        </is>
      </c>
      <c r="B16" s="63">
        <f>IFERROR((INDEX(Normalisering!$C$31:$H$31,$B$5))/INDEX(Normalisering!$C$38:$H$38,$B$5),0)</f>
        <v/>
      </c>
    </row>
    <row r="17" ht="15" customHeight="1">
      <c r="A17" s="37" t="inlineStr">
        <is>
          <t>Utbildning</t>
        </is>
      </c>
      <c r="B17" s="63">
        <f>IFERROR((INDEX(Normalisering!$C$32:$H$32,$B$5))/INDEX(Normalisering!$C$38:$H$38,$B$5),0)</f>
        <v/>
      </c>
    </row>
    <row r="18" ht="15" customHeight="1">
      <c r="A18" s="37" t="inlineStr">
        <is>
          <t>Sjukhus</t>
        </is>
      </c>
      <c r="B18" s="63">
        <f>IFERROR((INDEX(Normalisering!$C$33:$H$33,$B$5))/INDEX(Normalisering!$C$38:$H$38,$B$5),0)</f>
        <v/>
      </c>
    </row>
    <row r="19" ht="15" customHeight="1">
      <c r="A19" s="37" t="inlineStr">
        <is>
          <t>Logi och restaurang</t>
        </is>
      </c>
      <c r="B19" s="63">
        <f>IFERROR((INDEX(Normalisering!$C$34:$H$34,$B$5))/INDEX(Normalisering!$C$38:$H$38,$B$5),0)</f>
        <v/>
      </c>
    </row>
    <row r="20" ht="15" customHeight="1">
      <c r="A20" s="37" t="inlineStr">
        <is>
          <t>Idrott</t>
        </is>
      </c>
      <c r="B20" s="63">
        <f>IFERROR((INDEX(Normalisering!$C$35:$H$35,$B$5))/INDEX(Normalisering!$C$38:$H$38,$B$5),0)</f>
        <v/>
      </c>
    </row>
    <row r="21" ht="15" customHeight="1">
      <c r="A21" s="37" t="inlineStr">
        <is>
          <t>Handel och kultur</t>
        </is>
      </c>
      <c r="B21" s="63">
        <f>IFERROR((INDEX(Normalisering!$C$36:$H$36,$B$5))/INDEX(Normalisering!$C$38:$H$38,$B$5),0)</f>
        <v/>
      </c>
    </row>
    <row r="22" ht="15" customHeight="1">
      <c r="A22" s="37" t="inlineStr">
        <is>
          <t>Annan typ av energianvändande byggnad</t>
        </is>
      </c>
      <c r="B22" s="63">
        <f>IFERROR((INDEX(Normalisering!$C$37:$H$37,$B$5))/INDEX(Normalisering!$C$38:$H$38,$B$5),0)</f>
        <v/>
      </c>
    </row>
    <row r="23" ht="15" customHeight="1">
      <c r="A23" s="16" t="inlineStr">
        <is>
          <t>Summa</t>
        </is>
      </c>
      <c r="B23" s="63">
        <f>SUM(B14:B22)</f>
        <v/>
      </c>
    </row>
    <row r="25" ht="15" customHeight="1">
      <c r="A25" s="297" t="inlineStr">
        <is>
          <t>Energianvändning</t>
        </is>
      </c>
    </row>
    <row r="26" ht="15" customHeight="1">
      <c r="A26" s="37" t="inlineStr">
        <is>
          <t>Mätperiod från och med</t>
        </is>
      </c>
      <c r="B26" s="173">
        <f>Byggnader!C8</f>
        <v/>
      </c>
    </row>
    <row r="27" ht="15" customHeight="1">
      <c r="A27" s="37" t="inlineStr">
        <is>
          <t>Mätperiod till och med</t>
        </is>
      </c>
      <c r="B27" s="173">
        <f>Byggnader!C9</f>
        <v/>
      </c>
    </row>
    <row r="28" ht="15" customHeight="1">
      <c r="A28" s="37" t="inlineStr">
        <is>
          <t>Ort (energi-index)</t>
        </is>
      </c>
      <c r="B28" s="291">
        <f>Byggnader!C6</f>
        <v/>
      </c>
    </row>
    <row r="30" ht="15" customHeight="1">
      <c r="A30" s="16" t="inlineStr">
        <is>
          <t>För uppvärmning</t>
        </is>
      </c>
    </row>
    <row r="31" ht="25.5" customHeight="1">
      <c r="A31" s="50" t="inlineStr">
        <is>
          <t>Energikälla</t>
        </is>
      </c>
      <c r="B31" s="50" t="inlineStr">
        <is>
          <t>Normaliserad energi kWh/år</t>
        </is>
      </c>
      <c r="C31" s="50" t="inlineStr">
        <is>
          <t>Köpt energi kWh/år</t>
        </is>
      </c>
      <c r="D31" s="50" t="inlineStr">
        <is>
          <t>Årsverkningsgrad</t>
        </is>
      </c>
    </row>
    <row r="32" ht="15" customHeight="1">
      <c r="A32" s="174">
        <f>Mätdata!F47</f>
        <v/>
      </c>
      <c r="B32" s="55">
        <f>INDEX(Normalisering!$C$112:$H$112,$B$5)</f>
        <v/>
      </c>
      <c r="C32" s="55">
        <f>INDEX(Normalisering!$C$81:$H$81,$B$5)</f>
        <v/>
      </c>
      <c r="D32" s="172">
        <f>Mätdata!D47</f>
        <v/>
      </c>
    </row>
    <row r="33" ht="15" customHeight="1">
      <c r="A33" s="174">
        <f>Mätdata!F48</f>
        <v/>
      </c>
      <c r="B33" s="55">
        <f>INDEX(Normalisering!$C$113:$H$113,$B$5)</f>
        <v/>
      </c>
      <c r="C33" s="55">
        <f>INDEX(Normalisering!$C$82:$H$82,$B$5)</f>
        <v/>
      </c>
      <c r="D33" s="172">
        <f>Mätdata!D48</f>
        <v/>
      </c>
    </row>
    <row r="34" ht="15" customHeight="1">
      <c r="A34" s="174">
        <f>Mätdata!F49</f>
        <v/>
      </c>
      <c r="B34" s="55">
        <f>INDEX(Normalisering!$C$114:$H$114,$B$5)</f>
        <v/>
      </c>
      <c r="C34" s="55">
        <f>INDEX(Normalisering!$C$83:$H$83,$B$5)</f>
        <v/>
      </c>
      <c r="D34" s="172">
        <f>Mätdata!D49</f>
        <v/>
      </c>
    </row>
    <row r="35" ht="15" customHeight="1">
      <c r="A35" s="174">
        <f>Mätdata!F50</f>
        <v/>
      </c>
      <c r="B35" s="55">
        <f>INDEX(Normalisering!$C$115:$H$115,$B$5)</f>
        <v/>
      </c>
      <c r="C35" s="55">
        <f>INDEX(Normalisering!$C$84:$H$84,$B$5)</f>
        <v/>
      </c>
      <c r="D35" s="172">
        <f>Mätdata!D50</f>
        <v/>
      </c>
    </row>
    <row r="36" ht="15" customHeight="1">
      <c r="A36" s="174">
        <f>Mätdata!F51</f>
        <v/>
      </c>
      <c r="B36" s="55">
        <f>INDEX(Normalisering!$C$116:$H$116,$B$5)</f>
        <v/>
      </c>
      <c r="C36" s="55">
        <f>INDEX(Normalisering!$C$85:$H$85,$B$5)</f>
        <v/>
      </c>
      <c r="D36" s="172">
        <f>Mätdata!D51</f>
        <v/>
      </c>
    </row>
    <row r="37" ht="15" customHeight="1">
      <c r="A37" s="174">
        <f>Mätdata!F52</f>
        <v/>
      </c>
      <c r="B37" s="55">
        <f>INDEX(Normalisering!$C$117:$H$117,$B$5)</f>
        <v/>
      </c>
      <c r="C37" s="55">
        <f>INDEX(Normalisering!$C$86:$H$86,$B$5)</f>
        <v/>
      </c>
      <c r="D37" s="172">
        <f>Mätdata!D52</f>
        <v/>
      </c>
    </row>
    <row r="38" ht="15" customHeight="1">
      <c r="A38" s="174">
        <f>Mätdata!F53</f>
        <v/>
      </c>
      <c r="B38" s="55">
        <f>INDEX(Normalisering!$C$118:$H$118,$B$5)</f>
        <v/>
      </c>
      <c r="C38" s="55">
        <f>INDEX(Normalisering!$C$87:$H$87,$B$5)</f>
        <v/>
      </c>
      <c r="D38" s="172">
        <f>Mätdata!D53</f>
        <v/>
      </c>
    </row>
    <row r="39" ht="15" customHeight="1">
      <c r="A39" s="174">
        <f>Mätdata!F54</f>
        <v/>
      </c>
      <c r="B39" s="55">
        <f>INDEX(Normalisering!$C$119:$H$119,$B$5)</f>
        <v/>
      </c>
      <c r="C39" s="55">
        <f>INDEX(Normalisering!$C$88:$H$88,$B$5)</f>
        <v/>
      </c>
      <c r="D39" s="172">
        <f>Mätdata!D54</f>
        <v/>
      </c>
    </row>
    <row r="41" ht="15" customHeight="1">
      <c r="A41" s="16" t="inlineStr">
        <is>
          <t>För tappvarmvatten</t>
        </is>
      </c>
    </row>
    <row r="42" ht="25.5" customHeight="1">
      <c r="A42" s="50" t="inlineStr">
        <is>
          <t>Energikälla</t>
        </is>
      </c>
      <c r="B42" s="50" t="inlineStr">
        <is>
          <t>Normaliserad energi kWh/år</t>
        </is>
      </c>
      <c r="C42" s="50" t="inlineStr">
        <is>
          <t>Köpt energi kWh/år</t>
        </is>
      </c>
      <c r="D42" s="50" t="inlineStr">
        <is>
          <t>Årsverkningsgrad</t>
        </is>
      </c>
    </row>
    <row r="43" ht="15" customHeight="1">
      <c r="A43" s="174">
        <f>Mätdata!F47</f>
        <v/>
      </c>
      <c r="B43" s="55">
        <f>INDEX(Normalisering!$C$124:$H$124,$B$5)</f>
        <v/>
      </c>
      <c r="C43" s="55">
        <f>INDEX(Normalisering!$C$69:$H$69,$B$5)</f>
        <v/>
      </c>
      <c r="D43" s="172">
        <f>Mätdata!D47</f>
        <v/>
      </c>
    </row>
    <row r="44" ht="15" customHeight="1">
      <c r="A44" s="174">
        <f>Mätdata!F48</f>
        <v/>
      </c>
      <c r="B44" s="55">
        <f>INDEX(Normalisering!$C$125:$H$125,$B$5)</f>
        <v/>
      </c>
      <c r="C44" s="55">
        <f>INDEX(Normalisering!$C$70:$H$70,$B$5)</f>
        <v/>
      </c>
      <c r="D44" s="172">
        <f>Mätdata!D48</f>
        <v/>
      </c>
    </row>
    <row r="45" ht="15" customHeight="1">
      <c r="A45" s="174">
        <f>Mätdata!F49</f>
        <v/>
      </c>
      <c r="B45" s="55">
        <f>INDEX(Normalisering!$C$126:$H$126,$B$5)</f>
        <v/>
      </c>
      <c r="C45" s="55">
        <f>INDEX(Normalisering!$C$71:$H$71,$B$5)</f>
        <v/>
      </c>
      <c r="D45" s="172">
        <f>Mätdata!D49</f>
        <v/>
      </c>
    </row>
    <row r="46" ht="15" customHeight="1">
      <c r="A46" s="174">
        <f>Mätdata!F50</f>
        <v/>
      </c>
      <c r="B46" s="55">
        <f>INDEX(Normalisering!$C$127:$H$127,$B$5)</f>
        <v/>
      </c>
      <c r="C46" s="55">
        <f>INDEX(Normalisering!$C$72:$H$72,$B$5)</f>
        <v/>
      </c>
      <c r="D46" s="172">
        <f>Mätdata!D50</f>
        <v/>
      </c>
    </row>
    <row r="47" ht="15" customHeight="1">
      <c r="A47" s="174">
        <f>Mätdata!F51</f>
        <v/>
      </c>
      <c r="B47" s="55">
        <f>INDEX(Normalisering!$C$128:$H$128,$B$5)</f>
        <v/>
      </c>
      <c r="C47" s="55">
        <f>INDEX(Normalisering!$C$73:$H$73,$B$5)</f>
        <v/>
      </c>
      <c r="D47" s="172">
        <f>Mätdata!D51</f>
        <v/>
      </c>
    </row>
    <row r="48" ht="15" customHeight="1">
      <c r="A48" s="174">
        <f>Mätdata!F52</f>
        <v/>
      </c>
      <c r="B48" s="55">
        <f>INDEX(Normalisering!$C$129:$H$129,$B$5)</f>
        <v/>
      </c>
      <c r="C48" s="55">
        <f>INDEX(Normalisering!$C$74:$H$74,$B$5)</f>
        <v/>
      </c>
      <c r="D48" s="172">
        <f>Mätdata!D52</f>
        <v/>
      </c>
    </row>
    <row r="49" ht="15" customHeight="1">
      <c r="A49" s="174">
        <f>Mätdata!F53</f>
        <v/>
      </c>
      <c r="B49" s="55">
        <f>INDEX(Normalisering!$C$130:$H$130,$B$5)</f>
        <v/>
      </c>
      <c r="C49" s="55">
        <f>INDEX(Normalisering!$C$75:$H$75,$B$5)</f>
        <v/>
      </c>
      <c r="D49" s="172">
        <f>Mätdata!D53</f>
        <v/>
      </c>
    </row>
    <row r="50" ht="15" customHeight="1">
      <c r="A50" s="174">
        <f>Mätdata!F54</f>
        <v/>
      </c>
      <c r="B50" s="55">
        <f>INDEX(Normalisering!$C$131:$H$131,$B$5)</f>
        <v/>
      </c>
      <c r="C50" s="55">
        <f>INDEX(Normalisering!$C$76:$H$76,$B$5)</f>
        <v/>
      </c>
      <c r="D50" s="172">
        <f>Mätdata!D54</f>
        <v/>
      </c>
    </row>
    <row r="52" ht="15" customHeight="1">
      <c r="A52" s="16" t="inlineStr">
        <is>
          <t>Komfortkyla och övrig energi som ingår i energiprestanda</t>
        </is>
      </c>
    </row>
    <row r="53" ht="25.5" customHeight="1">
      <c r="A53" s="50" t="inlineStr">
        <is>
          <t>Energikälla</t>
        </is>
      </c>
      <c r="B53" s="50" t="inlineStr">
        <is>
          <t>Normaliserad energi kWh/år</t>
        </is>
      </c>
      <c r="C53" s="50" t="inlineStr">
        <is>
          <t>Köpt energi kWh/år</t>
        </is>
      </c>
      <c r="D53" s="50" t="inlineStr">
        <is>
          <t>Årsverkningsgrad</t>
        </is>
      </c>
    </row>
    <row r="54" ht="15" customHeight="1">
      <c r="A54" s="37" t="inlineStr">
        <is>
          <t>El för komfortkyla</t>
        </is>
      </c>
      <c r="B54" s="55">
        <f>INDEX(Normalisering!$C$140:$H$140,$B$5)</f>
        <v/>
      </c>
      <c r="C54" s="55">
        <f>INDEX(Normalisering!$C$140:$H$140,$B$5)</f>
        <v/>
      </c>
    </row>
    <row r="55" ht="15" customHeight="1">
      <c r="A55" s="37" t="inlineStr">
        <is>
          <t>Fjärrkyla</t>
        </is>
      </c>
      <c r="B55" s="55">
        <f>INDEX(Normalisering!$C$141:$H$141,$B$5)</f>
        <v/>
      </c>
      <c r="C55" s="55">
        <f>INDEX(Normalisering!$C$141:$H$141,$B$5)</f>
        <v/>
      </c>
    </row>
    <row r="56" ht="15" customHeight="1">
      <c r="A56" s="37" t="inlineStr">
        <is>
          <t>Övrig energi som ingår i energiprestanda (el)</t>
        </is>
      </c>
      <c r="B56" s="55">
        <f>INDEX(Normalisering!$C$139:$H$139,$B$5)</f>
        <v/>
      </c>
      <c r="C56" s="55">
        <f>INDEX(Normalisering!$C$139:$H$139,$B$5)</f>
        <v/>
      </c>
    </row>
    <row r="58" ht="15" customHeight="1">
      <c r="A58" s="16" t="inlineStr">
        <is>
          <t>Förnybar energi producerad på plats</t>
        </is>
      </c>
    </row>
    <row r="59" ht="15" customHeight="1">
      <c r="A59" s="37" t="inlineStr">
        <is>
          <t>Egenanvänd solel som minskar energiprestandatalet (kWh/år)</t>
        </is>
      </c>
      <c r="B59" s="55">
        <f>INDEX(Normalisering!$C$138:$H$138,$B$5)+INDEX(Normalisering!$C$142:$H$142,$B$5)</f>
        <v/>
      </c>
    </row>
    <row r="60" ht="15" customHeight="1">
      <c r="A60" s="37" t="inlineStr">
        <is>
          <t>Solceller: installerad effekt (kWp) / produktion (kWh/år)</t>
        </is>
      </c>
      <c r="B60" s="309">
        <f>INDEX(El!$C$14:$H$14,$B$5)</f>
        <v/>
      </c>
      <c r="C60" s="55">
        <f>INDEX(El!$C$17:$H$17,$B$5)</f>
        <v/>
      </c>
      <c r="D60" s="60" t="n"/>
    </row>
    <row r="61" ht="15" customHeight="1">
      <c r="A61" s="16" t="inlineStr">
        <is>
          <t>Övrig energi som inte ingår i energiprestanda</t>
        </is>
      </c>
    </row>
    <row r="62" ht="15" customHeight="1">
      <c r="A62" s="37" t="inlineStr">
        <is>
          <t>Hushållsel</t>
        </is>
      </c>
      <c r="B62" s="55">
        <f>INDEX(Normalisering!$C$143:$H$143,$B$5)</f>
        <v/>
      </c>
    </row>
    <row r="63" ht="15" customHeight="1">
      <c r="A63" s="37" t="inlineStr">
        <is>
          <t>Verksamhetsel</t>
        </is>
      </c>
      <c r="B63" s="55">
        <f>INDEX(Normalisering!$C$144:$H$144,$B$5)</f>
        <v/>
      </c>
    </row>
    <row r="64" ht="15" customHeight="1">
      <c r="A64" s="37" t="inlineStr">
        <is>
          <t>El utanför systemgräns (t.ex. hiss)</t>
        </is>
      </c>
      <c r="B64" s="55">
        <f>INDEX(Normalisering!$C$145:$H$145,$B$5)</f>
        <v/>
      </c>
    </row>
    <row r="66" ht="15" customHeight="1">
      <c r="A66" s="297" t="inlineStr">
        <is>
          <t>Kontroll mot Gripens beräkning</t>
        </is>
      </c>
    </row>
    <row r="67" ht="15" customHeight="1">
      <c r="A67" s="18" t="inlineStr">
        <is>
          <t>Jämför efter Beräkna i Gripen. Kräver samma energiindex i Byggnader C10 som Gripen använder.</t>
        </is>
      </c>
    </row>
    <row r="68" ht="15" customHeight="1">
      <c r="A68" s="37" t="inlineStr">
        <is>
          <t>Energiprestandatal (kWh/m²,år)</t>
        </is>
      </c>
      <c r="B68" s="53">
        <f>INDEX(Resultat!$C$13:$H$13,$B$5)</f>
        <v/>
      </c>
    </row>
    <row r="69" ht="15" customHeight="1">
      <c r="A69" s="37" t="inlineStr">
        <is>
          <t>Byggnadens energianvändning (kWh/år)</t>
        </is>
      </c>
      <c r="B69" s="55">
        <f>INDEX(Resultat!$C$11:$H$11,$B$5)</f>
        <v/>
      </c>
    </row>
    <row r="70" ht="15" customHeight="1">
      <c r="A70" s="37" t="inlineStr">
        <is>
          <t>Byggnadens viktade energianvändning (kWh/år)</t>
        </is>
      </c>
      <c r="B70" s="55">
        <f>INDEX(Resultat!$C$12:$H$12,$B$5)</f>
        <v/>
      </c>
    </row>
    <row r="71" ht="15" customHeight="1">
      <c r="A71" s="37" t="inlineStr">
        <is>
          <t>Högsta Etal nya nollutsläppsbyggnader</t>
        </is>
      </c>
      <c r="B71" s="53">
        <f>INDEX(Resultat!$C$27:$H$27,$B$5)</f>
        <v/>
      </c>
    </row>
    <row r="72" ht="15" customHeight="1">
      <c r="A72" s="37" t="inlineStr">
        <is>
          <t>Högsta Etal befintliga nollutsläppsbyggnader</t>
        </is>
      </c>
      <c r="B72" s="53">
        <f>INDEX(Resultat!$C$28:$H$28,$B$5)</f>
        <v/>
      </c>
    </row>
    <row r="73" ht="15" customHeight="1">
      <c r="A73" s="37" t="inlineStr">
        <is>
          <t>Energiklass</t>
        </is>
      </c>
      <c r="B73" s="291">
        <f>INDEX(Resultat!$C$24:$H$24,$B$5)</f>
        <v/>
      </c>
    </row>
    <row r="74" ht="15" customHeight="1">
      <c r="A74" s="37" t="inlineStr">
        <is>
          <t>Energibehov för uppvärmning och kyla, ej klimatkorrigerat (kWh/år)</t>
        </is>
      </c>
      <c r="B74" s="55">
        <f>INDEX(Normalisering!$C$120:$H$120,$B$5)+INDEX(Normalisering!$C$140:$H$140,$B$5)+INDEX(Normalisering!$C$141:$H$141,$B$5)</f>
        <v/>
      </c>
    </row>
    <row r="76" ht="15" customHeight="1">
      <c r="A76" s="297" t="inlineStr">
        <is>
          <t>Underlag för normalisering av energivärde</t>
        </is>
      </c>
    </row>
    <row r="77" ht="25.5" customHeight="1">
      <c r="A77" s="50" t="inlineStr">
        <is>
          <t>Parameter</t>
        </is>
      </c>
      <c r="B77" s="50" t="inlineStr">
        <is>
          <t>Faktisk användning/drift</t>
        </is>
      </c>
      <c r="C77" s="50" t="inlineStr">
        <is>
          <t>Kategoritypisk enligt BFS 2026:9</t>
        </is>
      </c>
      <c r="D77" s="50" t="inlineStr">
        <is>
          <t>Har normalisering utförts?</t>
        </is>
      </c>
      <c r="E77" s="50" t="inlineStr">
        <is>
          <t>Påverkan kWh/m²,år</t>
        </is>
      </c>
      <c r="F77" s="50" t="inlineStr">
        <is>
          <t>Kommentar (förslag, redigera fritt)</t>
        </is>
      </c>
    </row>
    <row r="78" ht="25.5" customHeight="1">
      <c r="A78" s="37" t="inlineStr">
        <is>
          <t>Innetemperatur uppvärmningssäsong (°C)</t>
        </is>
      </c>
      <c r="B78" s="309">
        <f>INDEX(Normalisering!$C$14:$H$14,$B$5)</f>
        <v/>
      </c>
      <c r="C78" s="309">
        <f>INDEX(Normalisering!$C$39:$H$39,$B$5)</f>
        <v/>
      </c>
      <c r="D78" s="291">
        <f>INDEX(Normalisering!$C$19:$H$19,$B$5)</f>
        <v/>
      </c>
      <c r="E78" s="309">
        <f>IFERROR(INDEX(Normalisering!$C$105:$H$105,$B$5)/$B$9,0)</f>
        <v/>
      </c>
      <c r="F78" s="175">
        <f>IF(ABS(B78-C78)&lt;0.005,"Faktisk användning motsvarar kategoritypisk.",IF(D78="Ja","Normaliserat från "&amp;FIXED(B78,1)&amp;" till kategoritypiska "&amp;FIXED(C78,1)&amp;" °C. Påverkan "&amp;FIXED(E78,1)&amp;" kWh/m²,år.","Ej normaliserat, avvikelsen bedöms försumbar."))</f>
        <v/>
      </c>
    </row>
    <row r="79" ht="25.5" customHeight="1">
      <c r="A79" s="37" t="inlineStr">
        <is>
          <t>Årsmedelflöde uteluft (l/s,m² Atemp)</t>
        </is>
      </c>
      <c r="B79" s="172">
        <f>INDEX(Normalisering!$C$15:$H$15,$B$5)</f>
        <v/>
      </c>
      <c r="C79" s="172">
        <f>INDEX(Normalisering!$C$40:$H$40,$B$5)</f>
        <v/>
      </c>
      <c r="D79" s="291">
        <f>INDEX(Normalisering!$C$20:$H$20,$B$5)</f>
        <v/>
      </c>
      <c r="E79" s="309">
        <f>IFERROR(INDEX(Normalisering!$C$107:$H$107,$B$5)/$B$9,0)</f>
        <v/>
      </c>
      <c r="F79" s="175">
        <f>IF(ABS(B79-C79)&lt;0.005,"Faktisk användning motsvarar kategoritypisk.",IF(D79="Ja","Normaliserat från "&amp;FIXED(B79,2)&amp;" till kategoritypiska "&amp;FIXED(C79,2)&amp;" l/s,m². Påverkan "&amp;FIXED(E79,1)&amp;" kWh/m²,år.","Ej normaliserat, avvikelsen bedöms försumbar."))</f>
        <v/>
      </c>
    </row>
    <row r="80" ht="25.5" customHeight="1">
      <c r="A80" s="37" t="inlineStr">
        <is>
          <t>Genomsnittlig internlast (W/m² Atemp)</t>
        </is>
      </c>
      <c r="B80" s="172">
        <f>INDEX(Normalisering!$C$49:$H$49,$B$5)</f>
        <v/>
      </c>
      <c r="C80" s="172">
        <f>INDEX(Normalisering!$C$41:$H$41,$B$5)</f>
        <v/>
      </c>
      <c r="D80" s="291">
        <f>INDEX(Normalisering!$C$21:$H$21,$B$5)</f>
        <v/>
      </c>
      <c r="E80" s="309">
        <f>IFERROR(INDEX(Normalisering!$C$106:$H$106,$B$5)/$B$9,0)</f>
        <v/>
      </c>
      <c r="F80" s="175">
        <f>IF(ABS(B80-C80)&lt;0.005,"Faktisk användning motsvarar kategoritypisk.",IF(D80="Ja","Normaliserat från "&amp;FIXED(B80,2)&amp;" till kategoritypiska "&amp;FIXED(C80,2)&amp;" W/m². Påverkan "&amp;FIXED(E80,1)&amp;" kWh/m²,år.","Ej normaliserat, avvikelsen bedöms försumbar."))</f>
        <v/>
      </c>
    </row>
    <row r="81" ht="25.5" customHeight="1">
      <c r="A81" s="37" t="inlineStr">
        <is>
          <t>Energibehov för tappvarmvatten (kWh/m² Atemp,år)</t>
        </is>
      </c>
      <c r="B81" s="309">
        <f>INDEX(Normalisering!$C$52:$H$52,$B$5)</f>
        <v/>
      </c>
      <c r="C81" s="309">
        <f>INDEX(Normalisering!$C$42:$H$42,$B$5)</f>
        <v/>
      </c>
      <c r="D81" s="291">
        <f>INDEX(Normalisering!$C$22:$H$22,$B$5)</f>
        <v/>
      </c>
      <c r="E81" s="309">
        <f>IFERROR((INDEX(Normalisering!$C$132:$H$132,$B$5)-INDEX(Normalisering!$C$77:$H$77,$B$5))/$B$9,0)</f>
        <v/>
      </c>
      <c r="F81" s="175">
        <f>IF(ABS(B81-C81)&lt;0.005,"Faktisk användning motsvarar kategoritypisk.",IF(D81="Ja","Normaliserat från "&amp;FIXED(B81,1)&amp;" till kategoritypiska "&amp;FIXED(C81,1)&amp;" kWh/m². Påverkan "&amp;FIXED(E81,1)&amp;" kWh/m²,år.","Ej normaliserat, avvikelsen bedöms försumbar."))</f>
        <v/>
      </c>
    </row>
    <row r="83" ht="15" customHeight="1">
      <c r="A83" s="297" t="inlineStr">
        <is>
          <t>Kontroller och inspektioner, nominell effekt</t>
        </is>
      </c>
    </row>
    <row r="84" ht="15" customHeight="1">
      <c r="A84" s="37" t="inlineStr">
        <is>
          <t>Leveransdata för fjärrvärme, hela värmecentralen (kW)</t>
        </is>
      </c>
      <c r="B84" s="53">
        <f>Besiktningsprotokoll!H30</f>
        <v/>
      </c>
    </row>
    <row r="85" ht="15" customHeight="1">
      <c r="A85" s="37" t="inlineStr">
        <is>
          <t>Övrigt: W/m² × A-temp för denna byggnad (kW)</t>
        </is>
      </c>
      <c r="B85" s="53">
        <f>Besiktningsprotokoll!B28*$B$9/1000</f>
        <v/>
      </c>
    </row>
    <row r="87" ht="15" customHeight="1">
      <c r="A87" s="297" t="inlineStr">
        <is>
          <t>Rekommenderade åtgärder (aktiverade i åtgärdsflikarna)</t>
        </is>
      </c>
    </row>
    <row r="88" ht="25.5" customHeight="1">
      <c r="A88" s="50" t="inlineStr">
        <is>
          <t>Åtgärd</t>
        </is>
      </c>
      <c r="B88" s="50" t="inlineStr">
        <is>
          <t>Aktiverad</t>
        </is>
      </c>
      <c r="C88" s="50" t="inlineStr">
        <is>
          <t>Besparing hela fastigheten kWh/år</t>
        </is>
      </c>
      <c r="D88" s="50" t="inlineStr">
        <is>
          <t>Besparing denna byggnad kWh/år</t>
        </is>
      </c>
      <c r="E88" s="50" t="inlineStr">
        <is>
          <t>Besparingskostnad kr/kWh</t>
        </is>
      </c>
    </row>
    <row r="89" ht="15" customHeight="1">
      <c r="A89" s="174">
        <f>'Installera bergvärme'!A1</f>
        <v/>
      </c>
      <c r="B89" s="291">
        <f>'Installera bergvärme'!B2</f>
        <v/>
      </c>
      <c r="C89" s="55">
        <f>Sammanfattning!N19</f>
        <v/>
      </c>
      <c r="D89" s="55">
        <f>IF(B89="Ja",IFERROR(C89*INDEX(Byggnader!$C$33:$H$33,$B$5),0),"")</f>
        <v/>
      </c>
      <c r="E89" s="172">
        <f>IFERROR(IF(B89="Ja",'Installera bergvärme'!C43,""),"")</f>
        <v/>
      </c>
    </row>
    <row r="90" ht="15" customHeight="1">
      <c r="A90" s="174">
        <f>'Injustering av värmesystem'!A1</f>
        <v/>
      </c>
      <c r="B90" s="291">
        <f>'Injustering av värmesystem'!B2</f>
        <v/>
      </c>
      <c r="C90" s="55">
        <f>Sammanfattning!N20</f>
        <v/>
      </c>
      <c r="D90" s="55">
        <f>IF(B90="Ja",IFERROR(C90*INDEX(Byggnader!$C$33:$H$33,$B$5),0),"")</f>
        <v/>
      </c>
      <c r="E90" s="172">
        <f>IFERROR(IF(B90="Ja",'Injustering av värmesystem'!C43,""),"")</f>
        <v/>
      </c>
    </row>
    <row r="91" ht="15" customHeight="1">
      <c r="A91" s="174">
        <f>'Styrsystem för värme'!A1</f>
        <v/>
      </c>
      <c r="B91" s="291">
        <f>'Styrsystem för värme'!B2</f>
        <v/>
      </c>
      <c r="C91" s="55">
        <f>Sammanfattning!N21</f>
        <v/>
      </c>
      <c r="D91" s="55">
        <f>IF(B91="Ja",IFERROR(C91*INDEX(Byggnader!$C$33:$H$33,$B$5),0),"")</f>
        <v/>
      </c>
      <c r="E91" s="172">
        <f>IFERROR(IF(B91="Ja",'Styrsystem för värme'!C43,""),"")</f>
        <v/>
      </c>
    </row>
    <row r="92" ht="15" customHeight="1">
      <c r="A92" s="174">
        <f>'Tilläggisolering av vindsbjälk'!A1</f>
        <v/>
      </c>
      <c r="B92" s="291">
        <f>'Tilläggisolering av vindsbjälk'!B2</f>
        <v/>
      </c>
      <c r="C92" s="55">
        <f>Sammanfattning!N22</f>
        <v/>
      </c>
      <c r="D92" s="55">
        <f>IF(B92="Ja",IFERROR(C92*INDEX(Byggnader!$C$33:$H$33,$B$5),0),"")</f>
        <v/>
      </c>
      <c r="E92" s="172">
        <f>IFERROR(IF(B92="Ja",'Tilläggisolering av vindsbjälk'!C43,""),"")</f>
        <v/>
      </c>
    </row>
    <row r="93" ht="15" customHeight="1">
      <c r="A93" s="174">
        <f>'Byte fönster'!A1</f>
        <v/>
      </c>
      <c r="B93" s="291">
        <f>'Byte fönster'!B2</f>
        <v/>
      </c>
      <c r="C93" s="55">
        <f>Sammanfattning!N23</f>
        <v/>
      </c>
      <c r="D93" s="55">
        <f>IF(B93="Ja",IFERROR(C93*INDEX(Byggnader!$C$33:$H$33,$B$5),0),"")</f>
        <v/>
      </c>
      <c r="E93" s="172">
        <f>IFERROR(IF(B93="Ja",'Byte fönster'!C43,""),"")</f>
        <v/>
      </c>
    </row>
    <row r="94" ht="15" customHeight="1">
      <c r="A94" s="174">
        <f>'Tilläggisol fasad'!A1</f>
        <v/>
      </c>
      <c r="B94" s="291">
        <f>'Tilläggisol fasad'!B2</f>
        <v/>
      </c>
      <c r="C94" s="55">
        <f>Sammanfattning!N24</f>
        <v/>
      </c>
      <c r="D94" s="55">
        <f>IF(B94="Ja",IFERROR(C94*INDEX(Byggnader!$C$33:$H$33,$B$5),0),"")</f>
        <v/>
      </c>
      <c r="E94" s="172">
        <f>IFERROR(IF(B94="Ja",'Tilläggisol fasad'!C43,""),"")</f>
        <v/>
      </c>
    </row>
    <row r="95" ht="15" customHeight="1">
      <c r="A95" s="174">
        <f>'Installation F-återvinning'!A1</f>
        <v/>
      </c>
      <c r="B95" s="291">
        <f>'Installation F-återvinning'!B2</f>
        <v/>
      </c>
      <c r="C95" s="55">
        <f>Sammanfattning!N25</f>
        <v/>
      </c>
      <c r="D95" s="55">
        <f>IF(B95="Ja",IFERROR(C95*INDEX(Byggnader!$C$33:$H$33,$B$5),0),"")</f>
        <v/>
      </c>
      <c r="E95" s="172">
        <f>IFERROR(IF(B95="Ja",'Installation F-återvinning'!C43,""),"")</f>
        <v/>
      </c>
    </row>
    <row r="96" ht="15" customHeight="1">
      <c r="A96" s="174">
        <f>'Installation av solceller'!A1</f>
        <v/>
      </c>
      <c r="B96" s="291">
        <f>'Installation av solceller'!B2</f>
        <v/>
      </c>
      <c r="C96" s="55">
        <f>Sammanfattning!N26</f>
        <v/>
      </c>
      <c r="D96" s="55">
        <f>IF(B96="Ja",IFERROR(C96*INDEX(Byggnader!$C$33:$H$33,$B$5),0),"")</f>
        <v/>
      </c>
      <c r="E96" s="172">
        <f>IFERROR(IF(B96="Ja",'Installation av solceller'!C43,""),"")</f>
        <v/>
      </c>
    </row>
    <row r="97" ht="15" customHeight="1">
      <c r="A97" s="174">
        <f>'Byte av pump'!A1</f>
        <v/>
      </c>
      <c r="B97" s="291">
        <f>'Byte av pump'!B2</f>
        <v/>
      </c>
      <c r="C97" s="55">
        <f>Sammanfattning!N27</f>
        <v/>
      </c>
      <c r="D97" s="55">
        <f>IF(B97="Ja",IFERROR(C97*INDEX(Byggnader!$C$33:$H$33,$B$5),0),"")</f>
        <v/>
      </c>
      <c r="E97" s="172">
        <f>IFERROR(IF(B97="Ja",'Byte av pump'!C43,""),"")</f>
        <v/>
      </c>
    </row>
    <row r="98" ht="15" customHeight="1">
      <c r="A98" s="174">
        <f>'Byte av fläkt'!A1</f>
        <v/>
      </c>
      <c r="B98" s="291">
        <f>'Byte av fläkt'!B2</f>
        <v/>
      </c>
      <c r="C98" s="55">
        <f>Sammanfattning!N28</f>
        <v/>
      </c>
      <c r="D98" s="55">
        <f>IF(B98="Ja",IFERROR(C98*INDEX(Byggnader!$C$33:$H$33,$B$5),0),"")</f>
        <v/>
      </c>
      <c r="E98" s="172">
        <f>IFERROR(IF(B98="Ja",'Byte av fläkt'!C43,""),"")</f>
        <v/>
      </c>
    </row>
    <row r="99" ht="15" customHeight="1">
      <c r="A99" s="174">
        <f>'Övrig åtgärd'!A1</f>
        <v/>
      </c>
      <c r="B99" s="291">
        <f>'Övrig åtgärd'!B2</f>
        <v/>
      </c>
      <c r="C99" s="55">
        <f>Sammanfattning!N29</f>
        <v/>
      </c>
      <c r="D99" s="55">
        <f>IF(B99="Ja",IFERROR(C99*INDEX(Byggnader!$C$33:$H$33,$B$5),0),"")</f>
        <v/>
      </c>
      <c r="E99" s="172">
        <f>IFERROR(IF(B99="Ja",'Övrig åtgärd'!C43,""),"")</f>
        <v/>
      </c>
    </row>
    <row r="100" ht="15" customHeight="1">
      <c r="A100" s="297" t="inlineStr">
        <is>
          <t>Kriterier för nollutsläppsbyggnad (A0)</t>
        </is>
      </c>
    </row>
    <row r="101" ht="15" customHeight="1">
      <c r="A101" s="37" t="inlineStr">
        <is>
          <t>Fossila bränslen förbränns på plats</t>
        </is>
      </c>
      <c r="B101" s="291">
        <f>INDEX(Resultat!$C$25:$H$25,$B$5)</f>
        <v/>
      </c>
    </row>
    <row r="102" ht="15" customHeight="1">
      <c r="A102" s="37" t="inlineStr">
        <is>
          <t>Energiprestandakriterium (befintlig byggnad)</t>
        </is>
      </c>
      <c r="B102" s="291">
        <f>INDEX(Resultat!$C$26:$H$26,$B$5)</f>
        <v/>
      </c>
    </row>
  </sheetData>
  <mergeCells count="1">
    <mergeCell ref="B6:D6"/>
  </mergeCells>
  <dataValidations count="1">
    <dataValidation sqref="B4" showDropDown="0" showInputMessage="0" showErrorMessage="0" allowBlank="0" type="list">
      <formula1>Byggnader!$C$12:$H$12</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6:D96"/>
  <sheetViews>
    <sheetView zoomScaleNormal="100" workbookViewId="0">
      <selection activeCell="B33" sqref="B33"/>
    </sheetView>
  </sheetViews>
  <sheetFormatPr baseColWidth="8" defaultColWidth="8.7265625" defaultRowHeight="14.5"/>
  <cols>
    <col width="37.26953125" customWidth="1" min="1" max="1"/>
    <col width="13.86328125" customWidth="1" min="2" max="2"/>
    <col width="16.26953125" customWidth="1" min="3" max="3"/>
    <col width="19.26953125" customWidth="1" min="4" max="4"/>
  </cols>
  <sheetData>
    <row r="5" ht="15.75" customHeight="1"/>
    <row r="6" ht="15" customHeight="1">
      <c r="A6" s="176" t="inlineStr">
        <is>
          <t>Beräkning U-värde</t>
        </is>
      </c>
      <c r="B6" s="177" t="n"/>
      <c r="C6" s="177" t="n"/>
      <c r="D6" s="178" t="n"/>
    </row>
    <row r="7" ht="15" customHeight="1">
      <c r="A7" s="179" t="inlineStr">
        <is>
          <t>U-bef</t>
        </is>
      </c>
      <c r="B7" t="n">
        <v>0.35</v>
      </c>
      <c r="D7" s="180" t="n"/>
    </row>
    <row r="8" ht="15" customHeight="1">
      <c r="A8" s="179" t="inlineStr">
        <is>
          <t>R-värde tilläggsisolering</t>
        </is>
      </c>
      <c r="B8" t="n">
        <v>7</v>
      </c>
      <c r="D8" s="180" t="n"/>
    </row>
    <row r="9" ht="15.75" customHeight="1">
      <c r="A9" s="181" t="inlineStr">
        <is>
          <t>Nytt U-värde</t>
        </is>
      </c>
      <c r="B9" s="182">
        <f>1/((1/B7)+B8)</f>
        <v/>
      </c>
      <c r="C9" s="183" t="n"/>
      <c r="D9" s="184" t="n"/>
    </row>
    <row r="10" ht="15.75" customHeight="1">
      <c r="B10" s="185" t="n"/>
    </row>
    <row r="11" ht="15" customHeight="1">
      <c r="A11" s="176" t="inlineStr">
        <is>
          <t>Beräkning bjälklagsförluster</t>
        </is>
      </c>
      <c r="B11" s="186" t="n"/>
      <c r="C11" s="177" t="n"/>
      <c r="D11" s="178" t="n"/>
    </row>
    <row r="12" ht="15" customHeight="1">
      <c r="A12" s="179" t="inlineStr">
        <is>
          <t>Antal våningar</t>
        </is>
      </c>
      <c r="B12" t="n">
        <v>4</v>
      </c>
      <c r="D12" s="180" t="n"/>
    </row>
    <row r="13" ht="15" customHeight="1">
      <c r="A13" s="179" t="inlineStr">
        <is>
          <t>Antal bjälklag</t>
        </is>
      </c>
      <c r="B13" t="n">
        <v>5</v>
      </c>
      <c r="D13" s="180" t="n"/>
    </row>
    <row r="14" ht="15" customHeight="1">
      <c r="A14" s="179" t="inlineStr">
        <is>
          <t>%fönsteryta</t>
        </is>
      </c>
      <c r="B14" s="187" t="n">
        <v>0.15</v>
      </c>
      <c r="D14" s="180" t="n"/>
    </row>
    <row r="15" ht="15" customHeight="1">
      <c r="A15" s="179" t="inlineStr">
        <is>
          <t>U-värde vägg</t>
        </is>
      </c>
      <c r="B15" t="n">
        <v>0.4</v>
      </c>
      <c r="D15" s="180" t="n"/>
    </row>
    <row r="16" ht="15" customHeight="1">
      <c r="A16" s="179" t="inlineStr">
        <is>
          <t>U-värde bjälklag</t>
        </is>
      </c>
      <c r="B16" t="n">
        <v>0.31</v>
      </c>
      <c r="D16" s="180" t="n"/>
    </row>
    <row r="17" ht="15" customHeight="1">
      <c r="A17" s="179" t="inlineStr">
        <is>
          <t>Gradtimmar</t>
        </is>
      </c>
      <c r="B17" t="n">
        <v>100000</v>
      </c>
      <c r="D17" s="180" t="n"/>
    </row>
    <row r="18" ht="15" customHeight="1">
      <c r="A18" s="179" t="inlineStr">
        <is>
          <t>Invändig bredd</t>
        </is>
      </c>
      <c r="B18" t="n">
        <v>10</v>
      </c>
      <c r="D18" s="180" t="n"/>
    </row>
    <row r="19" ht="15" customHeight="1">
      <c r="A19" s="179" t="inlineStr">
        <is>
          <t>Invändig längd</t>
        </is>
      </c>
      <c r="B19" t="n">
        <v>30</v>
      </c>
      <c r="D19" s="180" t="n"/>
    </row>
    <row r="20" ht="15.75" customHeight="1">
      <c r="A20" s="188" t="inlineStr">
        <is>
          <t>Förluster bjälklag kWh/m2 väggyta</t>
        </is>
      </c>
      <c r="B20" s="334">
        <f>B16*(B18+B19+B18+B19)*B13/(((B18+B19+B18+B19)*B12*2.7-B14*B18*B19*B12))*100000/1000</f>
        <v/>
      </c>
      <c r="C20" s="183" t="n"/>
      <c r="D20" s="184" t="n"/>
    </row>
    <row r="22" ht="15.75" customHeight="1"/>
    <row r="23" ht="15" customHeight="1">
      <c r="A23" s="176" t="inlineStr">
        <is>
          <t>Beräkning U-värde besparing</t>
        </is>
      </c>
      <c r="B23" s="177" t="n"/>
      <c r="C23" s="177" t="n"/>
      <c r="D23" s="178" t="n"/>
    </row>
    <row r="24" ht="15" customHeight="1">
      <c r="A24" s="179" t="n"/>
      <c r="C24" t="inlineStr">
        <is>
          <t>Energianvändning</t>
        </is>
      </c>
      <c r="D24" s="180" t="inlineStr">
        <is>
          <t>Energianvändning/m2</t>
        </is>
      </c>
    </row>
    <row r="25" ht="15" customHeight="1">
      <c r="A25" s="179" t="inlineStr">
        <is>
          <t>Gradtimmar Före</t>
        </is>
      </c>
      <c r="B25" t="n">
        <v>110000</v>
      </c>
      <c r="D25" s="180" t="n"/>
    </row>
    <row r="26" ht="15" customHeight="1">
      <c r="A26" s="179" t="inlineStr">
        <is>
          <t>Gradtimmar Efter</t>
        </is>
      </c>
      <c r="B26" t="n">
        <v>100000</v>
      </c>
      <c r="D26" s="180" t="n"/>
    </row>
    <row r="27" ht="15" customHeight="1">
      <c r="A27" s="179" t="inlineStr">
        <is>
          <t>Yta m2</t>
        </is>
      </c>
      <c r="B27" t="n">
        <v>3679</v>
      </c>
      <c r="D27" s="180" t="n"/>
    </row>
    <row r="28" ht="15" customHeight="1">
      <c r="A28" s="179" t="inlineStr">
        <is>
          <t>U-värde bef</t>
        </is>
      </c>
      <c r="B28" t="n">
        <v>0.35</v>
      </c>
      <c r="C28">
        <f>B28*B27*B25/1000</f>
        <v/>
      </c>
      <c r="D28" s="180">
        <f>C28/B27</f>
        <v/>
      </c>
    </row>
    <row r="29" ht="15" customHeight="1">
      <c r="A29" s="179" t="inlineStr">
        <is>
          <t>U-värde nytt</t>
        </is>
      </c>
      <c r="B29" t="n">
        <v>0.1</v>
      </c>
      <c r="C29">
        <f>B29*B27*B26/1000</f>
        <v/>
      </c>
      <c r="D29" s="180">
        <f>C29/B27</f>
        <v/>
      </c>
    </row>
    <row r="30" ht="15.75" customHeight="1">
      <c r="A30" s="181" t="inlineStr">
        <is>
          <t>Energibesparing/år</t>
        </is>
      </c>
      <c r="B30" s="190">
        <f>(B28*B27*B25/1000)-(B29*B27*B26/1000)</f>
        <v/>
      </c>
      <c r="C30" s="183" t="n"/>
      <c r="D30" s="184">
        <f>D28-D29</f>
        <v/>
      </c>
    </row>
    <row r="31" ht="15.75" customHeight="1"/>
    <row r="32" ht="15" customHeight="1">
      <c r="A32" s="176" t="inlineStr">
        <is>
          <t>Beräkning injustering värmesystem/sänkning rumstemperatur</t>
        </is>
      </c>
      <c r="B32" s="177" t="n"/>
      <c r="C32" s="177" t="n"/>
      <c r="D32" s="178" t="n"/>
    </row>
    <row r="33" ht="15" customHeight="1">
      <c r="A33" s="179" t="n"/>
      <c r="D33" s="180" t="n"/>
    </row>
    <row r="34" ht="15" customHeight="1">
      <c r="A34" s="179" t="inlineStr">
        <is>
          <t>Genomsnittstemperatur bef</t>
        </is>
      </c>
      <c r="B34" t="n">
        <v>22</v>
      </c>
      <c r="D34" s="180" t="n"/>
    </row>
    <row r="35" ht="15" customHeight="1">
      <c r="A35" s="179" t="inlineStr">
        <is>
          <t>Genomsnittstemperatur ny</t>
        </is>
      </c>
      <c r="B35" t="n">
        <v>21</v>
      </c>
      <c r="D35" s="180" t="n"/>
    </row>
    <row r="36" ht="15" customHeight="1">
      <c r="A36" s="179" t="inlineStr">
        <is>
          <t>Beräknad besparing/sänkt grad %</t>
        </is>
      </c>
      <c r="B36" t="n">
        <v>5</v>
      </c>
      <c r="C36" s="191">
        <f>(B34-B35)/100*B36</f>
        <v/>
      </c>
      <c r="D36" s="180" t="n"/>
    </row>
    <row r="37" ht="15" customHeight="1">
      <c r="A37" s="179" t="inlineStr">
        <is>
          <t>Energiförbrukning värme befintligt kWh/m2</t>
        </is>
      </c>
      <c r="B37" s="185">
        <f>Normalisering!$I$89/Byggnader!$I$32</f>
        <v/>
      </c>
      <c r="D37" s="180" t="n"/>
    </row>
    <row r="38" ht="15" customHeight="1">
      <c r="A38" s="179" t="inlineStr">
        <is>
          <t>Energiförbrukning värme ny kWh/m2</t>
        </is>
      </c>
      <c r="B38" s="185">
        <f>B37-B37*C36</f>
        <v/>
      </c>
      <c r="D38" s="180" t="n"/>
    </row>
    <row r="39" ht="15" customHeight="1">
      <c r="A39" s="179" t="inlineStr">
        <is>
          <t>Besparing kwh/m2</t>
        </is>
      </c>
      <c r="B39" s="185">
        <f>B37-B38</f>
        <v/>
      </c>
      <c r="D39" s="180" t="n"/>
    </row>
    <row r="40" ht="15.75" customHeight="1">
      <c r="A40" s="181" t="n"/>
      <c r="B40" s="183" t="n"/>
      <c r="C40" s="183" t="n"/>
      <c r="D40" s="184" t="n"/>
    </row>
    <row r="41" ht="15.75" customHeight="1"/>
    <row r="42" ht="15" customHeight="1">
      <c r="A42" s="176" t="inlineStr">
        <is>
          <t>Beräkning Tryck/tempstyrning vent</t>
        </is>
      </c>
      <c r="B42" s="177" t="n"/>
      <c r="C42" s="177" t="n"/>
      <c r="D42" s="178" t="n"/>
    </row>
    <row r="43" ht="15" customHeight="1">
      <c r="A43" s="179" t="n"/>
      <c r="D43" s="180" t="n"/>
    </row>
    <row r="44" ht="15" customHeight="1">
      <c r="A44" s="179" t="inlineStr">
        <is>
          <t>Luftflöde befintligt/m2</t>
        </is>
      </c>
      <c r="B44" t="n">
        <v>0.35</v>
      </c>
      <c r="D44" s="180" t="n"/>
    </row>
    <row r="45" ht="15" customHeight="1">
      <c r="A45" s="179" t="inlineStr">
        <is>
          <t>Minskning vid -20</t>
        </is>
      </c>
      <c r="B45" s="187" t="n">
        <v>0.15</v>
      </c>
      <c r="D45" s="180" t="n"/>
    </row>
    <row r="46" ht="15" customHeight="1">
      <c r="A46" s="179" t="inlineStr">
        <is>
          <t>Minskning vid -10</t>
        </is>
      </c>
      <c r="B46" s="187" t="n">
        <v>0.1</v>
      </c>
      <c r="D46" s="180" t="n"/>
    </row>
    <row r="47" ht="15" customHeight="1">
      <c r="A47" s="179" t="inlineStr">
        <is>
          <t>Minkning vid 0</t>
        </is>
      </c>
      <c r="B47" s="187" t="n">
        <v>0.05</v>
      </c>
      <c r="D47" s="180" t="n"/>
    </row>
    <row r="48" ht="15" customHeight="1">
      <c r="A48" s="179" t="n"/>
      <c r="D48" s="180" t="n"/>
    </row>
    <row r="49" ht="15" customHeight="1">
      <c r="A49" s="179" t="n"/>
      <c r="D49" s="180" t="n"/>
    </row>
    <row r="50" ht="15.75" customHeight="1">
      <c r="A50" s="181" t="n"/>
      <c r="B50" s="183" t="n"/>
      <c r="C50" s="183" t="n"/>
      <c r="D50" s="184" t="n"/>
    </row>
    <row r="52" ht="15.75" customHeight="1"/>
    <row r="53" ht="15" customHeight="1">
      <c r="A53" s="176" t="inlineStr">
        <is>
          <t>Beräkning installation av frånluftsvärmepump</t>
        </is>
      </c>
      <c r="B53" s="177" t="n"/>
      <c r="C53" s="177" t="n"/>
      <c r="D53" s="178" t="n"/>
    </row>
    <row r="54" ht="15" customHeight="1">
      <c r="A54" s="179" t="n"/>
      <c r="D54" s="180" t="n"/>
    </row>
    <row r="55" ht="15" customHeight="1">
      <c r="A55" s="179" t="inlineStr">
        <is>
          <t>Befintligt dimensionerat luftflöde L/s m2</t>
        </is>
      </c>
      <c r="B55" t="n">
        <v>0.35</v>
      </c>
      <c r="D55" s="180" t="n"/>
    </row>
    <row r="56" ht="15" customHeight="1">
      <c r="A56" s="179" t="inlineStr">
        <is>
          <t>Totalt luftflöde M3/s</t>
        </is>
      </c>
      <c r="B56">
        <f>Byggnader!$I$32*B55/1000</f>
        <v/>
      </c>
      <c r="D56" s="180" t="n"/>
    </row>
    <row r="57" ht="15" customHeight="1">
      <c r="A57" s="179" t="inlineStr">
        <is>
          <t>Avluftstemperatur</t>
        </is>
      </c>
      <c r="B57" t="n">
        <v>4</v>
      </c>
      <c r="D57" s="180" t="n"/>
    </row>
    <row r="58" ht="15" customHeight="1">
      <c r="A58" s="179" t="inlineStr">
        <is>
          <t>Frånluftstemperatur</t>
        </is>
      </c>
      <c r="B58" t="n">
        <v>18</v>
      </c>
      <c r="D58" s="180" t="n"/>
    </row>
    <row r="59" ht="15" customHeight="1">
      <c r="A59" s="179" t="inlineStr">
        <is>
          <t>Drifttid/år</t>
        </is>
      </c>
      <c r="B59" t="n">
        <v>5500</v>
      </c>
      <c r="D59" s="180" t="n"/>
    </row>
    <row r="60" ht="15" customHeight="1">
      <c r="A60" s="179" t="inlineStr">
        <is>
          <t>Potentiell återvunnen energimängd</t>
        </is>
      </c>
      <c r="B60">
        <f>(B58-B57)*B56*1.2*1*5000</f>
        <v/>
      </c>
      <c r="D60" s="180" t="n"/>
    </row>
    <row r="61" ht="15" customHeight="1">
      <c r="A61" s="179" t="inlineStr">
        <is>
          <t>Beräknad värmefaktor</t>
        </is>
      </c>
      <c r="B61" t="n">
        <v>3.2</v>
      </c>
      <c r="D61" s="180" t="n"/>
    </row>
    <row r="62" ht="15" customHeight="1">
      <c r="A62" s="179" t="inlineStr">
        <is>
          <t>Driftenergi värmepump</t>
        </is>
      </c>
      <c r="B62" s="30">
        <f>B60/B61</f>
        <v/>
      </c>
      <c r="D62" s="180" t="n"/>
    </row>
    <row r="63" ht="15" customHeight="1">
      <c r="A63" s="179" t="inlineStr">
        <is>
          <t>Extra driveffekt frånluftsfläktar kW</t>
        </is>
      </c>
      <c r="B63" s="30" t="n">
        <v>1</v>
      </c>
      <c r="D63" s="180" t="n"/>
    </row>
    <row r="64" ht="15" customHeight="1">
      <c r="A64" s="179" t="inlineStr">
        <is>
          <t>Extra driftenergi fläktar</t>
        </is>
      </c>
      <c r="B64">
        <f>B63*8760</f>
        <v/>
      </c>
      <c r="D64" s="180" t="n"/>
    </row>
    <row r="65" ht="15" customHeight="1">
      <c r="A65" s="179" t="n"/>
      <c r="D65" s="180" t="n"/>
    </row>
    <row r="66" ht="15.75" customHeight="1">
      <c r="A66" s="181" t="n"/>
      <c r="B66" s="183" t="n"/>
      <c r="C66" s="183" t="n"/>
      <c r="D66" s="184" t="n"/>
    </row>
    <row r="67" ht="15.75" customHeight="1"/>
    <row r="68" ht="15" customHeight="1">
      <c r="A68" s="176" t="inlineStr">
        <is>
          <t>Beräkning installation av solvärme</t>
        </is>
      </c>
      <c r="B68" s="177" t="n"/>
      <c r="C68" s="177" t="n"/>
      <c r="D68" s="178" t="n"/>
    </row>
    <row r="69" ht="15" customHeight="1">
      <c r="A69" s="179" t="inlineStr">
        <is>
          <t>Varmvatten sommarmånad</t>
        </is>
      </c>
      <c r="B69" s="30">
        <f>Normalisering!$I$53/12</f>
        <v/>
      </c>
      <c r="D69" s="180" t="n"/>
    </row>
    <row r="70" ht="15" customHeight="1">
      <c r="A70" s="179" t="inlineStr">
        <is>
          <t>Solfångararea</t>
        </is>
      </c>
      <c r="B70" t="n">
        <v>100</v>
      </c>
      <c r="D70" s="180" t="n"/>
    </row>
    <row r="71" ht="15" customHeight="1">
      <c r="A71" s="179" t="inlineStr">
        <is>
          <t>Förväntad energi kwh/m2</t>
        </is>
      </c>
      <c r="B71" t="n">
        <v>450</v>
      </c>
      <c r="D71" s="180" t="n"/>
    </row>
    <row r="72" ht="15" customHeight="1">
      <c r="A72" s="179" t="inlineStr">
        <is>
          <t>Energiproduktion</t>
        </is>
      </c>
      <c r="B72">
        <f>B71*B70</f>
        <v/>
      </c>
      <c r="D72" s="180" t="n"/>
    </row>
    <row r="73" ht="15" customHeight="1">
      <c r="A73" s="179" t="inlineStr">
        <is>
          <t>Drivenergi pump el kWh</t>
        </is>
      </c>
      <c r="B73">
        <f>1000</f>
        <v/>
      </c>
      <c r="D73" s="180" t="n"/>
    </row>
    <row r="74" ht="15" customHeight="1">
      <c r="A74" s="179" t="inlineStr">
        <is>
          <t>Drivenergi styr el kWh</t>
        </is>
      </c>
      <c r="B74" t="n">
        <v>200</v>
      </c>
      <c r="D74" s="180" t="n"/>
    </row>
    <row r="75" ht="15" customHeight="1">
      <c r="A75" s="179" t="n"/>
      <c r="D75" s="180" t="n"/>
    </row>
    <row r="76" ht="15.75" customHeight="1">
      <c r="A76" s="181" t="n"/>
      <c r="B76" s="183" t="n"/>
      <c r="C76" s="183" t="n"/>
      <c r="D76" s="184" t="n"/>
    </row>
    <row r="78" ht="15" customHeight="1">
      <c r="A78" t="inlineStr">
        <is>
          <t>Antal våningar</t>
        </is>
      </c>
      <c r="B78" t="n">
        <v>4</v>
      </c>
    </row>
    <row r="79" ht="15" customHeight="1">
      <c r="A79" t="inlineStr">
        <is>
          <t>Antal bjälklag</t>
        </is>
      </c>
      <c r="B79" t="n">
        <v>5</v>
      </c>
    </row>
    <row r="80" ht="15" customHeight="1">
      <c r="A80" t="inlineStr">
        <is>
          <t>%fönsteryta</t>
        </is>
      </c>
      <c r="B80" s="187" t="n">
        <v>0.15</v>
      </c>
    </row>
    <row r="81" ht="15" customHeight="1">
      <c r="A81" t="inlineStr">
        <is>
          <t>U-värde vägg</t>
        </is>
      </c>
      <c r="B81" t="n">
        <v>0.4</v>
      </c>
    </row>
    <row r="82" ht="15" customHeight="1">
      <c r="A82" t="inlineStr">
        <is>
          <t>U-värde bjälklag</t>
        </is>
      </c>
      <c r="B82" t="n">
        <v>0.31</v>
      </c>
    </row>
    <row r="83" ht="15" customHeight="1">
      <c r="A83" t="inlineStr">
        <is>
          <t>Gradtimmar</t>
        </is>
      </c>
      <c r="B83" t="n">
        <v>100000</v>
      </c>
    </row>
    <row r="84" ht="15" customHeight="1">
      <c r="A84" t="inlineStr">
        <is>
          <t>Invändig bredd</t>
        </is>
      </c>
      <c r="B84" t="n">
        <v>10</v>
      </c>
    </row>
    <row r="85" ht="15" customHeight="1">
      <c r="A85" t="inlineStr">
        <is>
          <t>Invändig längd</t>
        </is>
      </c>
      <c r="B85" t="n">
        <v>30</v>
      </c>
    </row>
    <row r="88" ht="15" customHeight="1">
      <c r="A88" t="inlineStr">
        <is>
          <t>Förluster bjälklag</t>
        </is>
      </c>
      <c r="B88" s="335">
        <f>B82*(B84+B85+B84+B85)*B79/(((B84+B85+B84+B85)*B78*2.7-B80*B84*B85*B78))*100000/1000</f>
        <v/>
      </c>
    </row>
    <row r="91" ht="15" customHeight="1">
      <c r="A91" t="inlineStr">
        <is>
          <t>Kulvertförluster</t>
        </is>
      </c>
    </row>
    <row r="92" ht="30.75" customHeight="1">
      <c r="A92" s="36" t="n"/>
      <c r="B92" s="36" t="inlineStr">
        <is>
          <t>Nya kWh/m år</t>
        </is>
      </c>
      <c r="C92" s="36" t="inlineStr">
        <is>
          <t>Gamla kWh/m år Före 1975</t>
        </is>
      </c>
    </row>
    <row r="93" ht="15" customHeight="1">
      <c r="A93" t="inlineStr">
        <is>
          <t>DN 50</t>
        </is>
      </c>
      <c r="B93" t="n">
        <v>240</v>
      </c>
      <c r="C93" t="n">
        <v>700</v>
      </c>
    </row>
    <row r="94" ht="15" customHeight="1">
      <c r="A94" t="inlineStr">
        <is>
          <t>DN 65</t>
        </is>
      </c>
      <c r="B94" t="n">
        <v>270</v>
      </c>
      <c r="C94" t="n">
        <v>800</v>
      </c>
    </row>
    <row r="95" ht="15" customHeight="1">
      <c r="A95" t="inlineStr">
        <is>
          <t>DN 80</t>
        </is>
      </c>
      <c r="B95" t="n">
        <v>285</v>
      </c>
      <c r="C95" t="n">
        <v>850</v>
      </c>
    </row>
    <row r="96" ht="15" customHeight="1">
      <c r="A96" t="inlineStr">
        <is>
          <t>DN 100</t>
        </is>
      </c>
      <c r="B96" t="n">
        <v>300</v>
      </c>
      <c r="C96" t="n">
        <v>900</v>
      </c>
    </row>
  </sheetData>
  <pageMargins left="0.75" right="0.75" top="1" bottom="1" header="0.511811023622047" footer="0.511811023622047"/>
  <pageSetup orientation="portrait" horizontalDpi="300" verticalDpi="300"/>
</worksheet>
</file>

<file path=xl/worksheets/sheet13.xml><?xml version="1.0" encoding="utf-8"?>
<worksheet xmlns="http://schemas.openxmlformats.org/spreadsheetml/2006/main">
  <sheetPr>
    <outlinePr summaryBelow="1" summaryRight="1"/>
    <pageSetUpPr/>
  </sheetPr>
  <dimension ref="A2:G16"/>
  <sheetViews>
    <sheetView zoomScaleNormal="100" workbookViewId="0">
      <selection activeCell="A5" sqref="A5"/>
    </sheetView>
  </sheetViews>
  <sheetFormatPr baseColWidth="8" defaultColWidth="8.7265625" defaultRowHeight="14.5"/>
  <cols>
    <col width="38.86328125" customWidth="1" min="1" max="1"/>
    <col width="12.26953125" customWidth="1" min="2" max="2"/>
    <col width="19.26953125" customWidth="1" min="4" max="4"/>
    <col width="46.6796875" customWidth="1" min="7" max="7"/>
  </cols>
  <sheetData>
    <row r="2" ht="15" customHeight="1">
      <c r="A2" s="294" t="inlineStr">
        <is>
          <t>Åtgärd</t>
        </is>
      </c>
      <c r="B2" s="294" t="inlineStr">
        <is>
          <t>kr/m2 A-temp</t>
        </is>
      </c>
      <c r="C2" s="294" t="inlineStr">
        <is>
          <t>kr/lgh</t>
        </is>
      </c>
      <c r="D2" s="294" t="inlineStr">
        <is>
          <t>kr/m2</t>
        </is>
      </c>
      <c r="E2" s="294" t="inlineStr">
        <is>
          <t>kr</t>
        </is>
      </c>
      <c r="F2" s="294" t="inlineStr">
        <is>
          <t>kr/kW</t>
        </is>
      </c>
      <c r="G2" s="294" t="inlineStr">
        <is>
          <t>Kommentar</t>
        </is>
      </c>
    </row>
    <row r="3" ht="15" customHeight="1">
      <c r="A3" t="inlineStr">
        <is>
          <t>Fasadisolering och ny puts</t>
        </is>
      </c>
      <c r="B3" t="n">
        <v>2400</v>
      </c>
      <c r="C3" t="n">
        <v>225000</v>
      </c>
      <c r="G3" t="inlineStr">
        <is>
          <t>5-10 cm skiva och ny puts</t>
        </is>
      </c>
    </row>
    <row r="4" ht="15" customHeight="1">
      <c r="A4" t="inlineStr">
        <is>
          <t>Fönsterbyte</t>
        </is>
      </c>
      <c r="B4" t="n">
        <v>1100</v>
      </c>
      <c r="C4" t="n">
        <v>61000</v>
      </c>
      <c r="G4" t="inlineStr">
        <is>
          <t>Avser plast billigaste alternativet</t>
        </is>
      </c>
    </row>
    <row r="5" ht="15" customHeight="1">
      <c r="A5" t="inlineStr">
        <is>
          <t>FX återvinning utbyte</t>
        </is>
      </c>
      <c r="B5" t="n">
        <v>20000</v>
      </c>
      <c r="G5" t="inlineStr">
        <is>
          <t>Det finns sedan tidigare FX</t>
        </is>
      </c>
    </row>
    <row r="6" ht="15" customHeight="1">
      <c r="A6" t="inlineStr">
        <is>
          <t>FX återvinning från scratch</t>
        </is>
      </c>
      <c r="B6" t="n">
        <v>35000</v>
      </c>
      <c r="G6" t="inlineStr">
        <is>
          <t>Avser total med nya batterier sugkamm och FX mot rad</t>
        </is>
      </c>
    </row>
    <row r="7" ht="15" customHeight="1">
      <c r="A7" t="inlineStr">
        <is>
          <t>FTX lgh aggregat</t>
        </is>
      </c>
      <c r="C7" t="n">
        <v>80000</v>
      </c>
      <c r="G7" t="inlineStr">
        <is>
          <t>Nytt krydhylla aggregat med kanalsystem</t>
        </is>
      </c>
    </row>
    <row r="8" ht="15" customHeight="1">
      <c r="A8" t="inlineStr">
        <is>
          <t>Ventilbyte och injustering värme</t>
        </is>
      </c>
      <c r="C8" t="n">
        <v>27000</v>
      </c>
      <c r="G8" t="inlineStr">
        <is>
          <t>Total injsutering nya ventiler med avgas och filter</t>
        </is>
      </c>
    </row>
    <row r="9" ht="15" customHeight="1">
      <c r="A9" t="inlineStr">
        <is>
          <t>Installation solceller</t>
        </is>
      </c>
      <c r="F9" t="n">
        <v>17500</v>
      </c>
      <c r="G9" t="inlineStr">
        <is>
          <t>OBS: Värdet i F9 är kr/m2 solcellsyta, INTE kr/kW som kolumnrubriken (F2) anger för övriga rader.</t>
        </is>
      </c>
    </row>
    <row r="10" ht="15" customHeight="1">
      <c r="A10" t="inlineStr">
        <is>
          <t>Installation IMD el</t>
        </is>
      </c>
      <c r="C10" t="n">
        <v>4500</v>
      </c>
      <c r="G10" t="inlineStr">
        <is>
          <t>ny elmätare kopplad till IMD</t>
        </is>
      </c>
    </row>
    <row r="11" ht="15" customHeight="1">
      <c r="A11" t="inlineStr">
        <is>
          <t>Installation IMD VV</t>
        </is>
      </c>
      <c r="C11" t="n">
        <v>3500</v>
      </c>
      <c r="G11" t="inlineStr">
        <is>
          <t>två nya VV-mätare</t>
        </is>
      </c>
    </row>
    <row r="12" ht="15" customHeight="1">
      <c r="A12" t="inlineStr">
        <is>
          <t>Tilläggisolering av vindsbjälklag 300 mm lösull</t>
        </is>
      </c>
      <c r="D12" t="n">
        <v>200</v>
      </c>
      <c r="G12" t="inlineStr">
        <is>
          <t xml:space="preserve">Enkelt vindsbjälklag </t>
        </is>
      </c>
    </row>
    <row r="13" ht="15" customHeight="1">
      <c r="A13" t="inlineStr">
        <is>
          <t>Styrsystem för värme</t>
        </is>
      </c>
      <c r="C13" t="n">
        <v>2000</v>
      </c>
      <c r="E13" t="n">
        <v>100000</v>
      </c>
      <c r="G13" t="inlineStr">
        <is>
          <t>En st DUC i UC med tempgiv/lgh</t>
        </is>
      </c>
    </row>
    <row r="16" ht="45" customHeight="1">
      <c r="A16" s="194" t="inlineStr">
        <is>
          <t>OBS: Manuell referenstabell</t>
        </is>
      </c>
      <c r="B16" s="292" t="inlineStr">
        <is>
          <t>Dessa nyckeltal är INTE kopplade till beräkningarna i åtgärdsflikarna. Flera åtgärdsflikar (t.ex. "Tilläggisol fasad" och "Byte fönster") har egna, mer detaljerade nyckeltal i kr/m2 fasadyta respektive fönsteryta - en annan enhet än kr/m2 A-temp här. Jämför manuellt vid behov och uppdatera båda ställena om marknadspriser ändras.</t>
        </is>
      </c>
    </row>
  </sheetData>
  <mergeCells count="1">
    <mergeCell ref="B16:G16"/>
  </mergeCells>
  <pageMargins left="0.7" right="0.7" top="0.75" bottom="0.75"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3:C7"/>
  <sheetViews>
    <sheetView zoomScaleNormal="100" workbookViewId="0">
      <selection activeCell="B16" sqref="B16"/>
    </sheetView>
  </sheetViews>
  <sheetFormatPr baseColWidth="8" defaultColWidth="8.7265625" defaultRowHeight="14.5"/>
  <cols>
    <col width="38.26953125" customWidth="1" min="1" max="1"/>
    <col width="15.58984375" customWidth="1" min="2" max="2"/>
  </cols>
  <sheetData>
    <row r="3" ht="15.75" customHeight="1">
      <c r="A3" s="195" t="n"/>
      <c r="B3" s="195" t="inlineStr">
        <is>
          <t>Fjärrvärme</t>
        </is>
      </c>
      <c r="C3" s="195" t="inlineStr">
        <is>
          <t>El</t>
        </is>
      </c>
    </row>
    <row r="4" ht="15.75" customHeight="1">
      <c r="A4" s="196" t="inlineStr">
        <is>
          <t>Pris</t>
        </is>
      </c>
      <c r="B4" s="197" t="n">
        <v>1.15</v>
      </c>
      <c r="C4" s="197" t="n">
        <v>2</v>
      </c>
    </row>
    <row r="5" ht="15" customHeight="1">
      <c r="A5" s="196" t="inlineStr">
        <is>
          <t>Prishöjning/år bedömd</t>
        </is>
      </c>
      <c r="B5" s="198" t="n">
        <v>0.03</v>
      </c>
      <c r="C5" s="199" t="n">
        <v>0.04</v>
      </c>
    </row>
    <row r="6" ht="15" customHeight="1">
      <c r="A6" s="196" t="inlineStr">
        <is>
          <t>Kalkylränta</t>
        </is>
      </c>
      <c r="B6" s="199" t="n">
        <v>0.04</v>
      </c>
    </row>
    <row r="7" ht="15" customHeight="1">
      <c r="A7" s="196" t="inlineStr">
        <is>
          <t>UH kostnad årlig höjning</t>
        </is>
      </c>
      <c r="B7" s="199" t="n">
        <v>0.02</v>
      </c>
    </row>
  </sheetData>
  <pageMargins left="0.7" right="0.7" top="0.75" bottom="0.75"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N49"/>
  <sheetViews>
    <sheetView zoomScaleNormal="100" workbookViewId="0">
      <selection activeCell="I36" sqref="I36"/>
    </sheetView>
  </sheetViews>
  <sheetFormatPr baseColWidth="8" defaultColWidth="9.1328125" defaultRowHeight="14.5" outlineLevelRow="1"/>
  <cols>
    <col width="58.86328125" customWidth="1" min="1" max="1"/>
    <col width="7.40625" customWidth="1" min="2" max="2"/>
    <col width="16" customWidth="1" min="3" max="3"/>
    <col width="15.86328125" customWidth="1" min="4" max="4"/>
    <col outlineLevel="1" width="9.1328125" customWidth="1" min="5" max="5"/>
    <col outlineLevel="1" width="20.54296875" customWidth="1" min="6" max="6"/>
    <col width="30.54296875" customWidth="1" min="9" max="9"/>
    <col width="23.54296875" customWidth="1" min="10" max="10"/>
    <col width="10" customWidth="1" min="11" max="11"/>
  </cols>
  <sheetData>
    <row r="1" ht="45.75" customHeight="1">
      <c r="A1" s="200" t="inlineStr">
        <is>
          <t>Bergvärme</t>
        </is>
      </c>
      <c r="C1" s="201" t="inlineStr">
        <is>
          <t>För känslighetsanalys tryck + ovan</t>
        </is>
      </c>
      <c r="D1" s="202" t="n"/>
    </row>
    <row r="2" ht="24" customHeight="1">
      <c r="A2" s="203" t="inlineStr">
        <is>
          <t>Ta med i sammanfattning?</t>
        </is>
      </c>
      <c r="B2" s="204" t="inlineStr">
        <is>
          <t>Nej</t>
        </is>
      </c>
      <c r="C2" s="293" t="n"/>
      <c r="D2" s="336" t="n"/>
      <c r="E2" s="201" t="inlineStr">
        <is>
          <t>Lönsamhetsgränser</t>
        </is>
      </c>
      <c r="F2" s="202" t="n"/>
    </row>
    <row r="3" ht="15.75" customHeight="1">
      <c r="A3" s="205" t="n"/>
      <c r="B3" s="206" t="n"/>
      <c r="C3" s="207" t="inlineStr">
        <is>
          <t>Kvantitet</t>
        </is>
      </c>
      <c r="D3" s="208" t="inlineStr">
        <is>
          <t>Enhet</t>
        </is>
      </c>
      <c r="E3" s="201" t="inlineStr">
        <is>
          <t>Känslighetsanalys</t>
        </is>
      </c>
      <c r="F3" s="202" t="n"/>
    </row>
    <row r="4" ht="13.5" customHeight="1">
      <c r="A4" s="205" t="inlineStr">
        <is>
          <t xml:space="preserve">Mängduppgift                           </t>
        </is>
      </c>
      <c r="C4" s="209">
        <f>Byggnader!$I$32</f>
        <v/>
      </c>
      <c r="D4" s="209" t="inlineStr">
        <is>
          <t>m2 At</t>
        </is>
      </c>
    </row>
    <row r="5" ht="13.5" customHeight="1">
      <c r="A5" s="205" t="inlineStr">
        <is>
          <t xml:space="preserve">Kalkylränta </t>
        </is>
      </c>
      <c r="C5" s="210">
        <f>Energiprisfaktorer!B6</f>
        <v/>
      </c>
      <c r="D5" s="211" t="inlineStr">
        <is>
          <t>nominell</t>
        </is>
      </c>
      <c r="E5" s="212" t="n"/>
      <c r="F5" s="213" t="inlineStr">
        <is>
          <t>Internränta</t>
        </is>
      </c>
    </row>
    <row r="6" ht="15.75" customHeight="1">
      <c r="A6" s="205" t="inlineStr">
        <is>
          <t xml:space="preserve">Kalkylperiod                                        </t>
        </is>
      </c>
      <c r="C6" s="214" t="n">
        <v>20</v>
      </c>
      <c r="D6" s="211" t="inlineStr">
        <is>
          <t>år</t>
        </is>
      </c>
      <c r="E6" s="215">
        <f>(D20-C20)/(C34+C22-D34-D22)</f>
        <v/>
      </c>
      <c r="F6" s="213" t="inlineStr">
        <is>
          <t>Pay-off utan ränta</t>
        </is>
      </c>
    </row>
    <row r="7" ht="15.75" customHeight="1">
      <c r="A7" s="216" t="inlineStr">
        <is>
          <t>Unerhållskostnad prisutveckling per år</t>
        </is>
      </c>
      <c r="C7" s="210">
        <f>Energiprisfaktorer!B7</f>
        <v/>
      </c>
      <c r="D7" s="217">
        <f>D5</f>
        <v/>
      </c>
      <c r="E7" s="218" t="n"/>
      <c r="F7" s="219" t="n"/>
      <c r="I7" s="294" t="inlineStr">
        <is>
          <t>Investeringskalkyl</t>
        </is>
      </c>
      <c r="J7" s="229" t="n"/>
      <c r="K7" s="229" t="n"/>
      <c r="L7" s="229" t="n"/>
    </row>
    <row r="8" ht="15.75" customHeight="1">
      <c r="A8" s="220" t="inlineStr">
        <is>
          <t xml:space="preserve">Energislag </t>
        </is>
      </c>
      <c r="C8" s="221" t="inlineStr">
        <is>
          <t>Fjärrvärme</t>
        </is>
      </c>
      <c r="D8" s="221" t="inlineStr">
        <is>
          <t>kWh</t>
        </is>
      </c>
      <c r="E8" s="218" t="n"/>
      <c r="F8" s="219" t="n"/>
    </row>
    <row r="9" ht="14.25" customHeight="1">
      <c r="A9" s="222" t="inlineStr">
        <is>
          <t xml:space="preserve">Energipris rörligt            </t>
        </is>
      </c>
      <c r="C9" s="223">
        <f>Energiprisfaktorer!B4</f>
        <v/>
      </c>
      <c r="D9" s="224" t="inlineStr">
        <is>
          <t>kr per kWh</t>
        </is>
      </c>
      <c r="E9" s="218" t="n"/>
      <c r="F9" s="219" t="n"/>
      <c r="I9" s="196" t="inlineStr">
        <is>
          <t>Nyckeltal invest kr/kW</t>
        </is>
      </c>
      <c r="K9" s="185" t="n">
        <v>20000</v>
      </c>
    </row>
    <row r="10" ht="14.25" customHeight="1">
      <c r="A10" s="225" t="inlineStr">
        <is>
          <t>Energiprisutveckling per år</t>
        </is>
      </c>
      <c r="C10" s="226">
        <f>Energiprisfaktorer!B5</f>
        <v/>
      </c>
      <c r="D10" s="227">
        <f>D5</f>
        <v/>
      </c>
      <c r="E10" s="218" t="n"/>
      <c r="F10" s="219" t="n"/>
      <c r="I10" s="196" t="inlineStr">
        <is>
          <t>Investeringskostnad</t>
        </is>
      </c>
      <c r="K10">
        <f>K9*J21*0.001</f>
        <v/>
      </c>
    </row>
    <row r="11" outlineLevel="1" ht="14.25" customHeight="1">
      <c r="A11" s="220" t="inlineStr">
        <is>
          <t>Energislag 2</t>
        </is>
      </c>
      <c r="C11" s="221" t="inlineStr">
        <is>
          <t>El</t>
        </is>
      </c>
      <c r="D11" s="221" t="n"/>
      <c r="E11" s="218" t="n"/>
      <c r="F11" s="219" t="n"/>
    </row>
    <row r="12" outlineLevel="1" ht="14.25" customHeight="1">
      <c r="A12" s="222" t="inlineStr">
        <is>
          <t xml:space="preserve">Energipris rörligt            </t>
        </is>
      </c>
      <c r="C12" s="223">
        <f>Energiprisfaktorer!C4</f>
        <v/>
      </c>
      <c r="D12" s="224" t="inlineStr">
        <is>
          <t>kr per kWh</t>
        </is>
      </c>
      <c r="E12" s="218" t="n"/>
      <c r="F12" s="219" t="n"/>
      <c r="I12" s="228" t="inlineStr">
        <is>
          <t>Beräkningar</t>
        </is>
      </c>
      <c r="J12" s="229" t="n"/>
      <c r="K12" s="229" t="n"/>
      <c r="L12" s="229" t="n"/>
    </row>
    <row r="13" outlineLevel="1" ht="14.25" customHeight="1">
      <c r="A13" s="225" t="inlineStr">
        <is>
          <t>Energiprisutveckling per år</t>
        </is>
      </c>
      <c r="C13" s="226">
        <f>Energiprisfaktorer!C5</f>
        <v/>
      </c>
      <c r="D13" s="227">
        <f>D5</f>
        <v/>
      </c>
      <c r="E13" s="218" t="n"/>
      <c r="F13" s="219" t="n"/>
    </row>
    <row r="14" outlineLevel="1" ht="14.25" customHeight="1">
      <c r="A14" s="220" t="inlineStr">
        <is>
          <t>Energislag 3</t>
        </is>
      </c>
      <c r="C14" s="221" t="n"/>
      <c r="D14" s="221" t="n"/>
      <c r="E14" s="218" t="n"/>
      <c r="F14" s="219" t="n"/>
      <c r="I14" s="196" t="inlineStr">
        <is>
          <t>Egen kalkyl förklaring</t>
        </is>
      </c>
    </row>
    <row r="15" outlineLevel="1" ht="15.75" customHeight="1">
      <c r="A15" s="222" t="inlineStr">
        <is>
          <t xml:space="preserve">Energipris rörligt            </t>
        </is>
      </c>
      <c r="C15" s="223" t="n">
        <v>0.6</v>
      </c>
      <c r="D15" s="224" t="inlineStr">
        <is>
          <t>kr per kWh</t>
        </is>
      </c>
      <c r="I15" s="295" t="inlineStr">
        <is>
          <t>Installation av frånluftsåtervinning med värmepump. Befintligt frånluftssystem förses med återvinningsbatterier som kyler av frånluften från byggnaden. Värmen återvinns via värmepumpar och återförs byggnadens värmesystem.</t>
        </is>
      </c>
      <c r="J15" s="177" t="n"/>
      <c r="K15" s="177" t="n"/>
      <c r="L15" s="177" t="n"/>
      <c r="M15" s="177" t="n"/>
      <c r="N15" s="178" t="n"/>
    </row>
    <row r="16" outlineLevel="1" ht="15.75" customHeight="1">
      <c r="A16" s="225" t="inlineStr">
        <is>
          <t>Energiprisutveckling per år</t>
        </is>
      </c>
      <c r="C16" s="226" t="n">
        <v>0.04</v>
      </c>
      <c r="D16" s="227">
        <f>D5</f>
        <v/>
      </c>
      <c r="I16" s="181" t="n"/>
      <c r="J16" s="183" t="n"/>
      <c r="K16" s="183" t="n"/>
      <c r="L16" s="183" t="n"/>
      <c r="M16" s="183" t="n"/>
      <c r="N16" s="184" t="n"/>
    </row>
    <row r="17" ht="15.75" customHeight="1">
      <c r="A17" s="225" t="inlineStr">
        <is>
          <t>&lt;&lt;&lt;Om fler energislag: tryck +</t>
        </is>
      </c>
      <c r="C17" s="230" t="n"/>
      <c r="D17" s="230" t="n"/>
      <c r="E17" s="218" t="n"/>
    </row>
    <row r="18" ht="15.75" customHeight="1">
      <c r="A18" s="231" t="n"/>
      <c r="C18" s="231" t="n"/>
      <c r="D18" s="230" t="n"/>
      <c r="E18" s="218" t="n"/>
      <c r="I18" s="232" t="inlineStr">
        <is>
          <t>Egen kalkyl beräkning</t>
        </is>
      </c>
    </row>
    <row r="19" ht="15.75" customHeight="1">
      <c r="A19" s="231" t="n"/>
      <c r="C19" s="233" t="inlineStr">
        <is>
          <t>Före åtgärd</t>
        </is>
      </c>
      <c r="D19" s="234" t="inlineStr">
        <is>
          <t>Efter åtgärd</t>
        </is>
      </c>
      <c r="I19" s="196" t="inlineStr">
        <is>
          <t>Dimensionering nominell av värme</t>
        </is>
      </c>
      <c r="J19" s="187" t="n">
        <v>0.5</v>
      </c>
    </row>
    <row r="20" ht="15.75" customHeight="1">
      <c r="A20" s="235" t="inlineStr">
        <is>
          <t xml:space="preserve">Investeringskostnad                                 kr </t>
        </is>
      </c>
      <c r="C20" s="236" t="n">
        <v>0</v>
      </c>
      <c r="D20" s="236">
        <f>K10</f>
        <v/>
      </c>
      <c r="E20" s="237">
        <f>D20+C41-D41</f>
        <v/>
      </c>
      <c r="F20" s="213" t="inlineStr">
        <is>
          <t>Investeringsgräns</t>
        </is>
      </c>
      <c r="I20" s="196" t="inlineStr">
        <is>
          <t>Värmeeffekt</t>
        </is>
      </c>
      <c r="J20">
        <f>Besiktningsprotokoll!B27</f>
        <v/>
      </c>
    </row>
    <row r="21" ht="15.75" customHeight="1">
      <c r="A21" s="231" t="n"/>
      <c r="C21" s="238" t="n"/>
      <c r="D21" s="238" t="n"/>
      <c r="E21" s="239" t="n"/>
      <c r="F21" s="240" t="n"/>
      <c r="I21" s="196" t="inlineStr">
        <is>
          <t>VP-effekt</t>
        </is>
      </c>
      <c r="J21" s="335">
        <f>J20*J19</f>
        <v/>
      </c>
    </row>
    <row r="22" ht="15.75" customHeight="1">
      <c r="A22" s="216" t="inlineStr">
        <is>
          <t>Underhållskostnad                                  kr per år</t>
        </is>
      </c>
      <c r="C22" s="241" t="n">
        <v>0</v>
      </c>
      <c r="D22" s="241" t="n">
        <v>0</v>
      </c>
      <c r="I22" s="196" t="inlineStr">
        <is>
          <t>Antaget COP</t>
        </is>
      </c>
      <c r="J22" s="335" t="n">
        <v>3.5</v>
      </c>
    </row>
    <row r="23" hidden="1" outlineLevel="1" ht="15.75" customHeight="1">
      <c r="A23" s="216" t="inlineStr">
        <is>
          <t xml:space="preserve">Underhållskostnad, periodisk år 0          kr  </t>
        </is>
      </c>
      <c r="C23" s="236" t="n"/>
      <c r="D23" s="236" t="n"/>
    </row>
    <row r="24" hidden="1" outlineLevel="1" ht="15.75" customHeight="1">
      <c r="A24" s="216" t="inlineStr">
        <is>
          <t xml:space="preserve">Underhållskostnad, periodisk år 10        kr  </t>
        </is>
      </c>
      <c r="C24" s="236" t="n"/>
      <c r="D24" s="236" t="n"/>
    </row>
    <row r="25" hidden="1" outlineLevel="1" ht="15.75" customHeight="1">
      <c r="A25" s="216" t="inlineStr">
        <is>
          <t xml:space="preserve">Underhållskostnad, periodisk år 20        kr  </t>
        </is>
      </c>
      <c r="C25" s="236" t="n"/>
      <c r="D25" s="236" t="n"/>
    </row>
    <row r="26" ht="15" customHeight="1">
      <c r="A26" s="216" t="inlineStr">
        <is>
          <t>&lt;&lt;&lt;Om fler uh-kostnader: tryck +</t>
        </is>
      </c>
      <c r="C26" s="242" t="n"/>
      <c r="D26" s="242" t="n"/>
      <c r="I26" s="196" t="inlineStr">
        <is>
          <t>Aktivt djup borrhål meter</t>
        </is>
      </c>
      <c r="J26" s="30">
        <f>J28/25</f>
        <v/>
      </c>
    </row>
    <row r="27" ht="15.75" customHeight="1">
      <c r="A27" s="231" t="n"/>
      <c r="C27" s="242" t="n"/>
      <c r="D27" s="242" t="n"/>
      <c r="I27" s="196" t="inlineStr">
        <is>
          <t>VP eleffekt</t>
        </is>
      </c>
      <c r="J27" s="30">
        <f>J21/(J22)</f>
        <v/>
      </c>
    </row>
    <row r="28" ht="15.75" customHeight="1">
      <c r="A28" s="220" t="inlineStr">
        <is>
          <t>Energianvändning                            kWh per mängdenhet och år</t>
        </is>
      </c>
      <c r="C28" s="243">
        <f>Normalisering!$I$89/'Installera bergvärme'!C4</f>
        <v/>
      </c>
      <c r="D28" s="243">
        <f>(Normalisering!$I$89-'Installera bergvärme'!J30)/'Installera bergvärme'!C4</f>
        <v/>
      </c>
      <c r="I28" s="196" t="inlineStr">
        <is>
          <t>VP kyleffekt</t>
        </is>
      </c>
      <c r="J28" s="30">
        <f>J21-J27</f>
        <v/>
      </c>
      <c r="K28" s="196" t="n"/>
      <c r="L28" s="196" t="n"/>
    </row>
    <row r="29" ht="15.75" customHeight="1">
      <c r="A29" s="244" t="inlineStr">
        <is>
          <t>Energikostnad                                  kr per år</t>
        </is>
      </c>
      <c r="C29" s="245">
        <f>C28*$C$4*$C$9</f>
        <v/>
      </c>
      <c r="D29" s="245">
        <f>D28*$C$4*$C$9</f>
        <v/>
      </c>
      <c r="I29" s="196" t="inlineStr">
        <is>
          <t>Drifttid</t>
        </is>
      </c>
      <c r="J29" t="n">
        <v>5000</v>
      </c>
    </row>
    <row r="30" outlineLevel="1" ht="15.75" customHeight="1">
      <c r="A30" s="220" t="inlineStr">
        <is>
          <t>Energianvändning 2                         kWh per mängdenhet och år</t>
        </is>
      </c>
      <c r="C30" s="243">
        <f>El!$I$127/'Installera bergvärme'!C4</f>
        <v/>
      </c>
      <c r="D30" s="246">
        <f>(El!$I$127+'Installera bergvärme'!J31)/C4</f>
        <v/>
      </c>
      <c r="I30" s="196" t="inlineStr">
        <is>
          <t>Årsprod kWh</t>
        </is>
      </c>
      <c r="J30" s="335">
        <f>J21*J29*0.001</f>
        <v/>
      </c>
    </row>
    <row r="31" outlineLevel="1" ht="15.75" customHeight="1">
      <c r="A31" s="244" t="inlineStr">
        <is>
          <t>Energikostnad 2                                kr per år</t>
        </is>
      </c>
      <c r="C31" s="245">
        <f>C30*$C$4*$C$12</f>
        <v/>
      </c>
      <c r="D31" s="245">
        <f>D30*$C$4*$C$12</f>
        <v/>
      </c>
      <c r="I31" s="196" t="inlineStr">
        <is>
          <t>Årskons kWh</t>
        </is>
      </c>
      <c r="J31" s="335">
        <f>J27*J29*0.001</f>
        <v/>
      </c>
    </row>
    <row r="32" outlineLevel="1" ht="15.75" customHeight="1">
      <c r="A32" s="220" t="inlineStr">
        <is>
          <t>Energianvändning 3                         kWh per mängdenhet och år</t>
        </is>
      </c>
      <c r="C32" s="243" t="n"/>
      <c r="D32" s="243" t="n"/>
    </row>
    <row r="33" outlineLevel="1" ht="15.75" customHeight="1">
      <c r="A33" s="244" t="inlineStr">
        <is>
          <t>Energikostnad 3                               kr per år</t>
        </is>
      </c>
      <c r="C33" s="245">
        <f>C32*$C$4*$C$15</f>
        <v/>
      </c>
      <c r="D33" s="245">
        <f>D32*$C$4*$C$15</f>
        <v/>
      </c>
    </row>
    <row r="34" outlineLevel="1" ht="15" customHeight="1">
      <c r="A34" s="231" t="inlineStr">
        <is>
          <t>Summa energikostnad                    kr per år</t>
        </is>
      </c>
      <c r="C34" s="242">
        <f>C29+C31+C33</f>
        <v/>
      </c>
      <c r="D34" s="242">
        <f>D29+D31+D33</f>
        <v/>
      </c>
      <c r="F34" s="231" t="n"/>
    </row>
    <row r="35" outlineLevel="1" ht="15" customHeight="1">
      <c r="A35" s="231" t="inlineStr">
        <is>
          <t>Summa energianvändning             kWh per år</t>
        </is>
      </c>
      <c r="C35" s="242">
        <f>(C28+C30+C32)*$C$4</f>
        <v/>
      </c>
      <c r="D35" s="242">
        <f>(D28+D30+D32)*$C$4</f>
        <v/>
      </c>
      <c r="F35" s="231" t="n"/>
    </row>
    <row r="36" outlineLevel="1" ht="15" customHeight="1">
      <c r="A36" s="231" t="inlineStr">
        <is>
          <t>Energikostnad medelvärde             kr per kWh</t>
        </is>
      </c>
      <c r="C36" s="247">
        <f>C34/C35</f>
        <v/>
      </c>
      <c r="D36" s="242" t="n"/>
      <c r="F36" s="231" t="n"/>
    </row>
    <row r="37" ht="15" customHeight="1">
      <c r="A37" s="222" t="inlineStr">
        <is>
          <t>&lt;&lt;&lt;Om fler energislag: tryck +</t>
        </is>
      </c>
      <c r="C37" s="242" t="n"/>
      <c r="D37" s="242" t="n"/>
      <c r="F37" s="231" t="n"/>
    </row>
    <row r="38" ht="15.75" customHeight="1">
      <c r="A38" s="248" t="n"/>
      <c r="C38" s="242" t="n"/>
      <c r="D38" s="242" t="n"/>
      <c r="F38" s="231" t="n"/>
    </row>
    <row r="39" ht="15" customHeight="1">
      <c r="A39" s="249" t="inlineStr">
        <is>
          <t>Summa nuvärde, investering och underhåll</t>
        </is>
      </c>
      <c r="B39" s="250" t="n"/>
      <c r="C39" s="251">
        <f>C20-PV($C$5-$C$7,$C$6,C22)+C23+C24/(1+$C$5-$C$7)^10+C25/(1+$C$5-$C$7)^20</f>
        <v/>
      </c>
      <c r="D39" s="252">
        <f>D20-PV($C$5-$C$7,$C$6,D22)+D23+D24/(1+$C$5-$C$7)^10+D25/(1+$C$5-$C$7)^20</f>
        <v/>
      </c>
      <c r="F39" s="231" t="n"/>
    </row>
    <row r="40" ht="15.75" customHeight="1">
      <c r="A40" s="253" t="inlineStr">
        <is>
          <t>Summa nuvärde, energikostnader</t>
        </is>
      </c>
      <c r="B40" s="254" t="n"/>
      <c r="C40" s="255">
        <f>-PV($C$5-$C$10,$C$6,C29)-PV($C$5-$C$13,$C$6,C31)-PV($C$5-$C$16,$C$6,C33)</f>
        <v/>
      </c>
      <c r="D40" s="256">
        <f>-PV($C$5-$C$10,$C$6,D29)-PV($C$5-$C$13,$C$6,D31)-PV($C$5-$C$16,$C$6,D33)</f>
        <v/>
      </c>
      <c r="F40" s="231" t="n"/>
    </row>
    <row r="41" ht="15.75" customHeight="1">
      <c r="A41" s="257" t="inlineStr">
        <is>
          <t>Summa nuvärde, alla kostnader</t>
        </is>
      </c>
      <c r="B41" s="258" t="n"/>
      <c r="C41" s="259">
        <f>C39+C40</f>
        <v/>
      </c>
      <c r="D41" s="260">
        <f>D39+D40</f>
        <v/>
      </c>
      <c r="F41" s="231" t="n"/>
    </row>
    <row r="42" ht="15.75" customHeight="1">
      <c r="A42" s="261" t="n"/>
      <c r="B42" s="262" t="n"/>
      <c r="C42" s="263" t="inlineStr">
        <is>
          <t>Differens:</t>
        </is>
      </c>
      <c r="D42" s="264">
        <f>C41-D41</f>
        <v/>
      </c>
      <c r="F42" s="231" t="n"/>
    </row>
    <row r="43" ht="12.75" customFormat="1" customHeight="1" s="231">
      <c r="A43" s="265" t="inlineStr">
        <is>
          <t>Besparingskostnad                         kr per kWh</t>
        </is>
      </c>
      <c r="B43" s="266" t="n"/>
      <c r="C43" s="267">
        <f>(D39-C39)/(C40-D40)*C36</f>
        <v/>
      </c>
      <c r="D43" s="268">
        <f>IF($D42&gt;0,"LÖNSAMT","EJ LÖNSAMT")</f>
        <v/>
      </c>
    </row>
    <row r="44" ht="15.75" customHeight="1">
      <c r="A44" s="269" t="inlineStr">
        <is>
          <t>Energikostnad (mv )                        kr per kWh</t>
        </is>
      </c>
      <c r="B44" s="183" t="n"/>
      <c r="C44" s="270">
        <f>C36</f>
        <v/>
      </c>
      <c r="D44" s="271" t="n"/>
      <c r="F44" s="231" t="n"/>
    </row>
    <row r="45" ht="15" customHeight="1">
      <c r="C45" s="242" t="n"/>
      <c r="D45" s="242" t="n"/>
      <c r="F45" s="231" t="n"/>
    </row>
    <row r="46" ht="15.75" customHeight="1">
      <c r="D46" s="272" t="n"/>
    </row>
    <row r="47" ht="15.75" customHeight="1">
      <c r="A47" s="273" t="inlineStr">
        <is>
          <t>Minskad användning av CO2           ton per år</t>
        </is>
      </c>
      <c r="B47" s="274" t="n"/>
      <c r="D47" s="275" t="inlineStr">
        <is>
          <t>Ej beräknat</t>
        </is>
      </c>
    </row>
    <row r="49" ht="15" customHeight="1">
      <c r="F49" s="218" t="n"/>
    </row>
  </sheetData>
  <mergeCells count="3">
    <mergeCell ref="I15:N16"/>
    <mergeCell ref="I7:L7"/>
    <mergeCell ref="C2:D2"/>
  </mergeCells>
  <dataValidations count="1">
    <dataValidation sqref="B2" showDropDown="0" showInputMessage="0" showErrorMessage="0" allowBlank="0" type="list">
      <formula1>"Ja,Nej"</formula1>
      <formula2>0</formula2>
    </dataValidation>
  </dataValidations>
  <pageMargins left="0.7" right="0.7" top="0.75" bottom="0.75" header="0.511811023622047" footer="0.511811023622047"/>
  <pageSetup orientation="portrait" paperSize="9" horizontalDpi="300" verticalDpi="300"/>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N49"/>
  <sheetViews>
    <sheetView topLeftCell="A7" zoomScaleNormal="100" workbookViewId="0">
      <selection activeCell="B2" sqref="B2"/>
    </sheetView>
  </sheetViews>
  <sheetFormatPr baseColWidth="8" defaultColWidth="9.1328125" defaultRowHeight="14.5" outlineLevelRow="1"/>
  <cols>
    <col width="58.86328125" customWidth="1" min="1" max="1"/>
    <col width="6" customWidth="1" min="2" max="2"/>
    <col width="16" customWidth="1" min="3" max="3"/>
    <col width="15.86328125" customWidth="1" min="4" max="4"/>
    <col outlineLevel="1" width="9.1328125" customWidth="1" min="5" max="5"/>
    <col outlineLevel="1" width="20.54296875" customWidth="1" min="6" max="6"/>
  </cols>
  <sheetData>
    <row r="1" ht="39.75" customHeight="1">
      <c r="A1" s="200" t="inlineStr">
        <is>
          <t>Injustering av värmesystem</t>
        </is>
      </c>
      <c r="C1" s="201" t="inlineStr">
        <is>
          <t>För känslighetsanalys tryck + ovan</t>
        </is>
      </c>
      <c r="D1" s="202" t="n"/>
    </row>
    <row r="2" ht="24" customHeight="1">
      <c r="A2" s="203" t="inlineStr">
        <is>
          <t>Ta med i sammanfattning?</t>
        </is>
      </c>
      <c r="B2" s="204" t="inlineStr">
        <is>
          <t>Nej</t>
        </is>
      </c>
      <c r="C2" s="293" t="n"/>
      <c r="D2" s="336" t="n"/>
      <c r="E2" s="201" t="inlineStr">
        <is>
          <t>Lönsamhetsgränser</t>
        </is>
      </c>
      <c r="F2" s="202" t="n"/>
    </row>
    <row r="3" ht="15.75" customHeight="1">
      <c r="A3" s="205" t="n"/>
      <c r="B3" s="206" t="n"/>
      <c r="C3" s="207" t="inlineStr">
        <is>
          <t>Kvantitet</t>
        </is>
      </c>
      <c r="D3" s="208" t="inlineStr">
        <is>
          <t>Enhet</t>
        </is>
      </c>
      <c r="E3" s="201" t="inlineStr">
        <is>
          <t>Känslighetsanalys</t>
        </is>
      </c>
      <c r="F3" s="202" t="n"/>
    </row>
    <row r="4" ht="13.5" customHeight="1">
      <c r="A4" s="205" t="inlineStr">
        <is>
          <t xml:space="preserve">Mängduppgift                           </t>
        </is>
      </c>
      <c r="C4" s="209">
        <f>Byggnader!$I$32</f>
        <v/>
      </c>
      <c r="D4" s="209" t="inlineStr">
        <is>
          <t>m2 At</t>
        </is>
      </c>
    </row>
    <row r="5" ht="13.5" customHeight="1">
      <c r="A5" s="205" t="inlineStr">
        <is>
          <t xml:space="preserve">Kalkylränta </t>
        </is>
      </c>
      <c r="C5" s="210">
        <f>Energiprisfaktorer!B6</f>
        <v/>
      </c>
      <c r="D5" s="211" t="inlineStr">
        <is>
          <t>nominell</t>
        </is>
      </c>
      <c r="E5" s="212" t="n"/>
      <c r="F5" s="213" t="inlineStr">
        <is>
          <t>Internränta</t>
        </is>
      </c>
    </row>
    <row r="6" ht="15.75" customHeight="1">
      <c r="A6" s="205" t="inlineStr">
        <is>
          <t xml:space="preserve">Kalkylperiod                                        </t>
        </is>
      </c>
      <c r="C6" s="214" t="n">
        <v>20</v>
      </c>
      <c r="D6" s="211" t="inlineStr">
        <is>
          <t>år</t>
        </is>
      </c>
      <c r="E6" s="215">
        <f>(D20-C20)/(C34+C22-D34-D22)</f>
        <v/>
      </c>
      <c r="F6" s="213" t="inlineStr">
        <is>
          <t>Pay-off utan ränta</t>
        </is>
      </c>
    </row>
    <row r="7" ht="15.75" customHeight="1">
      <c r="A7" s="216" t="inlineStr">
        <is>
          <t>Unerhållskostnad prisutveckling per år</t>
        </is>
      </c>
      <c r="C7" s="210">
        <f>Energiprisfaktorer!B7</f>
        <v/>
      </c>
      <c r="D7" s="217">
        <f>D5</f>
        <v/>
      </c>
      <c r="E7" s="218" t="n"/>
      <c r="F7" s="219" t="n"/>
      <c r="I7" s="294" t="inlineStr">
        <is>
          <t>Investeringskalkyl</t>
        </is>
      </c>
      <c r="J7" s="229" t="n"/>
      <c r="K7" s="229" t="n"/>
      <c r="L7" s="229" t="n"/>
    </row>
    <row r="8" ht="15.75" customHeight="1">
      <c r="A8" s="220" t="inlineStr">
        <is>
          <t xml:space="preserve">Energislag </t>
        </is>
      </c>
      <c r="C8" s="221" t="inlineStr">
        <is>
          <t>Fjärrvärme</t>
        </is>
      </c>
      <c r="D8" s="221" t="inlineStr">
        <is>
          <t>kWh</t>
        </is>
      </c>
      <c r="E8" s="218" t="n"/>
      <c r="F8" s="219" t="n"/>
    </row>
    <row r="9" ht="14.25" customHeight="1">
      <c r="A9" s="222" t="inlineStr">
        <is>
          <t xml:space="preserve">Energipris rörligt            </t>
        </is>
      </c>
      <c r="C9" s="223">
        <f>Energiprisfaktorer!B4</f>
        <v/>
      </c>
      <c r="D9" s="224" t="inlineStr">
        <is>
          <t>kr per kWh</t>
        </is>
      </c>
      <c r="E9" s="218" t="n"/>
      <c r="F9" s="219" t="n"/>
      <c r="I9" s="196" t="inlineStr">
        <is>
          <t>Beräknad besparing</t>
        </is>
      </c>
      <c r="K9" s="187" t="n">
        <v>0.1</v>
      </c>
    </row>
    <row r="10" ht="14.25" customHeight="1">
      <c r="A10" s="225" t="inlineStr">
        <is>
          <t>Energiprisutveckling per år</t>
        </is>
      </c>
      <c r="C10" s="226">
        <f>Energiprisfaktorer!B5</f>
        <v/>
      </c>
      <c r="D10" s="227">
        <f>D5</f>
        <v/>
      </c>
      <c r="E10" s="218" t="n"/>
      <c r="F10" s="219" t="n"/>
      <c r="I10" s="196" t="inlineStr">
        <is>
          <t>Investeringskostnad</t>
        </is>
      </c>
      <c r="K10">
        <f>J21*J20*J19</f>
        <v/>
      </c>
    </row>
    <row r="11" outlineLevel="1" ht="14.25" customHeight="1">
      <c r="A11" s="220" t="inlineStr">
        <is>
          <t>Energislag 2</t>
        </is>
      </c>
      <c r="C11" s="221" t="inlineStr">
        <is>
          <t>El</t>
        </is>
      </c>
      <c r="D11" s="221" t="n"/>
      <c r="E11" s="218" t="n"/>
      <c r="F11" s="219" t="n"/>
    </row>
    <row r="12" outlineLevel="1" ht="14.25" customHeight="1">
      <c r="A12" s="222" t="inlineStr">
        <is>
          <t xml:space="preserve">Energipris rörligt            </t>
        </is>
      </c>
      <c r="C12" s="223">
        <f>Energiprisfaktorer!C4</f>
        <v/>
      </c>
      <c r="D12" s="224" t="inlineStr">
        <is>
          <t>kr per kWh</t>
        </is>
      </c>
      <c r="E12" s="218" t="n"/>
      <c r="F12" s="219" t="n"/>
      <c r="I12" s="228" t="inlineStr">
        <is>
          <t>Beräkningar</t>
        </is>
      </c>
      <c r="J12" s="229" t="n"/>
      <c r="K12" s="229" t="n"/>
      <c r="L12" s="229" t="n"/>
    </row>
    <row r="13" outlineLevel="1" ht="14.25" customHeight="1">
      <c r="A13" s="225" t="inlineStr">
        <is>
          <t>Energiprisutveckling per år</t>
        </is>
      </c>
      <c r="C13" s="226">
        <f>Energiprisfaktorer!C5</f>
        <v/>
      </c>
      <c r="D13" s="227">
        <f>D5</f>
        <v/>
      </c>
      <c r="E13" s="218" t="n"/>
      <c r="F13" s="219" t="n"/>
    </row>
    <row r="14" outlineLevel="1" ht="14.25" customHeight="1">
      <c r="A14" s="220" t="inlineStr">
        <is>
          <t>Energislag 3</t>
        </is>
      </c>
      <c r="C14" s="221" t="n"/>
      <c r="D14" s="221" t="n"/>
      <c r="E14" s="218" t="n"/>
      <c r="F14" s="219" t="n"/>
      <c r="I14" s="196" t="inlineStr">
        <is>
          <t>Egen kalkyl förklaring</t>
        </is>
      </c>
    </row>
    <row r="15" outlineLevel="1" ht="15.75" customHeight="1">
      <c r="A15" s="222" t="inlineStr">
        <is>
          <t xml:space="preserve">Energipris rörligt            </t>
        </is>
      </c>
      <c r="C15" s="223" t="n">
        <v>0.6</v>
      </c>
      <c r="D15" s="224" t="inlineStr">
        <is>
          <t>kr per kWh</t>
        </is>
      </c>
      <c r="I15" s="295" t="inlineStr">
        <is>
          <t>Injustering av värmesystemet för att uppnå en jämnare temperatur i byggnaden. Flöden till värmestammar och radiatorer injusteras för att avge rätt värmeeffekt. Värmebesparing uppnås genom en lägre genomsnittstemperatur och mindre vädring</t>
        </is>
      </c>
      <c r="J15" s="177" t="n"/>
      <c r="K15" s="177" t="n"/>
      <c r="L15" s="177" t="n"/>
      <c r="M15" s="177" t="n"/>
      <c r="N15" s="178" t="n"/>
    </row>
    <row r="16" outlineLevel="1" ht="70.5" customHeight="1">
      <c r="A16" s="225" t="inlineStr">
        <is>
          <t>Energiprisutveckling per år</t>
        </is>
      </c>
      <c r="C16" s="226" t="n">
        <v>0.04</v>
      </c>
      <c r="D16" s="227">
        <f>D5</f>
        <v/>
      </c>
      <c r="I16" s="181" t="n"/>
      <c r="J16" s="183" t="n"/>
      <c r="K16" s="183" t="n"/>
      <c r="L16" s="183" t="n"/>
      <c r="M16" s="183" t="n"/>
      <c r="N16" s="184" t="n"/>
    </row>
    <row r="17" ht="15.75" customHeight="1">
      <c r="A17" s="225" t="inlineStr">
        <is>
          <t>&lt;&lt;&lt;Om fler energislag: tryck +</t>
        </is>
      </c>
      <c r="C17" s="230" t="n"/>
      <c r="D17" s="230" t="n"/>
      <c r="E17" s="218" t="n"/>
    </row>
    <row r="18" ht="15.75" customHeight="1">
      <c r="A18" s="231" t="n"/>
      <c r="C18" s="231" t="n"/>
      <c r="D18" s="230" t="n"/>
      <c r="E18" s="218" t="n"/>
      <c r="I18" s="196" t="inlineStr">
        <is>
          <t>Egen kalkyl beräkning</t>
        </is>
      </c>
    </row>
    <row r="19" ht="15.75" customHeight="1">
      <c r="A19" s="231" t="n"/>
      <c r="C19" s="233" t="inlineStr">
        <is>
          <t>Före åtgärd</t>
        </is>
      </c>
      <c r="D19" s="234" t="inlineStr">
        <is>
          <t>Efter åtgärd</t>
        </is>
      </c>
      <c r="I19" s="196" t="inlineStr">
        <is>
          <t>Antal lgh</t>
        </is>
      </c>
      <c r="J19" s="30">
        <f>Byggnader!$I$18</f>
        <v/>
      </c>
    </row>
    <row r="20" ht="15.75" customHeight="1">
      <c r="A20" s="235" t="inlineStr">
        <is>
          <t xml:space="preserve">Investeringskostnad                                 kr </t>
        </is>
      </c>
      <c r="C20" s="236" t="n">
        <v>0</v>
      </c>
      <c r="D20" s="236">
        <f>K10</f>
        <v/>
      </c>
      <c r="E20" s="237">
        <f>D20+C41-D41</f>
        <v/>
      </c>
      <c r="F20" s="213" t="inlineStr">
        <is>
          <t>Investeringsgräns</t>
        </is>
      </c>
      <c r="I20" s="196" t="inlineStr">
        <is>
          <t>Rad/lgh</t>
        </is>
      </c>
      <c r="J20" t="n">
        <v>6</v>
      </c>
    </row>
    <row r="21" ht="15.75" customHeight="1">
      <c r="A21" s="231" t="n"/>
      <c r="C21" s="238" t="n"/>
      <c r="D21" s="238" t="n"/>
      <c r="E21" s="239" t="n"/>
      <c r="F21" s="240" t="n"/>
      <c r="I21" s="196" t="inlineStr">
        <is>
          <t>Pris/rad</t>
        </is>
      </c>
      <c r="J21" t="n">
        <v>800</v>
      </c>
    </row>
    <row r="22" ht="15.75" customHeight="1">
      <c r="A22" s="216" t="inlineStr">
        <is>
          <t>Underhållskostnad                                  kr per år</t>
        </is>
      </c>
      <c r="C22" s="241" t="n">
        <v>0</v>
      </c>
      <c r="D22" s="241" t="n">
        <v>0</v>
      </c>
    </row>
    <row r="23" hidden="1" outlineLevel="1" ht="15.75" customHeight="1">
      <c r="A23" s="216" t="inlineStr">
        <is>
          <t xml:space="preserve">Underhållskostnad, periodisk år 0          kr  </t>
        </is>
      </c>
      <c r="C23" s="236" t="n"/>
      <c r="D23" s="236" t="n"/>
    </row>
    <row r="24" hidden="1" outlineLevel="1" ht="15.75" customHeight="1">
      <c r="A24" s="216" t="inlineStr">
        <is>
          <t xml:space="preserve">Underhållskostnad, periodisk år 10        kr  </t>
        </is>
      </c>
      <c r="C24" s="236" t="n"/>
      <c r="D24" s="236" t="n"/>
    </row>
    <row r="25" hidden="1" outlineLevel="1" ht="15.75" customHeight="1">
      <c r="A25" s="216" t="inlineStr">
        <is>
          <t xml:space="preserve">Underhållskostnad, periodisk år 20        kr  </t>
        </is>
      </c>
      <c r="C25" s="236" t="n"/>
      <c r="D25" s="236" t="n"/>
    </row>
    <row r="26" ht="15" customHeight="1">
      <c r="A26" s="216" t="inlineStr">
        <is>
          <t>&lt;&lt;&lt;Om fler uh-kostnader: tryck +</t>
        </is>
      </c>
      <c r="C26" s="242" t="n"/>
      <c r="D26" s="242" t="n"/>
    </row>
    <row r="27" ht="15.75" customHeight="1">
      <c r="A27" s="231" t="n"/>
      <c r="C27" s="242" t="n"/>
      <c r="D27" s="242" t="n"/>
    </row>
    <row r="28" ht="15.75" customHeight="1">
      <c r="A28" s="220" t="inlineStr">
        <is>
          <t>Energianvändning                            kWh per mängdenhet och år</t>
        </is>
      </c>
      <c r="C28" s="243">
        <f>Normalisering!$I$112/'Injustering av värmesystem'!C4</f>
        <v/>
      </c>
      <c r="D28" s="243">
        <f>C28-K9*C28</f>
        <v/>
      </c>
    </row>
    <row r="29" ht="15.75" customHeight="1">
      <c r="A29" s="244" t="inlineStr">
        <is>
          <t>Energikostnad                                  kr per år</t>
        </is>
      </c>
      <c r="C29" s="245">
        <f>C28*$C$4*$C$9</f>
        <v/>
      </c>
      <c r="D29" s="245">
        <f>D28*$C$4*$C$9</f>
        <v/>
      </c>
    </row>
    <row r="30" outlineLevel="1" ht="15.75" customHeight="1">
      <c r="A30" s="220" t="inlineStr">
        <is>
          <t>Energianvändning 2                         kWh per mängdenhet och år</t>
        </is>
      </c>
      <c r="C30" s="243">
        <f>Normalisering!$I$113/'Injustering av värmesystem'!C4</f>
        <v/>
      </c>
      <c r="D30" s="243">
        <f>C30-K9*C30</f>
        <v/>
      </c>
    </row>
    <row r="31" outlineLevel="1" ht="15.75" customHeight="1">
      <c r="A31" s="244" t="inlineStr">
        <is>
          <t>Energikostnad 2                                kr per år</t>
        </is>
      </c>
      <c r="C31" s="245">
        <f>C30*$C$4*$C$12</f>
        <v/>
      </c>
      <c r="D31" s="245">
        <f>D30*$C$4*$C$12</f>
        <v/>
      </c>
    </row>
    <row r="32" outlineLevel="1" ht="15.75" customHeight="1">
      <c r="A32" s="220" t="inlineStr">
        <is>
          <t>Energianvändning 3                         kWh per mängdenhet och år</t>
        </is>
      </c>
      <c r="C32" s="243" t="n"/>
      <c r="D32" s="243" t="n"/>
    </row>
    <row r="33" outlineLevel="1" ht="15.75" customHeight="1">
      <c r="A33" s="244" t="inlineStr">
        <is>
          <t>Energikostnad 3                               kr per år</t>
        </is>
      </c>
      <c r="C33" s="245">
        <f>C32*$C$4*$C$15</f>
        <v/>
      </c>
      <c r="D33" s="245">
        <f>D32*$C$4*$C$15</f>
        <v/>
      </c>
    </row>
    <row r="34" outlineLevel="1" ht="15" customHeight="1">
      <c r="A34" s="231" t="inlineStr">
        <is>
          <t>Summa energikostnad                    kr per år</t>
        </is>
      </c>
      <c r="C34" s="242">
        <f>C29+C31+C33</f>
        <v/>
      </c>
      <c r="D34" s="242">
        <f>D29+D31+D33</f>
        <v/>
      </c>
      <c r="F34" s="231" t="n"/>
    </row>
    <row r="35" outlineLevel="1" ht="15" customHeight="1">
      <c r="A35" s="231" t="inlineStr">
        <is>
          <t>Summa energianvändning             kWh per år</t>
        </is>
      </c>
      <c r="C35" s="242">
        <f>(C28+C30+C32)*$C$4</f>
        <v/>
      </c>
      <c r="D35" s="242">
        <f>(D28+D30+D32)*$C$4</f>
        <v/>
      </c>
      <c r="F35" s="231" t="n"/>
    </row>
    <row r="36" outlineLevel="1" ht="15" customHeight="1">
      <c r="A36" s="231" t="inlineStr">
        <is>
          <t>Energikostnad medelvärde             kr per kWh</t>
        </is>
      </c>
      <c r="C36" s="247">
        <f>C34/C35</f>
        <v/>
      </c>
      <c r="D36" s="242" t="n"/>
      <c r="F36" s="231" t="n"/>
    </row>
    <row r="37" ht="15" customHeight="1">
      <c r="A37" s="222" t="inlineStr">
        <is>
          <t>&lt;&lt;&lt;Om fler energislag: tryck +</t>
        </is>
      </c>
      <c r="C37" s="242" t="n"/>
      <c r="D37" s="242" t="n"/>
      <c r="F37" s="231" t="n"/>
    </row>
    <row r="38" ht="15.75" customHeight="1">
      <c r="A38" s="248" t="n"/>
      <c r="C38" s="242" t="n"/>
      <c r="D38" s="242" t="n"/>
      <c r="F38" s="231" t="n"/>
    </row>
    <row r="39" ht="15" customHeight="1">
      <c r="A39" s="249" t="inlineStr">
        <is>
          <t>Summa nuvärde, investering och underhåll</t>
        </is>
      </c>
      <c r="B39" s="250" t="n"/>
      <c r="C39" s="251">
        <f>C20-PV($C$5-$C$7,$C$6,C22)+C23+C24/(1+$C$5-$C$7)^10+C25/(1+$C$5-$C$7)^20</f>
        <v/>
      </c>
      <c r="D39" s="252">
        <f>D20-PV($C$5-$C$7,$C$6,D22)+D23+D24/(1+$C$5-$C$7)^10+D25/(1+$C$5-$C$7)^20</f>
        <v/>
      </c>
      <c r="F39" s="231" t="n"/>
    </row>
    <row r="40" ht="15.75" customHeight="1">
      <c r="A40" s="253" t="inlineStr">
        <is>
          <t>Summa nuvärde, energikostnader</t>
        </is>
      </c>
      <c r="B40" s="254" t="n"/>
      <c r="C40" s="255">
        <f>-PV($C$5-$C$10,$C$6,C29)-PV($C$5-$C$13,$C$6,C31)-PV($C$5-$C$16,$C$6,C33)</f>
        <v/>
      </c>
      <c r="D40" s="256">
        <f>-PV($C$5-$C$10,$C$6,D29)-PV($C$5-$C$13,$C$6,D31)-PV($C$5-$C$16,$C$6,D33)</f>
        <v/>
      </c>
      <c r="F40" s="231" t="n"/>
    </row>
    <row r="41" ht="15.75" customHeight="1">
      <c r="A41" s="257" t="inlineStr">
        <is>
          <t>Summa nuvärde, alla kostnader</t>
        </is>
      </c>
      <c r="B41" s="258" t="n"/>
      <c r="C41" s="259">
        <f>C39+C40</f>
        <v/>
      </c>
      <c r="D41" s="260">
        <f>D39+D40</f>
        <v/>
      </c>
      <c r="F41" s="231" t="n"/>
    </row>
    <row r="42" ht="15.75" customHeight="1">
      <c r="A42" s="261" t="n"/>
      <c r="B42" s="262" t="n"/>
      <c r="C42" s="263" t="inlineStr">
        <is>
          <t>Differens:</t>
        </is>
      </c>
      <c r="D42" s="264">
        <f>C41-D41</f>
        <v/>
      </c>
      <c r="F42" s="231" t="n"/>
    </row>
    <row r="43" ht="12.75" customFormat="1" customHeight="1" s="231">
      <c r="A43" s="265" t="inlineStr">
        <is>
          <t>Besparingskostnad                         kr per kWh</t>
        </is>
      </c>
      <c r="B43" s="266" t="n"/>
      <c r="C43" s="267">
        <f>(D39-C39)/(C40-D40)*C36</f>
        <v/>
      </c>
      <c r="D43" s="268">
        <f>IF($D42&gt;0,"LÖNSAMT","EJ LÖNSAMT")</f>
        <v/>
      </c>
    </row>
    <row r="44" ht="15.75" customHeight="1">
      <c r="A44" s="269" t="inlineStr">
        <is>
          <t>Energikostnad (mv )                        kr per kWh</t>
        </is>
      </c>
      <c r="B44" s="183" t="n"/>
      <c r="C44" s="270">
        <f>C36</f>
        <v/>
      </c>
      <c r="D44" s="271" t="n"/>
      <c r="F44" s="231" t="n"/>
    </row>
    <row r="45" ht="15" customHeight="1">
      <c r="C45" s="242" t="n"/>
      <c r="D45" s="242" t="n"/>
      <c r="F45" s="231" t="n"/>
    </row>
    <row r="46" ht="15.75" customHeight="1">
      <c r="D46" s="272" t="n"/>
    </row>
    <row r="47" ht="15.75" customHeight="1">
      <c r="A47" s="273" t="inlineStr">
        <is>
          <t>Minskad användning av CO2           ton per år</t>
        </is>
      </c>
      <c r="B47" s="274" t="n"/>
      <c r="D47" s="275" t="inlineStr">
        <is>
          <t>Ej beräknat</t>
        </is>
      </c>
    </row>
    <row r="49" ht="15" customHeight="1">
      <c r="F49" s="218" t="n"/>
    </row>
  </sheetData>
  <mergeCells count="3">
    <mergeCell ref="I15:N16"/>
    <mergeCell ref="I7:L7"/>
    <mergeCell ref="C2:D2"/>
  </mergeCells>
  <dataValidations count="1">
    <dataValidation sqref="B2" showDropDown="0" showInputMessage="0" showErrorMessage="0" allowBlank="0" type="list">
      <formula1>"Ja,Nej"</formula1>
      <formula2>0</formula2>
    </dataValidation>
  </dataValidations>
  <pageMargins left="0.75" right="0.75" top="1" bottom="1" header="0.511811023622047" footer="0.511811023622047"/>
  <pageSetup orientation="landscape" horizontalDpi="300" verticalDpi="300"/>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N49"/>
  <sheetViews>
    <sheetView zoomScaleNormal="100" workbookViewId="0">
      <selection activeCell="B2" sqref="B2"/>
    </sheetView>
  </sheetViews>
  <sheetFormatPr baseColWidth="8" defaultColWidth="9.1328125" defaultRowHeight="14.5" outlineLevelRow="1"/>
  <cols>
    <col width="58.86328125" customWidth="1" min="1" max="1"/>
    <col width="1.26953125" customWidth="1" min="2" max="2"/>
    <col width="16" customWidth="1" min="3" max="3"/>
    <col width="15.86328125" customWidth="1" min="4" max="4"/>
    <col outlineLevel="1" width="9.1328125" customWidth="1" min="5" max="5"/>
    <col outlineLevel="1" width="20.54296875" customWidth="1" min="6" max="6"/>
  </cols>
  <sheetData>
    <row r="1" ht="43.5" customHeight="1">
      <c r="A1" s="200" t="inlineStr">
        <is>
          <t>Byte styrsystem för värme</t>
        </is>
      </c>
      <c r="C1" s="201" t="inlineStr">
        <is>
          <t>För känslighetsanalys tryck + ovan</t>
        </is>
      </c>
      <c r="D1" s="202" t="n"/>
    </row>
    <row r="2" ht="24" customHeight="1">
      <c r="A2" s="203" t="inlineStr">
        <is>
          <t>Ta med i sammanfattning?</t>
        </is>
      </c>
      <c r="B2" s="204" t="inlineStr">
        <is>
          <t>Nej</t>
        </is>
      </c>
      <c r="C2" s="293" t="n"/>
      <c r="D2" s="336" t="n"/>
      <c r="E2" s="201" t="inlineStr">
        <is>
          <t>Lönsamhetsgränser</t>
        </is>
      </c>
      <c r="F2" s="202" t="n"/>
    </row>
    <row r="3" ht="15.75" customHeight="1">
      <c r="A3" s="205" t="n"/>
      <c r="B3" s="206" t="n"/>
      <c r="C3" s="207" t="inlineStr">
        <is>
          <t>Kvantitet</t>
        </is>
      </c>
      <c r="D3" s="208" t="inlineStr">
        <is>
          <t>Enhet</t>
        </is>
      </c>
      <c r="E3" s="201" t="inlineStr">
        <is>
          <t>Känslighetsanalys</t>
        </is>
      </c>
      <c r="F3" s="202" t="n"/>
    </row>
    <row r="4" ht="13.5" customHeight="1">
      <c r="A4" s="205" t="inlineStr">
        <is>
          <t xml:space="preserve">Mängduppgift                           </t>
        </is>
      </c>
      <c r="C4" s="209">
        <f>Byggnader!$I$32</f>
        <v/>
      </c>
      <c r="D4" s="209" t="inlineStr">
        <is>
          <t>m2 At</t>
        </is>
      </c>
    </row>
    <row r="5" ht="13.5" customHeight="1">
      <c r="A5" s="205" t="inlineStr">
        <is>
          <t xml:space="preserve">Kalkylränta </t>
        </is>
      </c>
      <c r="C5" s="210">
        <f>Energiprisfaktorer!B6</f>
        <v/>
      </c>
      <c r="D5" s="211" t="inlineStr">
        <is>
          <t>nominell</t>
        </is>
      </c>
      <c r="E5" s="212" t="n"/>
      <c r="F5" s="213" t="inlineStr">
        <is>
          <t>Internränta</t>
        </is>
      </c>
    </row>
    <row r="6" ht="15.75" customHeight="1">
      <c r="A6" s="205" t="inlineStr">
        <is>
          <t xml:space="preserve">Kalkylperiod                                        </t>
        </is>
      </c>
      <c r="C6" s="214" t="n">
        <v>20</v>
      </c>
      <c r="D6" s="211" t="inlineStr">
        <is>
          <t>år</t>
        </is>
      </c>
      <c r="E6" s="215">
        <f>(D20-C20)/(C34+C22-D34-D22)</f>
        <v/>
      </c>
      <c r="F6" s="213" t="inlineStr">
        <is>
          <t>Pay-off utan ränta</t>
        </is>
      </c>
    </row>
    <row r="7" ht="15.75" customHeight="1">
      <c r="A7" s="216" t="inlineStr">
        <is>
          <t>Unerhållskostnad prisutveckling per år</t>
        </is>
      </c>
      <c r="C7" s="210">
        <f>Energiprisfaktorer!B7</f>
        <v/>
      </c>
      <c r="D7" s="217">
        <f>D5</f>
        <v/>
      </c>
      <c r="E7" s="218" t="n"/>
      <c r="F7" s="219" t="n"/>
      <c r="I7" s="294" t="inlineStr">
        <is>
          <t>Investeringskalkyl</t>
        </is>
      </c>
      <c r="J7" s="229" t="n"/>
      <c r="K7" s="229" t="n"/>
      <c r="L7" s="229" t="n"/>
    </row>
    <row r="8" ht="15.75" customHeight="1">
      <c r="A8" s="220" t="inlineStr">
        <is>
          <t xml:space="preserve">Energislag </t>
        </is>
      </c>
      <c r="C8" s="221" t="inlineStr">
        <is>
          <t>Fjärrvärme</t>
        </is>
      </c>
      <c r="D8" s="221" t="inlineStr">
        <is>
          <t>kWh</t>
        </is>
      </c>
      <c r="E8" s="218" t="n"/>
      <c r="F8" s="219" t="n"/>
    </row>
    <row r="9" ht="14.25" customHeight="1">
      <c r="A9" s="222" t="inlineStr">
        <is>
          <t xml:space="preserve">Energipris rörligt            </t>
        </is>
      </c>
      <c r="C9" s="223">
        <f>Energiprisfaktorer!B4</f>
        <v/>
      </c>
      <c r="D9" s="224" t="inlineStr">
        <is>
          <t>kr per kWh</t>
        </is>
      </c>
      <c r="E9" s="218" t="n"/>
      <c r="F9" s="219" t="n"/>
      <c r="I9" s="196" t="inlineStr">
        <is>
          <t>Beräknad besparing</t>
        </is>
      </c>
      <c r="K9" s="187" t="n">
        <v>0.1</v>
      </c>
    </row>
    <row r="10" ht="14.25" customHeight="1">
      <c r="A10" s="225" t="inlineStr">
        <is>
          <t>Energiprisutveckling per år</t>
        </is>
      </c>
      <c r="C10" s="226">
        <f>Energiprisfaktorer!B5</f>
        <v/>
      </c>
      <c r="D10" s="227">
        <f>D5</f>
        <v/>
      </c>
      <c r="E10" s="218" t="n"/>
      <c r="F10" s="219" t="n"/>
      <c r="I10" s="196" t="inlineStr">
        <is>
          <t>Investeringskostnad</t>
        </is>
      </c>
      <c r="K10">
        <f>55000+1500*Byggnader!$I$18</f>
        <v/>
      </c>
    </row>
    <row r="11" outlineLevel="1" ht="14.25" customHeight="1">
      <c r="A11" s="220" t="inlineStr">
        <is>
          <t>Energislag 2</t>
        </is>
      </c>
      <c r="C11" s="221" t="inlineStr">
        <is>
          <t>El</t>
        </is>
      </c>
      <c r="D11" s="221" t="n"/>
      <c r="E11" s="218" t="n"/>
      <c r="F11" s="219" t="n"/>
    </row>
    <row r="12" outlineLevel="1" ht="14.25" customHeight="1">
      <c r="A12" s="222" t="inlineStr">
        <is>
          <t xml:space="preserve">Energipris rörligt            </t>
        </is>
      </c>
      <c r="C12" s="223">
        <f>Energiprisfaktorer!C4</f>
        <v/>
      </c>
      <c r="D12" s="224" t="inlineStr">
        <is>
          <t>kr per kWh</t>
        </is>
      </c>
      <c r="E12" s="218" t="n"/>
      <c r="F12" s="219" t="n"/>
      <c r="I12" s="228" t="inlineStr">
        <is>
          <t>Beräkningar</t>
        </is>
      </c>
      <c r="J12" s="229" t="n"/>
      <c r="K12" s="229" t="n"/>
      <c r="L12" s="229" t="n"/>
    </row>
    <row r="13" outlineLevel="1" ht="14.25" customHeight="1">
      <c r="A13" s="225" t="inlineStr">
        <is>
          <t>Energiprisutveckling per år</t>
        </is>
      </c>
      <c r="C13" s="226">
        <f>Energiprisfaktorer!C5</f>
        <v/>
      </c>
      <c r="D13" s="227">
        <f>D5</f>
        <v/>
      </c>
      <c r="E13" s="218" t="n"/>
      <c r="F13" s="219" t="n"/>
    </row>
    <row r="14" outlineLevel="1" ht="14.25" customHeight="1">
      <c r="A14" s="220" t="inlineStr">
        <is>
          <t>Energislag 3</t>
        </is>
      </c>
      <c r="C14" s="221" t="n"/>
      <c r="D14" s="221" t="n"/>
      <c r="E14" s="218" t="n"/>
      <c r="F14" s="219" t="n"/>
      <c r="I14" s="196" t="inlineStr">
        <is>
          <t>Egen kalkyl förklaring</t>
        </is>
      </c>
    </row>
    <row r="15" outlineLevel="1" ht="15.75" customHeight="1">
      <c r="A15" s="222" t="inlineStr">
        <is>
          <t xml:space="preserve">Energipris rörligt            </t>
        </is>
      </c>
      <c r="C15" s="223" t="n">
        <v>0.6</v>
      </c>
      <c r="D15" s="224" t="inlineStr">
        <is>
          <t>kr per kWh</t>
        </is>
      </c>
      <c r="I15" s="295" t="inlineStr">
        <is>
          <t>Byte av styr och reglerutrustning för värmesystem. Befintligt styrsystem har endast utegivare för utstyrning av värme. Genom att sätta in en ny styrdator som även mäter inomhustemperatur kan värmeöverskottet som uppstår vid viss väderlek och årstid automatiskt besparas.</t>
        </is>
      </c>
      <c r="J15" s="177" t="n"/>
      <c r="K15" s="177" t="n"/>
      <c r="L15" s="177" t="n"/>
      <c r="M15" s="177" t="n"/>
      <c r="N15" s="178" t="n"/>
    </row>
    <row r="16" outlineLevel="1" ht="75.75" customHeight="1">
      <c r="A16" s="225" t="inlineStr">
        <is>
          <t>Energiprisutveckling per år</t>
        </is>
      </c>
      <c r="C16" s="226" t="n">
        <v>0.04</v>
      </c>
      <c r="D16" s="227">
        <f>D5</f>
        <v/>
      </c>
      <c r="I16" s="181" t="n"/>
      <c r="J16" s="183" t="n"/>
      <c r="K16" s="183" t="n"/>
      <c r="L16" s="183" t="n"/>
      <c r="M16" s="183" t="n"/>
      <c r="N16" s="184" t="n"/>
    </row>
    <row r="17" ht="15.75" customHeight="1">
      <c r="A17" s="225" t="inlineStr">
        <is>
          <t>&lt;&lt;&lt;Om fler energislag: tryck +</t>
        </is>
      </c>
      <c r="C17" s="230" t="n"/>
      <c r="D17" s="230" t="n"/>
      <c r="E17" s="218" t="n"/>
    </row>
    <row r="18" ht="15.75" customHeight="1">
      <c r="A18" s="231" t="n"/>
      <c r="C18" s="231" t="n"/>
      <c r="D18" s="230" t="n"/>
      <c r="E18" s="218" t="n"/>
      <c r="I18" s="196" t="n"/>
    </row>
    <row r="19" ht="15.75" customHeight="1">
      <c r="A19" s="231" t="n"/>
      <c r="C19" s="233" t="inlineStr">
        <is>
          <t>Före åtgärd</t>
        </is>
      </c>
      <c r="D19" s="234" t="inlineStr">
        <is>
          <t>Efter åtgärd</t>
        </is>
      </c>
    </row>
    <row r="20" ht="15.75" customHeight="1">
      <c r="A20" s="235" t="inlineStr">
        <is>
          <t xml:space="preserve">Investeringskostnad                                 kr </t>
        </is>
      </c>
      <c r="C20" s="236" t="n">
        <v>0</v>
      </c>
      <c r="D20" s="236">
        <f>K10</f>
        <v/>
      </c>
      <c r="E20" s="237">
        <f>D20+C41-D41</f>
        <v/>
      </c>
      <c r="F20" s="213" t="inlineStr">
        <is>
          <t>Investeringsgräns</t>
        </is>
      </c>
    </row>
    <row r="21" ht="15.75" customHeight="1">
      <c r="A21" s="231" t="n"/>
      <c r="C21" s="238" t="n"/>
      <c r="D21" s="238" t="n"/>
      <c r="E21" s="239" t="n"/>
      <c r="F21" s="240" t="n"/>
    </row>
    <row r="22" ht="15.75" customHeight="1">
      <c r="A22" s="216" t="inlineStr">
        <is>
          <t>Underhållskostnad                                  kr per år</t>
        </is>
      </c>
      <c r="C22" s="241" t="n">
        <v>0</v>
      </c>
      <c r="D22" s="241" t="n">
        <v>0</v>
      </c>
    </row>
    <row r="23" hidden="1" outlineLevel="1" ht="15.75" customHeight="1">
      <c r="A23" s="216" t="inlineStr">
        <is>
          <t xml:space="preserve">Underhållskostnad, periodisk år 0          kr  </t>
        </is>
      </c>
      <c r="C23" s="236" t="n"/>
      <c r="D23" s="236" t="n"/>
    </row>
    <row r="24" hidden="1" outlineLevel="1" ht="15.75" customHeight="1">
      <c r="A24" s="216" t="inlineStr">
        <is>
          <t xml:space="preserve">Underhållskostnad, periodisk år 10        kr  </t>
        </is>
      </c>
      <c r="C24" s="236" t="n"/>
      <c r="D24" s="236" t="n"/>
    </row>
    <row r="25" hidden="1" outlineLevel="1" ht="15.75" customHeight="1">
      <c r="A25" s="216" t="inlineStr">
        <is>
          <t xml:space="preserve">Underhållskostnad, periodisk år 20        kr  </t>
        </is>
      </c>
      <c r="C25" s="236" t="n"/>
      <c r="D25" s="236" t="n"/>
    </row>
    <row r="26" ht="15" customHeight="1">
      <c r="A26" s="216" t="inlineStr">
        <is>
          <t>&lt;&lt;&lt;Om fler uh-kostnader: tryck +</t>
        </is>
      </c>
      <c r="C26" s="242" t="n"/>
      <c r="D26" s="242" t="n"/>
    </row>
    <row r="27" ht="15.75" customHeight="1">
      <c r="A27" s="231" t="n"/>
      <c r="C27" s="242" t="n"/>
      <c r="D27" s="242" t="n"/>
    </row>
    <row r="28" ht="15.75" customHeight="1">
      <c r="A28" s="220" t="inlineStr">
        <is>
          <t>Energianvändning                            kWh per mängdenhet och år</t>
        </is>
      </c>
      <c r="C28" s="243">
        <f>Normalisering!$I$89/Byggnader!$I$32</f>
        <v/>
      </c>
      <c r="D28" s="243">
        <f>C28-K9*C28</f>
        <v/>
      </c>
    </row>
    <row r="29" ht="15.75" customHeight="1">
      <c r="A29" s="244" t="inlineStr">
        <is>
          <t>Energikostnad                                  kr per år</t>
        </is>
      </c>
      <c r="C29" s="245">
        <f>C28*$C$4*$C$9</f>
        <v/>
      </c>
      <c r="D29" s="245">
        <f>D28*$C$4*$C$9</f>
        <v/>
      </c>
    </row>
    <row r="30" outlineLevel="1" ht="15.75" customHeight="1">
      <c r="A30" s="220" t="inlineStr">
        <is>
          <t>Energianvändning 2                         kWh per mängdenhet och år</t>
        </is>
      </c>
      <c r="C30" s="243" t="n"/>
      <c r="D30" s="243" t="n"/>
    </row>
    <row r="31" outlineLevel="1" ht="15.75" customHeight="1">
      <c r="A31" s="244" t="inlineStr">
        <is>
          <t>Energikostnad 2                                kr per år</t>
        </is>
      </c>
      <c r="C31" s="245">
        <f>C30*$C$4*$C$12</f>
        <v/>
      </c>
      <c r="D31" s="245">
        <f>D30*$C$4*$C$12</f>
        <v/>
      </c>
    </row>
    <row r="32" outlineLevel="1" ht="15.75" customHeight="1">
      <c r="A32" s="220" t="inlineStr">
        <is>
          <t>Energianvändning 3                         kWh per mängdenhet och år</t>
        </is>
      </c>
      <c r="C32" s="243" t="n"/>
      <c r="D32" s="243" t="n"/>
    </row>
    <row r="33" outlineLevel="1" ht="15.75" customHeight="1">
      <c r="A33" s="244" t="inlineStr">
        <is>
          <t>Energikostnad 3                               kr per år</t>
        </is>
      </c>
      <c r="C33" s="245">
        <f>C32*$C$4*$C$15</f>
        <v/>
      </c>
      <c r="D33" s="245">
        <f>D32*$C$4*$C$15</f>
        <v/>
      </c>
    </row>
    <row r="34" outlineLevel="1" ht="15" customHeight="1">
      <c r="A34" s="231" t="inlineStr">
        <is>
          <t>Summa energikostnad                    kr per år</t>
        </is>
      </c>
      <c r="C34" s="242">
        <f>C29+C31+C33</f>
        <v/>
      </c>
      <c r="D34" s="242">
        <f>D29+D31+D33</f>
        <v/>
      </c>
      <c r="F34" s="231" t="n"/>
    </row>
    <row r="35" outlineLevel="1" ht="15" customHeight="1">
      <c r="A35" s="231" t="inlineStr">
        <is>
          <t>Summa energianvändning             kWh per år</t>
        </is>
      </c>
      <c r="C35" s="242">
        <f>(C28+C30+C32)*$C$4</f>
        <v/>
      </c>
      <c r="D35" s="242">
        <f>(D28+D30+D32)*$C$4</f>
        <v/>
      </c>
      <c r="F35" s="231" t="n"/>
    </row>
    <row r="36" outlineLevel="1" ht="15" customHeight="1">
      <c r="A36" s="231" t="inlineStr">
        <is>
          <t>Energikostnad medelvärde             kr per kWh</t>
        </is>
      </c>
      <c r="C36" s="247">
        <f>C34/C35</f>
        <v/>
      </c>
      <c r="D36" s="242" t="n"/>
      <c r="F36" s="231" t="n"/>
    </row>
    <row r="37" ht="15" customHeight="1">
      <c r="A37" s="222" t="inlineStr">
        <is>
          <t>&lt;&lt;&lt;Om fler energislag: tryck +</t>
        </is>
      </c>
      <c r="C37" s="242" t="n"/>
      <c r="D37" s="242" t="n"/>
      <c r="F37" s="231" t="n"/>
    </row>
    <row r="38" ht="15.75" customHeight="1">
      <c r="A38" s="248" t="n"/>
      <c r="C38" s="242" t="n"/>
      <c r="D38" s="242" t="n"/>
      <c r="F38" s="231" t="n"/>
    </row>
    <row r="39" ht="15" customHeight="1">
      <c r="A39" s="249" t="inlineStr">
        <is>
          <t>Summa nuvärde, investering och underhåll</t>
        </is>
      </c>
      <c r="B39" s="250" t="n"/>
      <c r="C39" s="251">
        <f>C20-PV($C$5-$C$7,$C$6,C22)+C23+C24/(1+$C$5-$C$7)^10+C25/(1+$C$5-$C$7)^20</f>
        <v/>
      </c>
      <c r="D39" s="252">
        <f>D20-PV($C$5-$C$7,$C$6,D22)+D23+D24/(1+$C$5-$C$7)^10+D25/(1+$C$5-$C$7)^20</f>
        <v/>
      </c>
      <c r="F39" s="231" t="n"/>
    </row>
    <row r="40" ht="15.75" customHeight="1">
      <c r="A40" s="253" t="inlineStr">
        <is>
          <t>Summa nuvärde, energikostnader</t>
        </is>
      </c>
      <c r="B40" s="254" t="n"/>
      <c r="C40" s="255">
        <f>-PV($C$5-$C$10,$C$6,C29)-PV($C$5-$C$13,$C$6,C31)-PV($C$5-$C$16,$C$6,C33)</f>
        <v/>
      </c>
      <c r="D40" s="256">
        <f>-PV($C$5-$C$10,$C$6,D29)-PV($C$5-$C$13,$C$6,D31)-PV($C$5-$C$16,$C$6,D33)</f>
        <v/>
      </c>
      <c r="F40" s="231" t="n"/>
    </row>
    <row r="41" ht="15.75" customHeight="1">
      <c r="A41" s="257" t="inlineStr">
        <is>
          <t>Summa nuvärde, alla kostnader</t>
        </is>
      </c>
      <c r="B41" s="258" t="n"/>
      <c r="C41" s="259">
        <f>C39+C40</f>
        <v/>
      </c>
      <c r="D41" s="260">
        <f>D39+D40</f>
        <v/>
      </c>
      <c r="F41" s="231" t="n"/>
    </row>
    <row r="42" ht="15.75" customHeight="1">
      <c r="A42" s="261" t="n"/>
      <c r="B42" s="262" t="n"/>
      <c r="C42" s="263" t="inlineStr">
        <is>
          <t>Differens:</t>
        </is>
      </c>
      <c r="D42" s="264">
        <f>C41-D41</f>
        <v/>
      </c>
      <c r="F42" s="231" t="n"/>
    </row>
    <row r="43" ht="12.75" customFormat="1" customHeight="1" s="231">
      <c r="A43" s="265" t="inlineStr">
        <is>
          <t>Besparingskostnad                         kr per kWh</t>
        </is>
      </c>
      <c r="B43" s="266" t="n"/>
      <c r="C43" s="267">
        <f>(D39-C39)/(C40-D40)*C36</f>
        <v/>
      </c>
      <c r="D43" s="268">
        <f>IF($D42&gt;0,"LÖNSAMT","EJ LÖNSAMT")</f>
        <v/>
      </c>
    </row>
    <row r="44" ht="15.75" customHeight="1">
      <c r="A44" s="269" t="inlineStr">
        <is>
          <t>Energikostnad (mv )                        kr per kWh</t>
        </is>
      </c>
      <c r="B44" s="183" t="n"/>
      <c r="C44" s="270">
        <f>C36</f>
        <v/>
      </c>
      <c r="D44" s="271" t="n"/>
      <c r="F44" s="231" t="n"/>
    </row>
    <row r="45" ht="15" customHeight="1">
      <c r="C45" s="242" t="n"/>
      <c r="D45" s="242" t="n"/>
      <c r="F45" s="231" t="n"/>
    </row>
    <row r="46" ht="15.75" customHeight="1">
      <c r="D46" s="272" t="n"/>
    </row>
    <row r="47" ht="15.75" customHeight="1">
      <c r="A47" s="273" t="inlineStr">
        <is>
          <t>Minskad användning av CO2           ton per år</t>
        </is>
      </c>
      <c r="B47" s="274" t="n"/>
      <c r="D47" s="275" t="inlineStr">
        <is>
          <t>Ej beräknat</t>
        </is>
      </c>
    </row>
    <row r="49" ht="15" customHeight="1">
      <c r="F49" s="218" t="n"/>
    </row>
  </sheetData>
  <mergeCells count="3">
    <mergeCell ref="I15:N16"/>
    <mergeCell ref="I7:L7"/>
    <mergeCell ref="C2:D2"/>
  </mergeCells>
  <dataValidations count="1">
    <dataValidation sqref="B2" showDropDown="0" showInputMessage="0" showErrorMessage="0" allowBlank="0" type="list">
      <formula1>"Ja,Nej"</formula1>
      <formula2>0</formula2>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N49"/>
  <sheetViews>
    <sheetView topLeftCell="B1" zoomScaleNormal="100" workbookViewId="0">
      <selection activeCell="H27" sqref="H27"/>
    </sheetView>
  </sheetViews>
  <sheetFormatPr baseColWidth="8" defaultColWidth="9.1328125" defaultRowHeight="14.5" outlineLevelRow="1"/>
  <cols>
    <col width="58.86328125" customWidth="1" min="1" max="1"/>
    <col width="1.26953125" customWidth="1" min="2" max="2"/>
    <col width="16" customWidth="1" min="3" max="3"/>
    <col width="15.86328125" customWidth="1" min="4" max="4"/>
    <col outlineLevel="1" width="9.1328125" customWidth="1" min="5" max="5"/>
    <col outlineLevel="1" width="20.54296875" customWidth="1" min="6" max="6"/>
    <col width="28.86328125" customWidth="1" min="9" max="9"/>
    <col width="13.40625" customWidth="1" min="10" max="10"/>
    <col width="10.86328125" customWidth="1" min="11" max="11"/>
  </cols>
  <sheetData>
    <row r="1" ht="45.75" customHeight="1">
      <c r="A1" s="200" t="inlineStr">
        <is>
          <t>Tilläggisolering av vindbjälklaget</t>
        </is>
      </c>
      <c r="C1" s="201" t="inlineStr">
        <is>
          <t>För känslighetsanalys tryck + ovan</t>
        </is>
      </c>
      <c r="D1" s="202" t="n"/>
    </row>
    <row r="2" ht="24" customHeight="1">
      <c r="A2" s="203" t="inlineStr">
        <is>
          <t>Ta med i sammanfattning?</t>
        </is>
      </c>
      <c r="B2" s="204" t="inlineStr">
        <is>
          <t>Nej</t>
        </is>
      </c>
      <c r="C2" s="293" t="n"/>
      <c r="D2" s="336" t="n"/>
      <c r="E2" s="201" t="inlineStr">
        <is>
          <t>Lönsamhetsgränser</t>
        </is>
      </c>
      <c r="F2" s="202" t="n"/>
    </row>
    <row r="3" ht="15.75" customHeight="1">
      <c r="A3" s="205" t="n"/>
      <c r="B3" s="206" t="n"/>
      <c r="C3" s="207" t="inlineStr">
        <is>
          <t>Kvantitet</t>
        </is>
      </c>
      <c r="D3" s="208" t="inlineStr">
        <is>
          <t>Enhet</t>
        </is>
      </c>
      <c r="E3" s="201" t="inlineStr">
        <is>
          <t>Känslighetsanalys</t>
        </is>
      </c>
      <c r="F3" s="202" t="n"/>
    </row>
    <row r="4" ht="13.5" customHeight="1">
      <c r="A4" s="205" t="inlineStr">
        <is>
          <t xml:space="preserve">Mängduppgift                           </t>
        </is>
      </c>
      <c r="C4" s="209">
        <f>Byggnader!$I$32</f>
        <v/>
      </c>
      <c r="D4" s="209" t="inlineStr">
        <is>
          <t>m2 At</t>
        </is>
      </c>
    </row>
    <row r="5" ht="13.5" customHeight="1">
      <c r="A5" s="205" t="inlineStr">
        <is>
          <t xml:space="preserve">Kalkylränta </t>
        </is>
      </c>
      <c r="C5" s="210">
        <f>Energiprisfaktorer!B6</f>
        <v/>
      </c>
      <c r="D5" s="211" t="inlineStr">
        <is>
          <t>nominell</t>
        </is>
      </c>
      <c r="E5" s="212" t="n"/>
      <c r="F5" s="213" t="inlineStr">
        <is>
          <t>Internränta</t>
        </is>
      </c>
    </row>
    <row r="6" ht="15.75" customHeight="1">
      <c r="A6" s="205" t="inlineStr">
        <is>
          <t xml:space="preserve">Kalkylperiod                                        </t>
        </is>
      </c>
      <c r="C6" s="214" t="n">
        <v>20</v>
      </c>
      <c r="D6" s="211" t="inlineStr">
        <is>
          <t>år</t>
        </is>
      </c>
      <c r="E6" s="215">
        <f>(D20-C20)/(C34+C22-D34-D22)</f>
        <v/>
      </c>
      <c r="F6" s="213" t="inlineStr">
        <is>
          <t>Pay-off utan ränta</t>
        </is>
      </c>
    </row>
    <row r="7" ht="15.75" customHeight="1">
      <c r="A7" s="216" t="inlineStr">
        <is>
          <t>Unerhållskostnad prisutveckling per år</t>
        </is>
      </c>
      <c r="C7" s="210">
        <f>Energiprisfaktorer!B7</f>
        <v/>
      </c>
      <c r="D7" s="217">
        <f>D5</f>
        <v/>
      </c>
      <c r="E7" s="218" t="n"/>
      <c r="F7" s="219" t="n"/>
      <c r="I7" s="294" t="inlineStr">
        <is>
          <t>Investeringskalkyl</t>
        </is>
      </c>
      <c r="J7" s="229" t="n"/>
      <c r="K7" s="229" t="n"/>
      <c r="L7" s="229" t="n"/>
    </row>
    <row r="8" ht="15.75" customHeight="1">
      <c r="A8" s="220" t="inlineStr">
        <is>
          <t xml:space="preserve">Energislag </t>
        </is>
      </c>
      <c r="C8" s="221" t="inlineStr">
        <is>
          <t>El</t>
        </is>
      </c>
      <c r="D8" s="221" t="inlineStr">
        <is>
          <t>kWh</t>
        </is>
      </c>
      <c r="E8" s="218" t="n"/>
      <c r="F8" s="219" t="n"/>
      <c r="I8" t="inlineStr">
        <is>
          <t>Nyckeltal investering/m2</t>
        </is>
      </c>
      <c r="K8" t="n">
        <v>120</v>
      </c>
    </row>
    <row r="9" ht="14.25" customHeight="1">
      <c r="A9" s="222" t="inlineStr">
        <is>
          <t xml:space="preserve">Energipris rörligt            </t>
        </is>
      </c>
      <c r="C9" s="223">
        <f>Energiprisfaktorer!C4</f>
        <v/>
      </c>
      <c r="D9" s="224" t="inlineStr">
        <is>
          <t>kr per kWh</t>
        </is>
      </c>
      <c r="E9" s="218" t="n"/>
      <c r="F9" s="219" t="n"/>
      <c r="I9" s="196" t="inlineStr">
        <is>
          <t>Investeringskostnad</t>
        </is>
      </c>
      <c r="K9">
        <f>K8*K19</f>
        <v/>
      </c>
    </row>
    <row r="10" ht="14.25" customHeight="1">
      <c r="A10" s="225" t="inlineStr">
        <is>
          <t>Energiprisutveckling per år</t>
        </is>
      </c>
      <c r="C10" s="226">
        <f>Energiprisfaktorer!B5</f>
        <v/>
      </c>
      <c r="D10" s="227">
        <f>D5</f>
        <v/>
      </c>
      <c r="E10" s="218" t="n"/>
      <c r="F10" s="219" t="n"/>
      <c r="I10" s="196" t="inlineStr">
        <is>
          <t>Beräknad besparing kWh/år</t>
        </is>
      </c>
      <c r="K10" s="30">
        <f>K26-K27</f>
        <v/>
      </c>
    </row>
    <row r="11" outlineLevel="1" ht="14.25" customHeight="1">
      <c r="A11" s="220" t="inlineStr">
        <is>
          <t>Energislag 2</t>
        </is>
      </c>
      <c r="C11" s="221" t="inlineStr">
        <is>
          <t>Fjärrvärme</t>
        </is>
      </c>
      <c r="D11" s="221" t="n"/>
      <c r="E11" s="218" t="n"/>
      <c r="F11" s="219" t="n"/>
    </row>
    <row r="12" outlineLevel="1" ht="14.25" customHeight="1">
      <c r="A12" s="222" t="inlineStr">
        <is>
          <t xml:space="preserve">Energipris rörligt            </t>
        </is>
      </c>
      <c r="C12" s="223">
        <f>Energiprisfaktorer!B4</f>
        <v/>
      </c>
      <c r="D12" s="224" t="inlineStr">
        <is>
          <t>kr per kWh</t>
        </is>
      </c>
      <c r="E12" s="218" t="n"/>
      <c r="F12" s="219" t="n"/>
      <c r="I12" s="228" t="inlineStr">
        <is>
          <t>Beräkningar</t>
        </is>
      </c>
      <c r="J12" s="229" t="n"/>
      <c r="K12" s="229" t="n"/>
      <c r="L12" s="229" t="n"/>
    </row>
    <row r="13" outlineLevel="1" ht="14.25" customHeight="1">
      <c r="A13" s="225" t="inlineStr">
        <is>
          <t>Energiprisutveckling per år</t>
        </is>
      </c>
      <c r="C13" s="226">
        <f>Energiprisfaktorer!C5</f>
        <v/>
      </c>
      <c r="D13" s="227">
        <f>D5</f>
        <v/>
      </c>
      <c r="E13" s="218" t="n"/>
      <c r="F13" s="219" t="n"/>
    </row>
    <row r="14" outlineLevel="1" ht="14.25" customHeight="1">
      <c r="A14" s="220" t="inlineStr">
        <is>
          <t>Energislag 3</t>
        </is>
      </c>
      <c r="C14" s="221" t="n"/>
      <c r="D14" s="221" t="n"/>
      <c r="E14" s="218" t="n"/>
      <c r="F14" s="219" t="n"/>
      <c r="I14" s="196" t="inlineStr">
        <is>
          <t>Egen kalkyl förklaring</t>
        </is>
      </c>
    </row>
    <row r="15" outlineLevel="1" ht="15.75" customHeight="1">
      <c r="A15" s="222" t="inlineStr">
        <is>
          <t xml:space="preserve">Energipris rörligt            </t>
        </is>
      </c>
      <c r="C15" s="223" t="n">
        <v>0.6</v>
      </c>
      <c r="D15" s="224" t="inlineStr">
        <is>
          <t>kr per kWh</t>
        </is>
      </c>
      <c r="I15" s="295" t="inlineStr">
        <is>
          <t>Befintlig isolering är xx cm tjock. Det finns bra förutsättningar att tilläggisolera vindsbjälklaget med ytterliggare xx cm lösull. Därigenom kan man minska värmeläckaget genom vinden.</t>
        </is>
      </c>
      <c r="J15" s="177" t="n"/>
      <c r="K15" s="177" t="n"/>
      <c r="L15" s="177" t="n"/>
      <c r="M15" s="177" t="n"/>
      <c r="N15" s="178" t="n"/>
    </row>
    <row r="16" outlineLevel="1" ht="15.75" customHeight="1">
      <c r="A16" s="225" t="inlineStr">
        <is>
          <t>Energiprisutveckling per år</t>
        </is>
      </c>
      <c r="C16" s="226" t="n">
        <v>0.04</v>
      </c>
      <c r="D16" s="227">
        <f>D5</f>
        <v/>
      </c>
      <c r="I16" s="181" t="n"/>
      <c r="J16" s="183" t="n"/>
      <c r="K16" s="183" t="n"/>
      <c r="L16" s="183" t="n"/>
      <c r="M16" s="183" t="n"/>
      <c r="N16" s="184" t="n"/>
    </row>
    <row r="17" ht="15.75" customHeight="1">
      <c r="A17" s="225" t="inlineStr">
        <is>
          <t>&lt;&lt;&lt;Om fler energislag: tryck +</t>
        </is>
      </c>
      <c r="C17" s="230" t="n"/>
      <c r="D17" s="230" t="n"/>
      <c r="E17" s="218" t="n"/>
    </row>
    <row r="18" ht="15.75" customHeight="1">
      <c r="A18" s="231" t="n"/>
      <c r="C18" s="231" t="n"/>
      <c r="D18" s="230" t="n"/>
      <c r="E18" s="218" t="n"/>
      <c r="I18" s="196" t="inlineStr">
        <is>
          <t>Egen kalkyl beräkning</t>
        </is>
      </c>
    </row>
    <row r="19" ht="15.75" customHeight="1">
      <c r="A19" s="231" t="n"/>
      <c r="C19" s="233" t="inlineStr">
        <is>
          <t>Före åtgärd</t>
        </is>
      </c>
      <c r="D19" s="234" t="inlineStr">
        <is>
          <t>Efter åtgärd</t>
        </is>
      </c>
      <c r="I19" s="196" t="inlineStr">
        <is>
          <t>Takyta</t>
        </is>
      </c>
      <c r="K19" t="n">
        <v>120</v>
      </c>
    </row>
    <row r="20" ht="15.75" customHeight="1">
      <c r="A20" s="235" t="inlineStr">
        <is>
          <t xml:space="preserve">Investeringskostnad                                 kr </t>
        </is>
      </c>
      <c r="C20" s="236" t="n">
        <v>0</v>
      </c>
      <c r="D20" s="236">
        <f>K9</f>
        <v/>
      </c>
      <c r="E20" s="237">
        <f>D20+C41-D41</f>
        <v/>
      </c>
      <c r="F20" s="213" t="inlineStr">
        <is>
          <t>Investeringsgräns</t>
        </is>
      </c>
      <c r="I20" s="196" t="inlineStr">
        <is>
          <t>Bef U</t>
        </is>
      </c>
      <c r="K20" t="n">
        <v>0.25</v>
      </c>
    </row>
    <row r="21" ht="15.75" customHeight="1">
      <c r="A21" s="231" t="n"/>
      <c r="C21" s="238" t="n"/>
      <c r="D21" s="238" t="n"/>
      <c r="E21" s="239" t="n"/>
      <c r="F21" s="240" t="n"/>
      <c r="I21" s="196" t="inlineStr">
        <is>
          <t>Nytt U</t>
        </is>
      </c>
      <c r="K21" t="n">
        <v>0.11</v>
      </c>
    </row>
    <row r="22" ht="15.75" customHeight="1">
      <c r="A22" s="216" t="inlineStr">
        <is>
          <t>Underhållskostnad                                  kr per år</t>
        </is>
      </c>
      <c r="C22" s="241" t="n">
        <v>0</v>
      </c>
      <c r="D22" s="241" t="n">
        <v>0</v>
      </c>
      <c r="I22" s="196" t="inlineStr">
        <is>
          <t>Gradtimmar</t>
        </is>
      </c>
      <c r="K22" t="n">
        <v>110000</v>
      </c>
      <c r="L22" t="inlineStr">
        <is>
          <t>K-D 17 gränstemp</t>
        </is>
      </c>
    </row>
    <row r="23" hidden="1" outlineLevel="1" ht="15.75" customHeight="1">
      <c r="A23" s="216" t="inlineStr">
        <is>
          <t xml:space="preserve">Underhållskostnad, periodisk år 0          kr  </t>
        </is>
      </c>
      <c r="C23" s="236" t="n"/>
      <c r="D23" s="236" t="n"/>
    </row>
    <row r="24" hidden="1" outlineLevel="1" ht="15.75" customHeight="1">
      <c r="A24" s="216" t="inlineStr">
        <is>
          <t xml:space="preserve">Underhållskostnad, periodisk år 10        kr  </t>
        </is>
      </c>
      <c r="C24" s="236" t="n"/>
      <c r="D24" s="236" t="n"/>
    </row>
    <row r="25" hidden="1" outlineLevel="1" ht="15.75" customHeight="1">
      <c r="A25" s="216" t="inlineStr">
        <is>
          <t xml:space="preserve">Underhållskostnad, periodisk år 20        kr  </t>
        </is>
      </c>
      <c r="C25" s="236" t="n"/>
      <c r="D25" s="236" t="n"/>
    </row>
    <row r="26" ht="15" customHeight="1">
      <c r="A26" s="216" t="inlineStr">
        <is>
          <t>&lt;&lt;&lt;Om fler uh-kostnader: tryck +</t>
        </is>
      </c>
      <c r="C26" s="242" t="n"/>
      <c r="D26" s="242" t="n"/>
      <c r="I26" s="196" t="inlineStr">
        <is>
          <t>Bef energi genom tak kWh/år</t>
        </is>
      </c>
      <c r="K26">
        <f>K19*K20*K22*0.001</f>
        <v/>
      </c>
    </row>
    <row r="27" ht="15.75" customHeight="1">
      <c r="A27" s="231" t="n"/>
      <c r="C27" s="242" t="n"/>
      <c r="D27" s="242" t="n"/>
      <c r="I27" s="196" t="inlineStr">
        <is>
          <t>Ny energi genom tak kWh/år</t>
        </is>
      </c>
      <c r="K27">
        <f>K19*K21*K22*0.001</f>
        <v/>
      </c>
    </row>
    <row r="28" ht="15.75" customHeight="1">
      <c r="A28" s="220" t="inlineStr">
        <is>
          <t>Energianvändning                            kWh per mängdenhet och år</t>
        </is>
      </c>
      <c r="C28" s="243" t="n">
        <v>0</v>
      </c>
      <c r="D28" s="243" t="n">
        <v>0</v>
      </c>
      <c r="I28" t="inlineStr">
        <is>
          <t>Energibesparing</t>
        </is>
      </c>
      <c r="K28">
        <f>K26-K27</f>
        <v/>
      </c>
    </row>
    <row r="29" ht="15.75" customHeight="1">
      <c r="A29" s="244" t="inlineStr">
        <is>
          <t>Energikostnad                                  kr per år</t>
        </is>
      </c>
      <c r="C29" s="245">
        <f>C28*$C$4*$C$9</f>
        <v/>
      </c>
      <c r="D29" s="245">
        <f>D28*$C$4*$C$9</f>
        <v/>
      </c>
    </row>
    <row r="30" outlineLevel="1" ht="15.75" customHeight="1">
      <c r="A30" s="220" t="inlineStr">
        <is>
          <t>Energianvändning 2                         kWh per mängdenhet och år</t>
        </is>
      </c>
      <c r="C30" s="243">
        <f>Normalisering!$I$112/(Byggnader!$I$32)</f>
        <v/>
      </c>
      <c r="D30" s="243">
        <f>(Normalisering!$I$112-K10)/(Byggnader!$I$32)</f>
        <v/>
      </c>
    </row>
    <row r="31" outlineLevel="1" ht="15.75" customHeight="1">
      <c r="A31" s="244" t="inlineStr">
        <is>
          <t>Energikostnad 2                                kr per år</t>
        </is>
      </c>
      <c r="C31" s="245">
        <f>C30*$C$4*$C$12</f>
        <v/>
      </c>
      <c r="D31" s="245">
        <f>D30*$C$4*$C$12</f>
        <v/>
      </c>
    </row>
    <row r="32" outlineLevel="1" ht="15.75" customHeight="1">
      <c r="A32" s="220" t="inlineStr">
        <is>
          <t>Energianvändning 3                         kWh per mängdenhet och år</t>
        </is>
      </c>
      <c r="C32" s="243" t="n"/>
      <c r="D32" s="243" t="n"/>
    </row>
    <row r="33" outlineLevel="1" ht="15.75" customHeight="1">
      <c r="A33" s="244" t="inlineStr">
        <is>
          <t>Energikostnad 3                               kr per år</t>
        </is>
      </c>
      <c r="C33" s="245">
        <f>C32*$C$4*$C$15</f>
        <v/>
      </c>
      <c r="D33" s="245">
        <f>D32*$C$4*$C$15</f>
        <v/>
      </c>
    </row>
    <row r="34" outlineLevel="1" ht="15" customHeight="1">
      <c r="A34" s="231" t="inlineStr">
        <is>
          <t>Summa energikostnad                    kr per år</t>
        </is>
      </c>
      <c r="C34" s="242">
        <f>C29+C31+C33</f>
        <v/>
      </c>
      <c r="D34" s="242">
        <f>D29+D31+D33</f>
        <v/>
      </c>
      <c r="F34" s="231" t="n"/>
    </row>
    <row r="35" outlineLevel="1" ht="15" customHeight="1">
      <c r="A35" s="231" t="inlineStr">
        <is>
          <t>Summa energianvändning             kWh per år</t>
        </is>
      </c>
      <c r="C35" s="242">
        <f>(C28+C30+C32)*$C$4</f>
        <v/>
      </c>
      <c r="D35" s="242">
        <f>(D28+D30+D32)*$C$4</f>
        <v/>
      </c>
      <c r="F35" s="231" t="n"/>
    </row>
    <row r="36" outlineLevel="1" ht="15" customHeight="1">
      <c r="A36" s="231" t="inlineStr">
        <is>
          <t>Energikostnad medelvärde             kr per kWh</t>
        </is>
      </c>
      <c r="C36" s="247">
        <f>C34/C35</f>
        <v/>
      </c>
      <c r="D36" s="242" t="n"/>
      <c r="F36" s="231" t="n"/>
    </row>
    <row r="37" ht="15" customHeight="1">
      <c r="A37" s="222" t="inlineStr">
        <is>
          <t>&lt;&lt;&lt;Om fler energislag: tryck +</t>
        </is>
      </c>
      <c r="C37" s="242" t="n"/>
      <c r="D37" s="242" t="n"/>
      <c r="F37" s="231" t="n"/>
    </row>
    <row r="38" ht="15.75" customHeight="1">
      <c r="A38" s="248" t="n"/>
      <c r="C38" s="242" t="n"/>
      <c r="D38" s="242" t="n"/>
      <c r="F38" s="231" t="n"/>
    </row>
    <row r="39" ht="15" customHeight="1">
      <c r="A39" s="249" t="inlineStr">
        <is>
          <t>Summa nuvärde, investering och underhåll</t>
        </is>
      </c>
      <c r="B39" s="250" t="n"/>
      <c r="C39" s="251">
        <f>C20-PV($C$5-$C$7,$C$6,C22)+C23+C24/(1+$C$5-$C$7)^10+C25/(1+$C$5-$C$7)^20</f>
        <v/>
      </c>
      <c r="D39" s="252">
        <f>D20-PV($C$5-$C$7,$C$6,D22)+D23+D24/(1+$C$5-$C$7)^10+D25/(1+$C$5-$C$7)^20</f>
        <v/>
      </c>
      <c r="F39" s="231" t="n"/>
    </row>
    <row r="40" ht="15.75" customHeight="1">
      <c r="A40" s="253" t="inlineStr">
        <is>
          <t>Summa nuvärde, energikostnader</t>
        </is>
      </c>
      <c r="B40" s="254" t="n"/>
      <c r="C40" s="255">
        <f>-PV($C$5-$C$10,$C$6,C29)-PV($C$5-$C$13,$C$6,C31)-PV($C$5-$C$16,$C$6,C33)</f>
        <v/>
      </c>
      <c r="D40" s="256">
        <f>-PV($C$5-$C$10,$C$6,D29)-PV($C$5-$C$13,$C$6,D31)-PV($C$5-$C$16,$C$6,D33)</f>
        <v/>
      </c>
      <c r="F40" s="231" t="n"/>
    </row>
    <row r="41" ht="15.75" customHeight="1">
      <c r="A41" s="257" t="inlineStr">
        <is>
          <t>Summa nuvärde, alla kostnader</t>
        </is>
      </c>
      <c r="B41" s="258" t="n"/>
      <c r="C41" s="259">
        <f>C39+C40</f>
        <v/>
      </c>
      <c r="D41" s="260">
        <f>D39+D40</f>
        <v/>
      </c>
      <c r="F41" s="231" t="n"/>
    </row>
    <row r="42" ht="15.75" customHeight="1">
      <c r="A42" s="261" t="n"/>
      <c r="B42" s="262" t="n"/>
      <c r="C42" s="263" t="inlineStr">
        <is>
          <t>Differens:</t>
        </is>
      </c>
      <c r="D42" s="264">
        <f>C41-D41</f>
        <v/>
      </c>
      <c r="F42" s="231" t="n"/>
    </row>
    <row r="43" ht="12.75" customFormat="1" customHeight="1" s="231">
      <c r="A43" s="265" t="inlineStr">
        <is>
          <t>Besparingskostnad                         kr per kWh</t>
        </is>
      </c>
      <c r="B43" s="266" t="n"/>
      <c r="C43" s="267">
        <f>(D39-C39)/(C40-D40)*C36</f>
        <v/>
      </c>
      <c r="D43" s="268">
        <f>IF($D42&gt;0,"LÖNSAMT","EJ LÖNSAMT")</f>
        <v/>
      </c>
    </row>
    <row r="44" ht="15.75" customHeight="1">
      <c r="A44" s="269" t="inlineStr">
        <is>
          <t>Energikostnad (mv )                        kr per kWh</t>
        </is>
      </c>
      <c r="B44" s="183" t="n"/>
      <c r="C44" s="270">
        <f>C36</f>
        <v/>
      </c>
      <c r="D44" s="271" t="n"/>
      <c r="F44" s="231" t="n"/>
    </row>
    <row r="45" ht="15" customHeight="1">
      <c r="C45" s="242" t="n"/>
      <c r="D45" s="242" t="n"/>
      <c r="F45" s="231" t="n"/>
    </row>
    <row r="46" ht="15.75" customHeight="1">
      <c r="D46" s="272" t="n"/>
    </row>
    <row r="47" ht="15.75" customHeight="1">
      <c r="A47" s="273" t="inlineStr">
        <is>
          <t>Minskad användning av CO2           ton per år</t>
        </is>
      </c>
      <c r="B47" s="274" t="n"/>
      <c r="D47" s="275" t="inlineStr">
        <is>
          <t>Ej beräknat</t>
        </is>
      </c>
    </row>
    <row r="49" ht="15" customHeight="1">
      <c r="F49" s="218" t="n"/>
    </row>
  </sheetData>
  <mergeCells count="3">
    <mergeCell ref="I15:N16"/>
    <mergeCell ref="I7:L7"/>
    <mergeCell ref="C2:D2"/>
  </mergeCells>
  <dataValidations count="1">
    <dataValidation sqref="B2" showDropDown="0" showInputMessage="0" showErrorMessage="0" allowBlank="0" type="list">
      <formula1>"Ja,Nej"</formula1>
      <formula2>0</formula2>
    </dataValidation>
  </dataValidations>
  <pageMargins left="0.75" right="0.75" top="1" bottom="1" header="0.511811023622047" footer="0.511811023622047"/>
  <pageSetup orientation="portrait" paperSize="9" horizontalDpi="300" verticalDpi="300"/>
  <drawing xmlns:r="http://schemas.openxmlformats.org/officeDocument/2006/relationships" r:id="rId1"/>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N49"/>
  <sheetViews>
    <sheetView zoomScaleNormal="100" workbookViewId="0">
      <selection activeCell="F13" sqref="F13"/>
    </sheetView>
  </sheetViews>
  <sheetFormatPr baseColWidth="8" defaultColWidth="9.1328125" defaultRowHeight="14.5" outlineLevelRow="1"/>
  <cols>
    <col width="58.86328125" customWidth="1" min="1" max="1"/>
    <col width="1.26953125" customWidth="1" min="2" max="2"/>
    <col width="16" customWidth="1" min="3" max="3"/>
    <col width="15.86328125" customWidth="1" min="4" max="4"/>
    <col outlineLevel="1" width="9.1328125" customWidth="1" min="5" max="5"/>
    <col outlineLevel="1" width="20.54296875" customWidth="1" min="6" max="6"/>
    <col width="28.86328125" customWidth="1" min="9" max="9"/>
    <col width="13.40625" customWidth="1" min="10" max="10"/>
    <col width="10.86328125" customWidth="1" min="11" max="11"/>
  </cols>
  <sheetData>
    <row r="1" ht="45.75" customHeight="1">
      <c r="A1" s="200" t="inlineStr">
        <is>
          <t>Byte av fönster</t>
        </is>
      </c>
      <c r="C1" s="201" t="inlineStr">
        <is>
          <t>För känslighetsanalys tryck + ovan</t>
        </is>
      </c>
      <c r="D1" s="202" t="n"/>
    </row>
    <row r="2" ht="24" customHeight="1">
      <c r="A2" s="203" t="inlineStr">
        <is>
          <t>Ta med i sammanfattning?</t>
        </is>
      </c>
      <c r="B2" s="204" t="inlineStr">
        <is>
          <t>Nej</t>
        </is>
      </c>
      <c r="C2" s="293" t="n"/>
      <c r="D2" s="336" t="n"/>
      <c r="E2" s="201" t="inlineStr">
        <is>
          <t>Lönsamhetsgränser</t>
        </is>
      </c>
      <c r="F2" s="202" t="n"/>
    </row>
    <row r="3" ht="15.75" customHeight="1">
      <c r="A3" s="205" t="n"/>
      <c r="B3" s="206" t="n"/>
      <c r="C3" s="207" t="inlineStr">
        <is>
          <t>Kvantitet</t>
        </is>
      </c>
      <c r="D3" s="208" t="inlineStr">
        <is>
          <t>Enhet</t>
        </is>
      </c>
      <c r="E3" s="201" t="inlineStr">
        <is>
          <t>Känslighetsanalys</t>
        </is>
      </c>
      <c r="F3" s="202" t="n"/>
    </row>
    <row r="4" ht="13.5" customHeight="1">
      <c r="A4" s="205" t="inlineStr">
        <is>
          <t xml:space="preserve">Mängduppgift                           </t>
        </is>
      </c>
      <c r="C4" s="209">
        <f>Byggnader!$I$32</f>
        <v/>
      </c>
      <c r="D4" s="209" t="inlineStr">
        <is>
          <t>m2 At</t>
        </is>
      </c>
    </row>
    <row r="5" ht="13.5" customHeight="1">
      <c r="A5" s="205" t="inlineStr">
        <is>
          <t xml:space="preserve">Kalkylränta </t>
        </is>
      </c>
      <c r="C5" s="210">
        <f>Energiprisfaktorer!B6</f>
        <v/>
      </c>
      <c r="D5" s="211" t="inlineStr">
        <is>
          <t>nominell</t>
        </is>
      </c>
      <c r="E5" s="212" t="n"/>
      <c r="F5" s="213" t="inlineStr">
        <is>
          <t>Internränta</t>
        </is>
      </c>
    </row>
    <row r="6" ht="15.75" customHeight="1">
      <c r="A6" s="205" t="inlineStr">
        <is>
          <t xml:space="preserve">Kalkylperiod                                        </t>
        </is>
      </c>
      <c r="C6" s="214" t="n">
        <v>20</v>
      </c>
      <c r="D6" s="211" t="inlineStr">
        <is>
          <t>år</t>
        </is>
      </c>
      <c r="E6" s="215">
        <f>(D20-C20)/(C34+C22-D34-D22)</f>
        <v/>
      </c>
      <c r="F6" s="213" t="inlineStr">
        <is>
          <t>Pay-off utan ränta</t>
        </is>
      </c>
    </row>
    <row r="7" ht="15.75" customHeight="1">
      <c r="A7" s="216" t="inlineStr">
        <is>
          <t>Unerhållskostnad prisutveckling per år</t>
        </is>
      </c>
      <c r="C7" s="210">
        <f>Energiprisfaktorer!B7</f>
        <v/>
      </c>
      <c r="D7" s="217">
        <f>D5</f>
        <v/>
      </c>
      <c r="E7" s="218" t="n"/>
      <c r="F7" s="219" t="n"/>
      <c r="I7" s="294" t="inlineStr">
        <is>
          <t>Investeringskalkyl</t>
        </is>
      </c>
      <c r="J7" s="229" t="n"/>
      <c r="K7" s="229" t="n"/>
      <c r="L7" s="229" t="n"/>
    </row>
    <row r="8" ht="15.75" customHeight="1">
      <c r="A8" s="220" t="inlineStr">
        <is>
          <t xml:space="preserve">Energislag </t>
        </is>
      </c>
      <c r="C8" s="221" t="inlineStr">
        <is>
          <t>El</t>
        </is>
      </c>
      <c r="D8" s="221" t="inlineStr">
        <is>
          <t>kWh</t>
        </is>
      </c>
      <c r="E8" s="218" t="n"/>
      <c r="F8" s="219" t="n"/>
    </row>
    <row r="9" ht="14.25" customHeight="1">
      <c r="A9" s="222" t="inlineStr">
        <is>
          <t xml:space="preserve">Energipris rörligt            </t>
        </is>
      </c>
      <c r="C9" s="223">
        <f>Energiprisfaktorer!C4</f>
        <v/>
      </c>
      <c r="D9" s="224" t="inlineStr">
        <is>
          <t>kr per kWh</t>
        </is>
      </c>
      <c r="E9" s="218" t="n"/>
      <c r="F9" s="219" t="n"/>
      <c r="I9" s="196" t="inlineStr">
        <is>
          <t>Beräknad besparing kWh/år</t>
        </is>
      </c>
      <c r="K9" s="30">
        <f>K24-K25</f>
        <v/>
      </c>
    </row>
    <row r="10" ht="14.25" customHeight="1">
      <c r="A10" s="225" t="inlineStr">
        <is>
          <t>Energiprisutveckling per år</t>
        </is>
      </c>
      <c r="C10" s="226">
        <f>Energiprisfaktorer!B5</f>
        <v/>
      </c>
      <c r="D10" s="227">
        <f>D5</f>
        <v/>
      </c>
      <c r="E10" s="218" t="n"/>
      <c r="F10" s="219" t="n"/>
      <c r="I10" t="inlineStr">
        <is>
          <t>Nyckeltal kr/m2 fönster</t>
        </is>
      </c>
      <c r="K10" t="n">
        <v>6500</v>
      </c>
    </row>
    <row r="11" outlineLevel="1" ht="14.25" customHeight="1">
      <c r="A11" s="220" t="inlineStr">
        <is>
          <t>Energislag 2</t>
        </is>
      </c>
      <c r="C11" s="221" t="inlineStr">
        <is>
          <t>Fjärrvärme</t>
        </is>
      </c>
      <c r="D11" s="221" t="n"/>
      <c r="E11" s="218" t="n"/>
      <c r="F11" s="219" t="n"/>
      <c r="I11" s="196" t="inlineStr">
        <is>
          <t>Investeringskostnad</t>
        </is>
      </c>
      <c r="K11">
        <f>K10*K20*K19</f>
        <v/>
      </c>
    </row>
    <row r="12" outlineLevel="1" ht="14.25" customHeight="1">
      <c r="A12" s="222" t="inlineStr">
        <is>
          <t xml:space="preserve">Energipris rörligt            </t>
        </is>
      </c>
      <c r="C12" s="223">
        <f>Energiprisfaktorer!B4</f>
        <v/>
      </c>
      <c r="D12" s="224" t="inlineStr">
        <is>
          <t>kr per kWh</t>
        </is>
      </c>
      <c r="E12" s="218" t="n"/>
      <c r="F12" s="219" t="n"/>
      <c r="I12" s="228" t="inlineStr">
        <is>
          <t>Beräkningar</t>
        </is>
      </c>
      <c r="J12" s="229" t="n"/>
      <c r="K12" s="229" t="n"/>
      <c r="L12" s="229" t="n"/>
    </row>
    <row r="13" outlineLevel="1" ht="14.25" customHeight="1">
      <c r="A13" s="225" t="inlineStr">
        <is>
          <t>Energiprisutveckling per år</t>
        </is>
      </c>
      <c r="C13" s="226">
        <f>Energiprisfaktorer!C5</f>
        <v/>
      </c>
      <c r="D13" s="227">
        <f>D5</f>
        <v/>
      </c>
      <c r="E13" s="218" t="n"/>
      <c r="F13" s="219" t="n"/>
    </row>
    <row r="14" outlineLevel="1" ht="14.25" customHeight="1">
      <c r="A14" s="220" t="inlineStr">
        <is>
          <t>Energislag 3</t>
        </is>
      </c>
      <c r="C14" s="221" t="n"/>
      <c r="D14" s="221" t="n"/>
      <c r="E14" s="218" t="n"/>
      <c r="F14" s="219" t="n"/>
      <c r="I14" s="196" t="inlineStr">
        <is>
          <t>Egen kalkyl förklaring</t>
        </is>
      </c>
    </row>
    <row r="15" outlineLevel="1" ht="15.75" customHeight="1">
      <c r="A15" s="222" t="inlineStr">
        <is>
          <t xml:space="preserve">Energipris rörligt            </t>
        </is>
      </c>
      <c r="C15" s="223" t="n">
        <v>0.6</v>
      </c>
      <c r="D15" s="224" t="inlineStr">
        <is>
          <t>kr per kWh</t>
        </is>
      </c>
      <c r="I15" s="295" t="inlineStr">
        <is>
          <t>Byte av fönster</t>
        </is>
      </c>
      <c r="J15" s="177" t="n"/>
      <c r="K15" s="177" t="n"/>
      <c r="L15" s="177" t="n"/>
      <c r="M15" s="177" t="n"/>
      <c r="N15" s="178" t="n"/>
    </row>
    <row r="16" outlineLevel="1" ht="15.75" customHeight="1">
      <c r="A16" s="225" t="inlineStr">
        <is>
          <t>Energiprisutveckling per år</t>
        </is>
      </c>
      <c r="C16" s="226" t="n">
        <v>0.04</v>
      </c>
      <c r="D16" s="227">
        <f>D5</f>
        <v/>
      </c>
      <c r="I16" s="181" t="n"/>
      <c r="J16" s="183" t="n"/>
      <c r="K16" s="183" t="n"/>
      <c r="L16" s="183" t="n"/>
      <c r="M16" s="183" t="n"/>
      <c r="N16" s="184" t="n"/>
    </row>
    <row r="17" ht="15.75" customHeight="1">
      <c r="A17" s="225" t="inlineStr">
        <is>
          <t>&lt;&lt;&lt;Om fler energislag: tryck +</t>
        </is>
      </c>
      <c r="C17" s="230" t="n"/>
      <c r="D17" s="230" t="n"/>
      <c r="E17" s="218" t="n"/>
    </row>
    <row r="18" ht="15.75" customHeight="1">
      <c r="A18" s="231" t="n"/>
      <c r="C18" s="231" t="n"/>
      <c r="D18" s="230" t="n"/>
      <c r="E18" s="218" t="n"/>
      <c r="I18" s="196" t="inlineStr">
        <is>
          <t>Egen kalkyl beräkning</t>
        </is>
      </c>
    </row>
    <row r="19" ht="15.75" customHeight="1">
      <c r="A19" s="231" t="n"/>
      <c r="C19" s="233" t="inlineStr">
        <is>
          <t>Före åtgärd</t>
        </is>
      </c>
      <c r="D19" s="234" t="inlineStr">
        <is>
          <t>Efter åtgärd</t>
        </is>
      </c>
      <c r="I19" s="196" t="inlineStr">
        <is>
          <t>Fasadyta exkl fönster</t>
        </is>
      </c>
      <c r="K19" t="n">
        <v>200</v>
      </c>
    </row>
    <row r="20" ht="15.75" customHeight="1">
      <c r="A20" s="235" t="inlineStr">
        <is>
          <t xml:space="preserve">Investeringskostnad                                 kr </t>
        </is>
      </c>
      <c r="C20" s="236" t="n">
        <v>0</v>
      </c>
      <c r="D20" s="236">
        <f>K11</f>
        <v/>
      </c>
      <c r="E20" s="237">
        <f>D20+C41-D41</f>
        <v/>
      </c>
      <c r="F20" s="213" t="inlineStr">
        <is>
          <t>Investeringsgräns</t>
        </is>
      </c>
      <c r="I20" s="196" t="inlineStr">
        <is>
          <t>Fönster %</t>
        </is>
      </c>
      <c r="K20" s="187" t="n">
        <v>0.25</v>
      </c>
    </row>
    <row r="21" ht="15.75" customHeight="1">
      <c r="A21" s="231" t="n"/>
      <c r="C21" s="238" t="n"/>
      <c r="D21" s="238" t="n"/>
      <c r="E21" s="239" t="n"/>
      <c r="F21" s="240" t="n"/>
      <c r="I21" s="196" t="inlineStr">
        <is>
          <t>Bef U</t>
        </is>
      </c>
      <c r="K21" t="n">
        <v>3</v>
      </c>
    </row>
    <row r="22" ht="15.75" customHeight="1">
      <c r="A22" s="216" t="inlineStr">
        <is>
          <t>Underhållskostnad                                  kr per år</t>
        </is>
      </c>
      <c r="C22" s="241" t="n">
        <v>0</v>
      </c>
      <c r="D22" s="241" t="n">
        <v>0</v>
      </c>
      <c r="I22" s="196" t="inlineStr">
        <is>
          <t>Nytt U</t>
        </is>
      </c>
      <c r="K22" t="n">
        <v>1</v>
      </c>
    </row>
    <row r="23" outlineLevel="1" ht="15.75" customHeight="1">
      <c r="A23" s="216" t="inlineStr">
        <is>
          <t xml:space="preserve">Underhållskostnad, periodisk år 0          kr  </t>
        </is>
      </c>
      <c r="C23" s="236" t="n"/>
      <c r="D23" s="236" t="n"/>
      <c r="I23" s="196" t="inlineStr">
        <is>
          <t>Gradtimmar</t>
        </is>
      </c>
      <c r="K23" t="n">
        <v>110000</v>
      </c>
      <c r="L23" t="inlineStr">
        <is>
          <t>K-D 17 gränstemp</t>
        </is>
      </c>
    </row>
    <row r="24" outlineLevel="1" ht="15.75" customHeight="1">
      <c r="A24" s="216" t="inlineStr">
        <is>
          <t xml:space="preserve">Underhållskostnad, periodisk år 10        kr  </t>
        </is>
      </c>
      <c r="C24" s="236" t="n"/>
      <c r="D24" s="236" t="n"/>
      <c r="I24" s="196" t="inlineStr">
        <is>
          <t>Bef energi fönster kWh/år</t>
        </is>
      </c>
      <c r="K24">
        <f>(K19*K20)*K21*K23*0.001</f>
        <v/>
      </c>
    </row>
    <row r="25" outlineLevel="1" ht="15.75" customHeight="1">
      <c r="A25" s="216" t="inlineStr">
        <is>
          <t xml:space="preserve">Underhållskostnad, periodisk år 20        kr  </t>
        </is>
      </c>
      <c r="C25" s="236" t="n"/>
      <c r="D25" s="236" t="n"/>
      <c r="I25" s="196" t="inlineStr">
        <is>
          <t>Ny energi fönster kWh/år</t>
        </is>
      </c>
      <c r="K25">
        <f>(K19*K20)*K22*K23*0.001</f>
        <v/>
      </c>
    </row>
    <row r="26" ht="15" customHeight="1">
      <c r="A26" s="216" t="inlineStr">
        <is>
          <t>&lt;&lt;&lt;Om fler uh-kostnader: tryck +</t>
        </is>
      </c>
      <c r="C26" s="242" t="n"/>
      <c r="D26" s="242" t="n"/>
      <c r="I26" t="inlineStr">
        <is>
          <t>Energibesparing</t>
        </is>
      </c>
      <c r="K26">
        <f>K24-K25</f>
        <v/>
      </c>
    </row>
    <row r="27" ht="15.75" customHeight="1">
      <c r="A27" s="231" t="n"/>
      <c r="C27" s="242" t="n"/>
      <c r="D27" s="242" t="n"/>
    </row>
    <row r="28" ht="15.75" customHeight="1">
      <c r="A28" s="220" t="inlineStr">
        <is>
          <t>Energianvändning                            kWh per mängdenhet och år</t>
        </is>
      </c>
      <c r="C28" s="243" t="n">
        <v>0</v>
      </c>
      <c r="D28" s="243" t="n">
        <v>0</v>
      </c>
    </row>
    <row r="29" ht="15.75" customHeight="1">
      <c r="A29" s="244" t="inlineStr">
        <is>
          <t>Energikostnad                                  kr per år</t>
        </is>
      </c>
      <c r="C29" s="245">
        <f>C28*$C$4*$C$9</f>
        <v/>
      </c>
      <c r="D29" s="245">
        <f>D28*$C$4*$C$9</f>
        <v/>
      </c>
    </row>
    <row r="30" outlineLevel="1" ht="15.75" customHeight="1">
      <c r="A30" s="220" t="inlineStr">
        <is>
          <t>Energianvändning 2                         kWh per mängdenhet och år</t>
        </is>
      </c>
      <c r="C30" s="243">
        <f>Normalisering!$I$112/'Byte fönster'!C4</f>
        <v/>
      </c>
      <c r="D30" s="243">
        <f>(Normalisering!$I$112-K26)/'Byte fönster'!C4</f>
        <v/>
      </c>
    </row>
    <row r="31" outlineLevel="1" ht="15.75" customHeight="1">
      <c r="A31" s="244" t="inlineStr">
        <is>
          <t>Energikostnad 2                                kr per år</t>
        </is>
      </c>
      <c r="C31" s="245">
        <f>C30*$C$4*$C$12</f>
        <v/>
      </c>
      <c r="D31" s="245">
        <f>D30*$C$4*$C$12</f>
        <v/>
      </c>
    </row>
    <row r="32" outlineLevel="1" ht="15.75" customHeight="1">
      <c r="A32" s="220" t="inlineStr">
        <is>
          <t>Energianvändning 3                         kWh per mängdenhet och år</t>
        </is>
      </c>
      <c r="C32" s="243" t="n"/>
      <c r="D32" s="243" t="n"/>
    </row>
    <row r="33" outlineLevel="1" ht="15.75" customHeight="1">
      <c r="A33" s="244" t="inlineStr">
        <is>
          <t>Energikostnad 3                               kr per år</t>
        </is>
      </c>
      <c r="C33" s="245">
        <f>C32*$C$4*$C$15</f>
        <v/>
      </c>
      <c r="D33" s="245">
        <f>D32*$C$4*$C$15</f>
        <v/>
      </c>
    </row>
    <row r="34" outlineLevel="1" ht="15" customHeight="1">
      <c r="A34" s="231" t="inlineStr">
        <is>
          <t>Summa energikostnad                    kr per år</t>
        </is>
      </c>
      <c r="C34" s="242">
        <f>C29+C31+C33</f>
        <v/>
      </c>
      <c r="D34" s="242">
        <f>D29+D31+D33</f>
        <v/>
      </c>
      <c r="F34" s="231" t="n"/>
    </row>
    <row r="35" outlineLevel="1" ht="15" customHeight="1">
      <c r="A35" s="231" t="inlineStr">
        <is>
          <t>Summa energianvändning             kWh per år</t>
        </is>
      </c>
      <c r="C35" s="242">
        <f>(C28+C30+C32)*$C$4</f>
        <v/>
      </c>
      <c r="D35" s="242">
        <f>(D28+D30+D32)*$C$4</f>
        <v/>
      </c>
      <c r="F35" s="231" t="n"/>
    </row>
    <row r="36" outlineLevel="1" ht="15" customHeight="1">
      <c r="A36" s="231" t="inlineStr">
        <is>
          <t>Energikostnad medelvärde             kr per kWh</t>
        </is>
      </c>
      <c r="C36" s="247">
        <f>C34/C35</f>
        <v/>
      </c>
      <c r="D36" s="242" t="n"/>
      <c r="F36" s="231" t="n"/>
    </row>
    <row r="37" ht="15" customHeight="1">
      <c r="A37" s="222" t="inlineStr">
        <is>
          <t>&lt;&lt;&lt;Om fler energislag: tryck +</t>
        </is>
      </c>
      <c r="C37" s="242" t="n"/>
      <c r="D37" s="242" t="n"/>
      <c r="F37" s="231" t="n"/>
    </row>
    <row r="38" ht="15.75" customHeight="1">
      <c r="A38" s="248" t="n"/>
      <c r="C38" s="242" t="n"/>
      <c r="D38" s="242" t="n"/>
      <c r="F38" s="231" t="n"/>
    </row>
    <row r="39" ht="15" customHeight="1">
      <c r="A39" s="249" t="inlineStr">
        <is>
          <t>Summa nuvärde, investering och underhåll</t>
        </is>
      </c>
      <c r="B39" s="250" t="n"/>
      <c r="C39" s="251">
        <f>C20-PV($C$5-$C$7,$C$6,C22)+C23+C24/(1+$C$5-$C$7)^10+C25/(1+$C$5-$C$7)^20</f>
        <v/>
      </c>
      <c r="D39" s="252">
        <f>D20-PV($C$5-$C$7,$C$6,D22)+D23+D24/(1+$C$5-$C$7)^10+D25/(1+$C$5-$C$7)^20</f>
        <v/>
      </c>
      <c r="F39" s="231" t="n"/>
    </row>
    <row r="40" ht="15.75" customHeight="1">
      <c r="A40" s="253" t="inlineStr">
        <is>
          <t>Summa nuvärde, energikostnader</t>
        </is>
      </c>
      <c r="B40" s="254" t="n"/>
      <c r="C40" s="255">
        <f>-PV($C$5-$C$10,$C$6,C29)-PV($C$5-$C$13,$C$6,C31)-PV($C$5-$C$16,$C$6,C33)</f>
        <v/>
      </c>
      <c r="D40" s="256">
        <f>-PV($C$5-$C$10,$C$6,D29)-PV($C$5-$C$13,$C$6,D31)-PV($C$5-$C$16,$C$6,D33)</f>
        <v/>
      </c>
      <c r="F40" s="231" t="n"/>
    </row>
    <row r="41" ht="15.75" customHeight="1">
      <c r="A41" s="257" t="inlineStr">
        <is>
          <t>Summa nuvärde, alla kostnader</t>
        </is>
      </c>
      <c r="B41" s="258" t="n"/>
      <c r="C41" s="259">
        <f>C39+C40</f>
        <v/>
      </c>
      <c r="D41" s="260">
        <f>D39+D40</f>
        <v/>
      </c>
      <c r="F41" s="231" t="n"/>
    </row>
    <row r="42" ht="15.75" customHeight="1">
      <c r="A42" s="261" t="n"/>
      <c r="B42" s="262" t="n"/>
      <c r="C42" s="263" t="inlineStr">
        <is>
          <t>Differens:</t>
        </is>
      </c>
      <c r="D42" s="264">
        <f>C41-D41</f>
        <v/>
      </c>
      <c r="F42" s="231" t="n"/>
    </row>
    <row r="43" ht="12.75" customFormat="1" customHeight="1" s="231">
      <c r="A43" s="265" t="inlineStr">
        <is>
          <t>Besparingskostnad                         kr per kWh</t>
        </is>
      </c>
      <c r="B43" s="266" t="n"/>
      <c r="C43" s="267">
        <f>(D39-C39)/(C40-D40)*C36</f>
        <v/>
      </c>
      <c r="D43" s="268">
        <f>IF($D42&gt;0,"LÖNSAMT","EJ LÖNSAMT")</f>
        <v/>
      </c>
    </row>
    <row r="44" ht="15.75" customHeight="1">
      <c r="A44" s="269" t="inlineStr">
        <is>
          <t>Energikostnad (mv )                        kr per kWh</t>
        </is>
      </c>
      <c r="B44" s="183" t="n"/>
      <c r="C44" s="270">
        <f>C36</f>
        <v/>
      </c>
      <c r="D44" s="271" t="n"/>
      <c r="F44" s="231" t="n"/>
    </row>
    <row r="45" ht="15" customHeight="1">
      <c r="C45" s="242" t="n"/>
      <c r="D45" s="242" t="n"/>
      <c r="F45" s="231" t="n"/>
    </row>
    <row r="46" ht="15.75" customHeight="1">
      <c r="D46" s="272" t="n"/>
    </row>
    <row r="47" ht="15.75" customHeight="1">
      <c r="A47" s="273" t="inlineStr">
        <is>
          <t>Minskad användning av CO2           ton per år</t>
        </is>
      </c>
      <c r="B47" s="274" t="n"/>
      <c r="D47" s="275" t="inlineStr">
        <is>
          <t>Ej beräknat</t>
        </is>
      </c>
    </row>
    <row r="49" ht="15" customHeight="1">
      <c r="F49" s="218" t="n"/>
    </row>
  </sheetData>
  <mergeCells count="3">
    <mergeCell ref="I15:N16"/>
    <mergeCell ref="I7:L7"/>
    <mergeCell ref="C2:D2"/>
  </mergeCells>
  <dataValidations count="1">
    <dataValidation sqref="B2" showDropDown="0" showInputMessage="0" showErrorMessage="0" allowBlank="0" type="list">
      <formula1>"Ja,Nej"</formula1>
      <formula2>0</formula2>
    </dataValidation>
  </dataValidations>
  <pageMargins left="0.7" right="0.7" top="0.75" bottom="0.75" header="0.511811023622047" footer="0.511811023622047"/>
  <pageSetup orientation="portrait" paperSize="9" horizontalDpi="300" verticalDpi="300"/>
  <drawing xmlns:r="http://schemas.openxmlformats.org/officeDocument/2006/relationships" r:id="rId1"/>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sheetPr>
  <dimension ref="A1:N49"/>
  <sheetViews>
    <sheetView zoomScaleNormal="100" workbookViewId="0">
      <selection activeCell="B2" sqref="B2"/>
    </sheetView>
  </sheetViews>
  <sheetFormatPr baseColWidth="8" defaultColWidth="9.1328125" defaultRowHeight="14.5" outlineLevelRow="1"/>
  <cols>
    <col width="58.86328125" customWidth="1" min="1" max="1"/>
    <col width="1.26953125" customWidth="1" min="2" max="2"/>
    <col width="16" customWidth="1" min="3" max="3"/>
    <col width="15.86328125" customWidth="1" min="4" max="4"/>
    <col outlineLevel="1" width="9.1328125" customWidth="1" min="5" max="5"/>
    <col outlineLevel="1" width="20.54296875" customWidth="1" min="6" max="6"/>
    <col width="28.86328125" customWidth="1" min="9" max="9"/>
    <col width="13.40625" customWidth="1" min="10" max="10"/>
    <col width="10.86328125" customWidth="1" min="11" max="11"/>
  </cols>
  <sheetData>
    <row r="1" ht="45.75" customHeight="1">
      <c r="A1" s="200" t="inlineStr">
        <is>
          <t>Tilläggisolering av fasader</t>
        </is>
      </c>
      <c r="C1" s="201" t="inlineStr">
        <is>
          <t>För känslighetsanalys tryck + ovan</t>
        </is>
      </c>
      <c r="D1" s="202" t="n"/>
    </row>
    <row r="2" ht="24" customHeight="1">
      <c r="A2" s="203" t="inlineStr">
        <is>
          <t>Ta med i sammanfattning?</t>
        </is>
      </c>
      <c r="B2" s="204" t="inlineStr">
        <is>
          <t>Nej</t>
        </is>
      </c>
      <c r="C2" s="293" t="n"/>
      <c r="D2" s="336" t="n"/>
      <c r="E2" s="201" t="inlineStr">
        <is>
          <t>Lönsamhetsgränser</t>
        </is>
      </c>
      <c r="F2" s="202" t="n"/>
    </row>
    <row r="3" ht="15.75" customHeight="1">
      <c r="A3" s="205" t="n"/>
      <c r="B3" s="206" t="n"/>
      <c r="C3" s="207" t="inlineStr">
        <is>
          <t>Kvantitet</t>
        </is>
      </c>
      <c r="D3" s="208" t="inlineStr">
        <is>
          <t>Enhet</t>
        </is>
      </c>
      <c r="E3" s="201" t="inlineStr">
        <is>
          <t>Känslighetsanalys</t>
        </is>
      </c>
      <c r="F3" s="202" t="n"/>
    </row>
    <row r="4" ht="13.5" customHeight="1">
      <c r="A4" s="205" t="inlineStr">
        <is>
          <t xml:space="preserve">Mängduppgift                           </t>
        </is>
      </c>
      <c r="C4" s="209">
        <f>Byggnader!$I$32</f>
        <v/>
      </c>
      <c r="D4" s="209" t="inlineStr">
        <is>
          <t>m2 At</t>
        </is>
      </c>
    </row>
    <row r="5" ht="13.5" customHeight="1">
      <c r="A5" s="205" t="inlineStr">
        <is>
          <t xml:space="preserve">Kalkylränta </t>
        </is>
      </c>
      <c r="C5" s="210">
        <f>Energiprisfaktorer!B6</f>
        <v/>
      </c>
      <c r="D5" s="211" t="inlineStr">
        <is>
          <t>nominell</t>
        </is>
      </c>
      <c r="E5" s="212" t="n"/>
      <c r="F5" s="213" t="inlineStr">
        <is>
          <t>Internränta</t>
        </is>
      </c>
    </row>
    <row r="6" ht="15.75" customHeight="1">
      <c r="A6" s="205" t="inlineStr">
        <is>
          <t xml:space="preserve">Kalkylperiod                                        </t>
        </is>
      </c>
      <c r="C6" s="214" t="n">
        <v>20</v>
      </c>
      <c r="D6" s="211" t="inlineStr">
        <is>
          <t>år</t>
        </is>
      </c>
      <c r="E6" s="215">
        <f>(D20-C20)/(C34+C22-D34-D22)</f>
        <v/>
      </c>
      <c r="F6" s="213" t="inlineStr">
        <is>
          <t>Pay-off utan ränta</t>
        </is>
      </c>
    </row>
    <row r="7" ht="15.75" customHeight="1">
      <c r="A7" s="216" t="inlineStr">
        <is>
          <t>Unerhållskostnad prisutveckling per år</t>
        </is>
      </c>
      <c r="C7" s="210">
        <f>Energiprisfaktorer!B7</f>
        <v/>
      </c>
      <c r="D7" s="217">
        <f>D5</f>
        <v/>
      </c>
      <c r="E7" s="218" t="n"/>
      <c r="F7" s="219" t="n"/>
      <c r="I7" s="294" t="inlineStr">
        <is>
          <t>Investeringskalkyl</t>
        </is>
      </c>
      <c r="J7" s="229" t="n"/>
      <c r="K7" s="229" t="n"/>
      <c r="L7" s="229" t="n"/>
    </row>
    <row r="8" ht="15.75" customHeight="1">
      <c r="A8" s="220" t="inlineStr">
        <is>
          <t xml:space="preserve">Energislag </t>
        </is>
      </c>
      <c r="C8" s="221" t="inlineStr">
        <is>
          <t>El</t>
        </is>
      </c>
      <c r="D8" s="221" t="inlineStr">
        <is>
          <t>kWh</t>
        </is>
      </c>
      <c r="E8" s="218" t="n"/>
      <c r="F8" s="219" t="n"/>
    </row>
    <row r="9" ht="14.25" customHeight="1">
      <c r="A9" s="222" t="inlineStr">
        <is>
          <t xml:space="preserve">Energipris rörligt            </t>
        </is>
      </c>
      <c r="C9" s="223">
        <f>Energiprisfaktorer!C4</f>
        <v/>
      </c>
      <c r="D9" s="224" t="inlineStr">
        <is>
          <t>kr per kWh</t>
        </is>
      </c>
      <c r="E9" s="218" t="n"/>
      <c r="F9" s="219" t="n"/>
      <c r="I9" s="196" t="inlineStr">
        <is>
          <t>Beräknad besparing kWh/år</t>
        </is>
      </c>
      <c r="K9" s="30">
        <f>K24-K25</f>
        <v/>
      </c>
    </row>
    <row r="10" ht="14.25" customHeight="1">
      <c r="A10" s="225" t="inlineStr">
        <is>
          <t>Energiprisutveckling per år</t>
        </is>
      </c>
      <c r="C10" s="226">
        <f>Energiprisfaktorer!B5</f>
        <v/>
      </c>
      <c r="D10" s="227">
        <f>D5</f>
        <v/>
      </c>
      <c r="E10" s="218" t="n"/>
      <c r="F10" s="219" t="n"/>
      <c r="I10" t="inlineStr">
        <is>
          <t>Nyckeltal kr/m2 fasad</t>
        </is>
      </c>
      <c r="K10" t="n">
        <v>1500</v>
      </c>
    </row>
    <row r="11" outlineLevel="1" ht="14.25" customHeight="1">
      <c r="A11" s="220" t="inlineStr">
        <is>
          <t>Energislag 2</t>
        </is>
      </c>
      <c r="C11" s="221" t="inlineStr">
        <is>
          <t>Fjärrvärme</t>
        </is>
      </c>
      <c r="D11" s="221" t="n"/>
      <c r="E11" s="218" t="n"/>
      <c r="F11" s="219" t="n"/>
      <c r="I11" s="196" t="inlineStr">
        <is>
          <t>Investeringskostnad</t>
        </is>
      </c>
      <c r="K11">
        <f>K10*K19</f>
        <v/>
      </c>
    </row>
    <row r="12" outlineLevel="1" ht="14.25" customHeight="1">
      <c r="A12" s="222" t="inlineStr">
        <is>
          <t xml:space="preserve">Energipris rörligt            </t>
        </is>
      </c>
      <c r="C12" s="223">
        <f>Energiprisfaktorer!B4</f>
        <v/>
      </c>
      <c r="D12" s="224" t="inlineStr">
        <is>
          <t>kr per kWh</t>
        </is>
      </c>
      <c r="E12" s="218" t="n"/>
      <c r="F12" s="219" t="n"/>
      <c r="I12" s="228" t="inlineStr">
        <is>
          <t>Beräkningar</t>
        </is>
      </c>
      <c r="J12" s="229" t="n"/>
      <c r="K12" s="229" t="n"/>
      <c r="L12" s="229" t="n"/>
    </row>
    <row r="13" outlineLevel="1" ht="14.25" customHeight="1">
      <c r="A13" s="225" t="inlineStr">
        <is>
          <t>Energiprisutveckling per år</t>
        </is>
      </c>
      <c r="C13" s="226">
        <f>Energiprisfaktorer!C5</f>
        <v/>
      </c>
      <c r="D13" s="227">
        <f>D5</f>
        <v/>
      </c>
      <c r="E13" s="218" t="n"/>
      <c r="F13" s="219" t="n"/>
    </row>
    <row r="14" outlineLevel="1" ht="14.25" customHeight="1">
      <c r="A14" s="220" t="inlineStr">
        <is>
          <t>Energislag 3</t>
        </is>
      </c>
      <c r="C14" s="221" t="n"/>
      <c r="D14" s="221" t="n"/>
      <c r="E14" s="218" t="n"/>
      <c r="F14" s="219" t="n"/>
      <c r="I14" s="196" t="inlineStr">
        <is>
          <t>Egen kalkyl förklaring</t>
        </is>
      </c>
    </row>
    <row r="15" outlineLevel="1" ht="15.75" customHeight="1">
      <c r="A15" s="222" t="inlineStr">
        <is>
          <t xml:space="preserve">Energipris rörligt            </t>
        </is>
      </c>
      <c r="C15" s="223" t="n">
        <v>0.6</v>
      </c>
      <c r="D15" s="224" t="inlineStr">
        <is>
          <t>kr per kWh</t>
        </is>
      </c>
      <c r="I15" s="295" t="inlineStr">
        <is>
          <t>Tilläggisolera fasaden med</t>
        </is>
      </c>
      <c r="J15" s="177" t="n"/>
      <c r="K15" s="177" t="n"/>
      <c r="L15" s="177" t="n"/>
      <c r="M15" s="177" t="n"/>
      <c r="N15" s="178" t="n"/>
    </row>
    <row r="16" outlineLevel="1" ht="15.75" customHeight="1">
      <c r="A16" s="225" t="inlineStr">
        <is>
          <t>Energiprisutveckling per år</t>
        </is>
      </c>
      <c r="C16" s="226" t="n">
        <v>0.04</v>
      </c>
      <c r="D16" s="227">
        <f>D5</f>
        <v/>
      </c>
      <c r="I16" s="181" t="n"/>
      <c r="J16" s="183" t="n"/>
      <c r="K16" s="183" t="n"/>
      <c r="L16" s="183" t="n"/>
      <c r="M16" s="183" t="n"/>
      <c r="N16" s="184" t="n"/>
    </row>
    <row r="17" ht="15.75" customHeight="1">
      <c r="A17" s="225" t="inlineStr">
        <is>
          <t>&lt;&lt;&lt;Om fler energislag: tryck +</t>
        </is>
      </c>
      <c r="C17" s="230" t="n"/>
      <c r="D17" s="230" t="n"/>
      <c r="E17" s="218" t="n"/>
    </row>
    <row r="18" ht="15.75" customHeight="1">
      <c r="A18" s="231" t="n"/>
      <c r="C18" s="231" t="n"/>
      <c r="D18" s="230" t="n"/>
      <c r="E18" s="218" t="n"/>
      <c r="I18" s="196" t="inlineStr">
        <is>
          <t>Egen kalkyl beräkning</t>
        </is>
      </c>
    </row>
    <row r="19" ht="15.75" customHeight="1">
      <c r="A19" s="231" t="n"/>
      <c r="C19" s="233" t="inlineStr">
        <is>
          <t>Före åtgärd</t>
        </is>
      </c>
      <c r="D19" s="234" t="inlineStr">
        <is>
          <t>Efter åtgärd</t>
        </is>
      </c>
      <c r="I19" s="196" t="inlineStr">
        <is>
          <t>Fasadyta exkl fönster</t>
        </is>
      </c>
      <c r="K19">
        <f>90*8*2</f>
        <v/>
      </c>
    </row>
    <row r="20" ht="15.75" customHeight="1">
      <c r="A20" s="235" t="inlineStr">
        <is>
          <t xml:space="preserve">Investeringskostnad                                 kr </t>
        </is>
      </c>
      <c r="C20" s="236" t="n">
        <v>0</v>
      </c>
      <c r="D20" s="236">
        <f>K11</f>
        <v/>
      </c>
      <c r="E20" s="237">
        <f>D20+C41-D41</f>
        <v/>
      </c>
      <c r="F20" s="213" t="inlineStr">
        <is>
          <t>Investeringsgräns</t>
        </is>
      </c>
      <c r="I20" s="196" t="inlineStr">
        <is>
          <t>Fönster %</t>
        </is>
      </c>
      <c r="K20" s="187" t="n">
        <v>0.25</v>
      </c>
    </row>
    <row r="21" ht="15.75" customHeight="1">
      <c r="A21" s="231" t="n"/>
      <c r="C21" s="238" t="n"/>
      <c r="D21" s="238" t="n"/>
      <c r="E21" s="239" t="n"/>
      <c r="F21" s="240" t="n"/>
      <c r="I21" s="196" t="inlineStr">
        <is>
          <t>Bef U</t>
        </is>
      </c>
      <c r="K21" t="n">
        <v>0.8</v>
      </c>
    </row>
    <row r="22" ht="15.75" customHeight="1">
      <c r="A22" s="216" t="inlineStr">
        <is>
          <t>Underhållskostnad                                  kr per år</t>
        </is>
      </c>
      <c r="C22" s="241" t="n">
        <v>0</v>
      </c>
      <c r="D22" s="241" t="n">
        <v>0</v>
      </c>
      <c r="I22" s="196" t="inlineStr">
        <is>
          <t>Nytt U</t>
        </is>
      </c>
      <c r="K22" t="n">
        <v>0.2</v>
      </c>
    </row>
    <row r="23" outlineLevel="1" ht="15.75" customHeight="1">
      <c r="A23" s="216" t="inlineStr">
        <is>
          <t xml:space="preserve">Underhållskostnad, periodisk år 0          kr  </t>
        </is>
      </c>
      <c r="C23" s="236" t="n"/>
      <c r="D23" s="236" t="n"/>
      <c r="I23" s="196" t="inlineStr">
        <is>
          <t>Gradtimmar</t>
        </is>
      </c>
      <c r="K23" t="n">
        <v>110000</v>
      </c>
      <c r="L23" t="inlineStr">
        <is>
          <t>K-D 17 gränstemp</t>
        </is>
      </c>
    </row>
    <row r="24" outlineLevel="1" ht="15.75" customHeight="1">
      <c r="A24" s="216" t="inlineStr">
        <is>
          <t xml:space="preserve">Underhållskostnad, periodisk år 10        kr  </t>
        </is>
      </c>
      <c r="C24" s="236" t="n"/>
      <c r="D24" s="236" t="n"/>
      <c r="I24" s="196" t="inlineStr">
        <is>
          <t>Bef energi fasad kWh/år</t>
        </is>
      </c>
      <c r="K24">
        <f>(K19-(K19*K20))*K21*K23*0.001</f>
        <v/>
      </c>
    </row>
    <row r="25" outlineLevel="1" ht="15.75" customHeight="1">
      <c r="A25" s="216" t="inlineStr">
        <is>
          <t xml:space="preserve">Underhållskostnad, periodisk år 20        kr  </t>
        </is>
      </c>
      <c r="C25" s="236" t="n"/>
      <c r="D25" s="236" t="n"/>
      <c r="I25" s="196" t="inlineStr">
        <is>
          <t>Ny energi fasad kWh/år</t>
        </is>
      </c>
      <c r="K25">
        <f>(K19-(K19*K20))*K22*K23*0.001</f>
        <v/>
      </c>
    </row>
    <row r="26" ht="15" customHeight="1">
      <c r="A26" s="216" t="inlineStr">
        <is>
          <t>&lt;&lt;&lt;Om fler uh-kostnader: tryck +</t>
        </is>
      </c>
      <c r="C26" s="242" t="n"/>
      <c r="D26" s="242" t="n"/>
      <c r="I26" t="inlineStr">
        <is>
          <t>Energibesparing</t>
        </is>
      </c>
      <c r="K26">
        <f>K24-K25</f>
        <v/>
      </c>
    </row>
    <row r="27" ht="15.75" customHeight="1">
      <c r="A27" s="231" t="n"/>
      <c r="C27" s="242" t="n"/>
      <c r="D27" s="242" t="n"/>
    </row>
    <row r="28" ht="15.75" customHeight="1">
      <c r="A28" s="220" t="inlineStr">
        <is>
          <t>Energianvändning                            kWh per mängdenhet och år</t>
        </is>
      </c>
      <c r="C28" s="243" t="n">
        <v>0</v>
      </c>
      <c r="D28" s="243" t="n">
        <v>0</v>
      </c>
    </row>
    <row r="29" ht="15.75" customHeight="1">
      <c r="A29" s="244" t="inlineStr">
        <is>
          <t>Energikostnad                                  kr per år</t>
        </is>
      </c>
      <c r="C29" s="245">
        <f>C28*$C$4*$C$9</f>
        <v/>
      </c>
      <c r="D29" s="245">
        <f>D28*$C$4*$C$9</f>
        <v/>
      </c>
    </row>
    <row r="30" outlineLevel="1" ht="15.75" customHeight="1">
      <c r="A30" s="220" t="inlineStr">
        <is>
          <t>Energianvändning 2                         kWh per mängdenhet och år</t>
        </is>
      </c>
      <c r="C30" s="243">
        <f>Normalisering!$I$112/(Byggnader!$I$32)</f>
        <v/>
      </c>
      <c r="D30" s="243">
        <f>(Normalisering!$I$112-K9)/(Byggnader!$I$32)</f>
        <v/>
      </c>
    </row>
    <row r="31" outlineLevel="1" ht="15.75" customHeight="1">
      <c r="A31" s="244" t="inlineStr">
        <is>
          <t>Energikostnad 2                                kr per år</t>
        </is>
      </c>
      <c r="C31" s="245">
        <f>C30*$C$4*$C$12</f>
        <v/>
      </c>
      <c r="D31" s="245">
        <f>D30*$C$4*$C$12</f>
        <v/>
      </c>
    </row>
    <row r="32" outlineLevel="1" ht="15.75" customHeight="1">
      <c r="A32" s="220" t="inlineStr">
        <is>
          <t>Energianvändning 3                         kWh per mängdenhet och år</t>
        </is>
      </c>
      <c r="C32" s="243" t="n"/>
      <c r="D32" s="243" t="n"/>
    </row>
    <row r="33" outlineLevel="1" ht="15.75" customHeight="1">
      <c r="A33" s="244" t="inlineStr">
        <is>
          <t>Energikostnad 3                               kr per år</t>
        </is>
      </c>
      <c r="C33" s="245">
        <f>C32*$C$4*$C$15</f>
        <v/>
      </c>
      <c r="D33" s="245">
        <f>D32*$C$4*$C$15</f>
        <v/>
      </c>
    </row>
    <row r="34" outlineLevel="1" ht="15" customHeight="1">
      <c r="A34" s="231" t="inlineStr">
        <is>
          <t>Summa energikostnad                    kr per år</t>
        </is>
      </c>
      <c r="C34" s="242">
        <f>C29+C31+C33</f>
        <v/>
      </c>
      <c r="D34" s="242">
        <f>D29+D31+D33</f>
        <v/>
      </c>
      <c r="F34" s="231" t="n"/>
    </row>
    <row r="35" outlineLevel="1" ht="15" customHeight="1">
      <c r="A35" s="231" t="inlineStr">
        <is>
          <t>Summa energianvändning             kWh per år</t>
        </is>
      </c>
      <c r="C35" s="242">
        <f>(C28+C30+C32)*$C$4</f>
        <v/>
      </c>
      <c r="D35" s="242">
        <f>(D28+D30+D32)*$C$4</f>
        <v/>
      </c>
      <c r="F35" s="231" t="n"/>
    </row>
    <row r="36" outlineLevel="1" ht="15" customHeight="1">
      <c r="A36" s="231" t="inlineStr">
        <is>
          <t>Energikostnad medelvärde             kr per kWh</t>
        </is>
      </c>
      <c r="C36" s="247">
        <f>C34/C35</f>
        <v/>
      </c>
      <c r="D36" s="242" t="n"/>
      <c r="F36" s="231" t="n"/>
    </row>
    <row r="37" ht="15" customHeight="1">
      <c r="A37" s="222" t="inlineStr">
        <is>
          <t>&lt;&lt;&lt;Om fler energislag: tryck +</t>
        </is>
      </c>
      <c r="C37" s="242" t="n"/>
      <c r="D37" s="242" t="n"/>
      <c r="F37" s="231" t="n"/>
    </row>
    <row r="38" ht="15.75" customHeight="1">
      <c r="A38" s="248" t="n"/>
      <c r="C38" s="242" t="n"/>
      <c r="D38" s="242" t="n"/>
      <c r="F38" s="231" t="n"/>
    </row>
    <row r="39" ht="15" customHeight="1">
      <c r="A39" s="249" t="inlineStr">
        <is>
          <t>Summa nuvärde, investering och underhåll</t>
        </is>
      </c>
      <c r="B39" s="250" t="n"/>
      <c r="C39" s="251">
        <f>C20-PV($C$5-$C$7,$C$6,C22)+C23+C24/(1+$C$5-$C$7)^10+C25/(1+$C$5-$C$7)^20</f>
        <v/>
      </c>
      <c r="D39" s="252">
        <f>D20-PV($C$5-$C$7,$C$6,D22)+D23+D24/(1+$C$5-$C$7)^10+D25/(1+$C$5-$C$7)^20</f>
        <v/>
      </c>
      <c r="F39" s="231" t="n"/>
    </row>
    <row r="40" ht="15.75" customHeight="1">
      <c r="A40" s="253" t="inlineStr">
        <is>
          <t>Summa nuvärde, energikostnader</t>
        </is>
      </c>
      <c r="B40" s="254" t="n"/>
      <c r="C40" s="255">
        <f>-PV($C$5-$C$10,$C$6,C29)-PV($C$5-$C$13,$C$6,C31)-PV($C$5-$C$16,$C$6,C33)</f>
        <v/>
      </c>
      <c r="D40" s="256">
        <f>-PV($C$5-$C$10,$C$6,D29)-PV($C$5-$C$13,$C$6,D31)-PV($C$5-$C$16,$C$6,D33)</f>
        <v/>
      </c>
      <c r="F40" s="231" t="n"/>
    </row>
    <row r="41" ht="15.75" customHeight="1">
      <c r="A41" s="257" t="inlineStr">
        <is>
          <t>Summa nuvärde, alla kostnader</t>
        </is>
      </c>
      <c r="B41" s="258" t="n"/>
      <c r="C41" s="259">
        <f>C39+C40</f>
        <v/>
      </c>
      <c r="D41" s="260">
        <f>D39+D40</f>
        <v/>
      </c>
      <c r="F41" s="231" t="n"/>
    </row>
    <row r="42" ht="15.75" customHeight="1">
      <c r="A42" s="261" t="n"/>
      <c r="B42" s="262" t="n"/>
      <c r="C42" s="263" t="inlineStr">
        <is>
          <t>Differens:</t>
        </is>
      </c>
      <c r="D42" s="264">
        <f>C41-D41</f>
        <v/>
      </c>
      <c r="F42" s="231" t="n"/>
    </row>
    <row r="43" ht="12.75" customFormat="1" customHeight="1" s="231">
      <c r="A43" s="265" t="inlineStr">
        <is>
          <t>Besparingskostnad                         kr per kWh</t>
        </is>
      </c>
      <c r="B43" s="266" t="n"/>
      <c r="C43" s="267">
        <f>(D39-C39)/(C40-D40)*C36</f>
        <v/>
      </c>
      <c r="D43" s="268">
        <f>IF($D42&gt;0,"LÖNSAMT","EJ LÖNSAMT")</f>
        <v/>
      </c>
    </row>
    <row r="44" ht="15.75" customHeight="1">
      <c r="A44" s="269" t="inlineStr">
        <is>
          <t>Energikostnad (mv )                        kr per kWh</t>
        </is>
      </c>
      <c r="B44" s="183" t="n"/>
      <c r="C44" s="270">
        <f>C36</f>
        <v/>
      </c>
      <c r="D44" s="271" t="n"/>
      <c r="F44" s="231" t="n"/>
    </row>
    <row r="45" ht="15" customHeight="1">
      <c r="C45" s="242" t="n"/>
      <c r="D45" s="242" t="n"/>
      <c r="F45" s="231" t="n"/>
    </row>
    <row r="46" ht="15.75" customHeight="1">
      <c r="D46" s="272" t="n"/>
    </row>
    <row r="47" ht="15.75" customHeight="1">
      <c r="A47" s="273" t="inlineStr">
        <is>
          <t>Minskad användning av CO2           ton per år</t>
        </is>
      </c>
      <c r="B47" s="274" t="n"/>
      <c r="D47" s="275" t="inlineStr">
        <is>
          <t>Ej beräknat</t>
        </is>
      </c>
    </row>
    <row r="49" ht="15" customHeight="1">
      <c r="F49" s="218" t="n"/>
    </row>
  </sheetData>
  <mergeCells count="3">
    <mergeCell ref="I15:N16"/>
    <mergeCell ref="I7:L7"/>
    <mergeCell ref="C2:D2"/>
  </mergeCells>
  <dataValidations count="1">
    <dataValidation sqref="B2" showDropDown="0" showInputMessage="0" showErrorMessage="0" allowBlank="0" type="list">
      <formula1>"Ja,Nej"</formula1>
      <formula2>0</formula2>
    </dataValidation>
  </dataValidations>
  <pageMargins left="0.7" right="0.7" top="0.75" bottom="0.75" header="0.511811023622047" footer="0.511811023622047"/>
  <pageSetup orientation="portrait" paperSize="9" horizontalDpi="300" verticalDpi="300"/>
  <drawing xmlns:r="http://schemas.openxmlformats.org/officeDocument/2006/relationships" r:id="rId1"/>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sheetPr>
  <dimension ref="A1:P49"/>
  <sheetViews>
    <sheetView zoomScaleNormal="100" workbookViewId="0">
      <selection activeCell="A1" sqref="A1"/>
    </sheetView>
  </sheetViews>
  <sheetFormatPr baseColWidth="8" defaultColWidth="9.1328125" defaultRowHeight="14.5" outlineLevelRow="1"/>
  <cols>
    <col width="58.86328125" customWidth="1" min="1" max="1"/>
    <col width="1.26953125" customWidth="1" min="2" max="2"/>
    <col width="16" customWidth="1" min="3" max="3"/>
    <col width="15.86328125" customWidth="1" min="4" max="4"/>
    <col outlineLevel="1" width="9.1328125" customWidth="1" min="5" max="5"/>
    <col outlineLevel="1" width="20.54296875" customWidth="1" min="6" max="6"/>
    <col width="26.6796875" customWidth="1" min="9" max="9"/>
    <col width="23.54296875" customWidth="1" min="10" max="10"/>
  </cols>
  <sheetData>
    <row r="1" ht="45.75" customHeight="1">
      <c r="A1" s="200" t="inlineStr">
        <is>
          <t>Installation av frånluftsåtervinning</t>
        </is>
      </c>
      <c r="C1" s="201" t="inlineStr">
        <is>
          <t>För känslighetsanalys tryck + ovan</t>
        </is>
      </c>
      <c r="D1" s="202" t="n"/>
    </row>
    <row r="2" ht="24" customHeight="1">
      <c r="A2" s="203" t="inlineStr">
        <is>
          <t>Ta med i sammanfattning?</t>
        </is>
      </c>
      <c r="B2" s="204" t="inlineStr">
        <is>
          <t>Nej</t>
        </is>
      </c>
      <c r="C2" s="293" t="n"/>
      <c r="D2" s="336" t="n"/>
      <c r="E2" s="201" t="inlineStr">
        <is>
          <t>Lönsamhetsgränser</t>
        </is>
      </c>
      <c r="F2" s="202" t="n"/>
    </row>
    <row r="3" ht="15.75" customHeight="1">
      <c r="A3" s="205" t="n"/>
      <c r="B3" s="206" t="n"/>
      <c r="C3" s="207" t="inlineStr">
        <is>
          <t>Kvantitet</t>
        </is>
      </c>
      <c r="D3" s="208" t="inlineStr">
        <is>
          <t>Enhet</t>
        </is>
      </c>
      <c r="E3" s="201" t="inlineStr">
        <is>
          <t>Känslighetsanalys</t>
        </is>
      </c>
      <c r="F3" s="202" t="n"/>
    </row>
    <row r="4" ht="13.5" customHeight="1">
      <c r="A4" s="205" t="inlineStr">
        <is>
          <t xml:space="preserve">Mängduppgift                           </t>
        </is>
      </c>
      <c r="C4" s="209">
        <f>Byggnader!$I$32</f>
        <v/>
      </c>
      <c r="D4" s="209" t="inlineStr">
        <is>
          <t>m2 At</t>
        </is>
      </c>
    </row>
    <row r="5" ht="13.5" customHeight="1">
      <c r="A5" s="205" t="inlineStr">
        <is>
          <t xml:space="preserve">Kalkylränta </t>
        </is>
      </c>
      <c r="C5" s="210">
        <f>Energiprisfaktorer!B6</f>
        <v/>
      </c>
      <c r="D5" s="211" t="inlineStr">
        <is>
          <t>nominell</t>
        </is>
      </c>
      <c r="E5" s="212" t="n"/>
      <c r="F5" s="213" t="inlineStr">
        <is>
          <t>Internränta</t>
        </is>
      </c>
    </row>
    <row r="6" ht="15.75" customHeight="1">
      <c r="A6" s="205" t="inlineStr">
        <is>
          <t xml:space="preserve">Kalkylperiod                                        </t>
        </is>
      </c>
      <c r="C6" s="214" t="n">
        <v>20</v>
      </c>
      <c r="D6" s="211" t="inlineStr">
        <is>
          <t>år</t>
        </is>
      </c>
      <c r="E6" s="215">
        <f>(D20-C20)/(C34+C22-D34-D22)</f>
        <v/>
      </c>
      <c r="F6" s="213" t="inlineStr">
        <is>
          <t>Pay-off utan ränta</t>
        </is>
      </c>
    </row>
    <row r="7" ht="15.75" customHeight="1">
      <c r="A7" s="216" t="inlineStr">
        <is>
          <t>Unerhållskostnad prisutveckling per år</t>
        </is>
      </c>
      <c r="C7" s="210">
        <f>Energiprisfaktorer!B7</f>
        <v/>
      </c>
      <c r="D7" s="217">
        <f>D5</f>
        <v/>
      </c>
      <c r="E7" s="218" t="n"/>
      <c r="F7" s="219" t="n"/>
      <c r="I7" s="294" t="inlineStr">
        <is>
          <t>Investeringskalkyl</t>
        </is>
      </c>
      <c r="J7" s="229" t="n"/>
      <c r="K7" s="229" t="n"/>
      <c r="L7" s="229" t="n"/>
    </row>
    <row r="8" ht="15.75" customHeight="1">
      <c r="A8" s="220" t="inlineStr">
        <is>
          <t xml:space="preserve">Energislag </t>
        </is>
      </c>
      <c r="C8" s="221" t="inlineStr">
        <is>
          <t>Fjärrvärme</t>
        </is>
      </c>
      <c r="D8" s="221" t="inlineStr">
        <is>
          <t>kWh</t>
        </is>
      </c>
      <c r="E8" s="218" t="n"/>
      <c r="F8" s="219" t="n"/>
    </row>
    <row r="9" ht="14.25" customHeight="1">
      <c r="A9" s="222" t="inlineStr">
        <is>
          <t xml:space="preserve">Energipris rörligt            </t>
        </is>
      </c>
      <c r="C9" s="223">
        <f>Energiprisfaktorer!B4</f>
        <v/>
      </c>
      <c r="D9" s="224" t="inlineStr">
        <is>
          <t>kr per kWh</t>
        </is>
      </c>
      <c r="E9" s="218" t="n"/>
      <c r="F9" s="219" t="n"/>
      <c r="I9" s="196" t="inlineStr">
        <is>
          <t>Nyckeltal invest kr/kW</t>
        </is>
      </c>
      <c r="K9" s="185" t="n">
        <v>30000</v>
      </c>
    </row>
    <row r="10" ht="14.25" customHeight="1">
      <c r="A10" s="225" t="inlineStr">
        <is>
          <t>Energiprisutveckling per år</t>
        </is>
      </c>
      <c r="C10" s="226">
        <f>Energiprisfaktorer!B5</f>
        <v/>
      </c>
      <c r="D10" s="227">
        <f>D5</f>
        <v/>
      </c>
      <c r="E10" s="218" t="n"/>
      <c r="F10" s="219" t="n"/>
      <c r="I10" s="196" t="inlineStr">
        <is>
          <t>Investeringskostnad</t>
        </is>
      </c>
      <c r="K10">
        <f>J27*K9</f>
        <v/>
      </c>
    </row>
    <row r="11" outlineLevel="1" ht="14.25" customHeight="1">
      <c r="A11" s="220" t="inlineStr">
        <is>
          <t>Energislag 2</t>
        </is>
      </c>
      <c r="C11" s="221" t="inlineStr">
        <is>
          <t>El</t>
        </is>
      </c>
      <c r="D11" s="221" t="n"/>
      <c r="E11" s="218" t="n"/>
      <c r="F11" s="219" t="n"/>
    </row>
    <row r="12" outlineLevel="1" ht="14.25" customHeight="1">
      <c r="A12" s="222" t="inlineStr">
        <is>
          <t xml:space="preserve">Energipris rörligt            </t>
        </is>
      </c>
      <c r="C12" s="223">
        <f>Energiprisfaktorer!C4</f>
        <v/>
      </c>
      <c r="D12" s="224" t="inlineStr">
        <is>
          <t>kr per kWh</t>
        </is>
      </c>
      <c r="E12" s="218" t="n"/>
      <c r="F12" s="219" t="n"/>
      <c r="I12" s="228" t="inlineStr">
        <is>
          <t>Beräkningar</t>
        </is>
      </c>
      <c r="J12" s="229" t="n"/>
      <c r="K12" s="229" t="n"/>
      <c r="L12" s="229" t="n"/>
    </row>
    <row r="13" outlineLevel="1" ht="14.25" customHeight="1">
      <c r="A13" s="225" t="inlineStr">
        <is>
          <t>Energiprisutveckling per år</t>
        </is>
      </c>
      <c r="C13" s="226">
        <f>Energiprisfaktorer!C5</f>
        <v/>
      </c>
      <c r="D13" s="227">
        <f>D5</f>
        <v/>
      </c>
      <c r="E13" s="218" t="n"/>
      <c r="F13" s="219" t="n"/>
    </row>
    <row r="14" outlineLevel="1" ht="14.25" customHeight="1">
      <c r="A14" s="220" t="inlineStr">
        <is>
          <t>Energislag 3</t>
        </is>
      </c>
      <c r="C14" s="221" t="n"/>
      <c r="D14" s="221" t="n"/>
      <c r="E14" s="218" t="n"/>
      <c r="F14" s="219" t="n"/>
      <c r="I14" s="196" t="inlineStr">
        <is>
          <t>Egen kalkyl förklaring</t>
        </is>
      </c>
    </row>
    <row r="15" outlineLevel="1" ht="15.75" customHeight="1">
      <c r="A15" s="222" t="inlineStr">
        <is>
          <t xml:space="preserve">Energipris rörligt            </t>
        </is>
      </c>
      <c r="C15" s="223" t="n">
        <v>0.6</v>
      </c>
      <c r="D15" s="224" t="inlineStr">
        <is>
          <t>kr per kWh</t>
        </is>
      </c>
      <c r="I15" s="295" t="inlineStr">
        <is>
          <t>Installation av frånluftsåtervinning med värmepump. Befintligt frånluftssystem förses med återvinningsbatterier som kyler av frånluften från byggnaden. Värmen återvinns via värmepumpar och återförs byggnadens värmesystem.</t>
        </is>
      </c>
      <c r="J15" s="177" t="n"/>
      <c r="K15" s="177" t="n"/>
      <c r="L15" s="177" t="n"/>
      <c r="M15" s="177" t="n"/>
      <c r="N15" s="178" t="n"/>
    </row>
    <row r="16" outlineLevel="1" ht="15.75" customHeight="1">
      <c r="A16" s="225" t="inlineStr">
        <is>
          <t>Energiprisutveckling per år</t>
        </is>
      </c>
      <c r="C16" s="226" t="n">
        <v>0.04</v>
      </c>
      <c r="D16" s="227">
        <f>D5</f>
        <v/>
      </c>
      <c r="I16" s="181" t="n"/>
      <c r="J16" s="183" t="n"/>
      <c r="K16" s="183" t="n"/>
      <c r="L16" s="183" t="n"/>
      <c r="M16" s="183" t="n"/>
      <c r="N16" s="184" t="n"/>
    </row>
    <row r="17" ht="15.75" customHeight="1">
      <c r="A17" s="225" t="inlineStr">
        <is>
          <t>&lt;&lt;&lt;Om fler energislag: tryck +</t>
        </is>
      </c>
      <c r="C17" s="230" t="n"/>
      <c r="D17" s="230" t="n"/>
      <c r="E17" s="218" t="n"/>
    </row>
    <row r="18" ht="15.75" customHeight="1">
      <c r="A18" s="231" t="n"/>
      <c r="C18" s="231" t="n"/>
      <c r="D18" s="230" t="n"/>
      <c r="E18" s="218" t="n"/>
      <c r="I18" s="232" t="inlineStr">
        <is>
          <t>Egen kalkyl beräkning</t>
        </is>
      </c>
    </row>
    <row r="19" ht="15.75" customHeight="1">
      <c r="A19" s="231" t="n"/>
      <c r="C19" s="233" t="inlineStr">
        <is>
          <t>Före åtgärd</t>
        </is>
      </c>
      <c r="D19" s="234" t="inlineStr">
        <is>
          <t>Efter åtgärd</t>
        </is>
      </c>
      <c r="I19" s="196" t="inlineStr">
        <is>
          <t>Luftflöde m3/s</t>
        </is>
      </c>
      <c r="J19">
        <f>0.35*C4*0.001</f>
        <v/>
      </c>
    </row>
    <row r="20" ht="15.75" customHeight="1">
      <c r="A20" s="235" t="inlineStr">
        <is>
          <t xml:space="preserve">Investeringskostnad                                 kr </t>
        </is>
      </c>
      <c r="C20" s="236" t="n">
        <v>0</v>
      </c>
      <c r="D20" s="236">
        <f>K10</f>
        <v/>
      </c>
      <c r="E20" s="237">
        <f>D20+C41-D41</f>
        <v/>
      </c>
      <c r="F20" s="213" t="inlineStr">
        <is>
          <t>Investeringsgräns</t>
        </is>
      </c>
      <c r="I20" s="196" t="inlineStr">
        <is>
          <t>Avkylning grader</t>
        </is>
      </c>
      <c r="J20" t="n">
        <v>15</v>
      </c>
    </row>
    <row r="21" ht="15.75" customHeight="1">
      <c r="A21" s="231" t="n"/>
      <c r="C21" s="238" t="n"/>
      <c r="D21" s="238" t="n"/>
      <c r="E21" s="239" t="n"/>
      <c r="F21" s="240" t="n"/>
      <c r="I21" s="196" t="inlineStr">
        <is>
          <t>Kyleffekt kW</t>
        </is>
      </c>
      <c r="J21">
        <f>1.2*J20*J19</f>
        <v/>
      </c>
    </row>
    <row r="22" ht="15.75" customHeight="1">
      <c r="A22" s="216" t="inlineStr">
        <is>
          <t>Underhållskostnad                                  kr per år</t>
        </is>
      </c>
      <c r="C22" s="241" t="n">
        <v>0</v>
      </c>
      <c r="D22" s="241" t="n">
        <v>0</v>
      </c>
      <c r="I22" s="196" t="inlineStr">
        <is>
          <t>Scop VP antagen</t>
        </is>
      </c>
      <c r="J22" t="n">
        <v>3.5</v>
      </c>
    </row>
    <row r="23" hidden="1" outlineLevel="1" ht="15.75" customHeight="1">
      <c r="A23" s="216" t="inlineStr">
        <is>
          <t xml:space="preserve">Underhållskostnad, periodisk år 0          kr  </t>
        </is>
      </c>
      <c r="C23" s="236" t="n"/>
      <c r="D23" s="236" t="n"/>
    </row>
    <row r="24" hidden="1" outlineLevel="1" ht="15.75" customHeight="1">
      <c r="A24" s="216" t="inlineStr">
        <is>
          <t xml:space="preserve">Underhållskostnad, periodisk år 10        kr  </t>
        </is>
      </c>
      <c r="C24" s="236" t="n"/>
      <c r="D24" s="236" t="n"/>
    </row>
    <row r="25" hidden="1" outlineLevel="1" ht="15.75" customHeight="1">
      <c r="A25" s="216" t="inlineStr">
        <is>
          <t xml:space="preserve">Underhållskostnad, periodisk år 20        kr  </t>
        </is>
      </c>
      <c r="C25" s="236" t="n"/>
      <c r="D25" s="236" t="n"/>
    </row>
    <row r="26" ht="15" customHeight="1">
      <c r="A26" s="216" t="inlineStr">
        <is>
          <t>&lt;&lt;&lt;Om fler uh-kostnader: tryck +</t>
        </is>
      </c>
      <c r="C26" s="242" t="n"/>
      <c r="D26" s="242" t="n"/>
      <c r="I26" s="196" t="inlineStr">
        <is>
          <t>Komp effekt</t>
        </is>
      </c>
      <c r="J26" s="185">
        <f>J21/(J22-1)</f>
        <v/>
      </c>
    </row>
    <row r="27" ht="15.75" customHeight="1">
      <c r="A27" s="231" t="n"/>
      <c r="C27" s="242" t="n"/>
      <c r="D27" s="242" t="n"/>
      <c r="I27" s="196" t="inlineStr">
        <is>
          <t>Vp effekt</t>
        </is>
      </c>
      <c r="J27" s="185">
        <f>J26+J21</f>
        <v/>
      </c>
    </row>
    <row r="28" ht="15.75" customHeight="1">
      <c r="A28" s="220" t="inlineStr">
        <is>
          <t>Energianvändning                            kWh per mängdenhet och år</t>
        </is>
      </c>
      <c r="C28" s="243">
        <f>Normalisering!$I$89/Byggnader!$I$32</f>
        <v/>
      </c>
      <c r="D28" s="243">
        <f>(Normalisering!$I$89-J29)/Byggnader!$I$32</f>
        <v/>
      </c>
      <c r="I28" s="196" t="inlineStr">
        <is>
          <t>Antagen drifttid</t>
        </is>
      </c>
      <c r="J28" t="n">
        <v>6000</v>
      </c>
      <c r="K28" s="196" t="inlineStr">
        <is>
          <t>Värmedrift</t>
        </is>
      </c>
      <c r="L28" s="196" t="inlineStr">
        <is>
          <t>5500 h/år</t>
        </is>
      </c>
      <c r="N28" t="inlineStr">
        <is>
          <t>Värme+VV drift</t>
        </is>
      </c>
      <c r="P28" t="inlineStr">
        <is>
          <t>7000 h/år</t>
        </is>
      </c>
    </row>
    <row r="29" ht="15.75" customHeight="1">
      <c r="A29" s="244" t="inlineStr">
        <is>
          <t>Energikostnad                                  kr per år</t>
        </is>
      </c>
      <c r="C29" s="245">
        <f>C28*$C$4*$C$9</f>
        <v/>
      </c>
      <c r="D29" s="245">
        <f>D28*$C$4*$C$9</f>
        <v/>
      </c>
      <c r="I29" s="196" t="inlineStr">
        <is>
          <t>Minskad värme/år kWh</t>
        </is>
      </c>
      <c r="J29">
        <f>J28*J27</f>
        <v/>
      </c>
    </row>
    <row r="30" outlineLevel="1" ht="15.75" customHeight="1">
      <c r="A30" s="220" t="inlineStr">
        <is>
          <t>Energianvändning 2                         kWh per mängdenhet och år</t>
        </is>
      </c>
      <c r="C30" s="243">
        <f>El!$I$127/'Installation F-återvinning'!C4</f>
        <v/>
      </c>
      <c r="D30" s="243">
        <f>(El!$I$127+J30)/'Installation F-återvinning'!C4</f>
        <v/>
      </c>
      <c r="I30" s="196" t="inlineStr">
        <is>
          <t>Ökad el/år kWh</t>
        </is>
      </c>
      <c r="J30">
        <f>J28*J26</f>
        <v/>
      </c>
    </row>
    <row r="31" outlineLevel="1" ht="15.75" customHeight="1">
      <c r="A31" s="244" t="inlineStr">
        <is>
          <t>Energikostnad 2                                kr per år</t>
        </is>
      </c>
      <c r="C31" s="245">
        <f>C30*$C$4*$C$12</f>
        <v/>
      </c>
      <c r="D31" s="245">
        <f>D30*$C$4*$C$12</f>
        <v/>
      </c>
    </row>
    <row r="32" outlineLevel="1" ht="15.75" customHeight="1">
      <c r="A32" s="220" t="inlineStr">
        <is>
          <t>Energianvändning 3                         kWh per mängdenhet och år</t>
        </is>
      </c>
      <c r="C32" s="243" t="n"/>
      <c r="D32" s="243" t="n"/>
    </row>
    <row r="33" outlineLevel="1" ht="15.75" customHeight="1">
      <c r="A33" s="244" t="inlineStr">
        <is>
          <t>Energikostnad 3                               kr per år</t>
        </is>
      </c>
      <c r="C33" s="245">
        <f>C32*$C$4*$C$15</f>
        <v/>
      </c>
      <c r="D33" s="245">
        <f>D32*$C$4*$C$15</f>
        <v/>
      </c>
    </row>
    <row r="34" outlineLevel="1" ht="15" customHeight="1">
      <c r="A34" s="231" t="inlineStr">
        <is>
          <t>Summa energikostnad                    kr per år</t>
        </is>
      </c>
      <c r="C34" s="242">
        <f>C29+C31+C33</f>
        <v/>
      </c>
      <c r="D34" s="242">
        <f>D29+D31+D33</f>
        <v/>
      </c>
      <c r="F34" s="231" t="n"/>
    </row>
    <row r="35" outlineLevel="1" ht="15" customHeight="1">
      <c r="A35" s="231" t="inlineStr">
        <is>
          <t>Summa energianvändning             kWh per år</t>
        </is>
      </c>
      <c r="C35" s="242">
        <f>(C28+C30+C32)*$C$4</f>
        <v/>
      </c>
      <c r="D35" s="242">
        <f>(D28+D30+D32)*$C$4</f>
        <v/>
      </c>
      <c r="F35" s="231" t="n"/>
    </row>
    <row r="36" outlineLevel="1" ht="15" customHeight="1">
      <c r="A36" s="231" t="inlineStr">
        <is>
          <t>Energikostnad medelvärde             kr per kWh</t>
        </is>
      </c>
      <c r="C36" s="247">
        <f>C34/C35</f>
        <v/>
      </c>
      <c r="D36" s="242" t="n"/>
      <c r="F36" s="231" t="n"/>
    </row>
    <row r="37" ht="15" customHeight="1">
      <c r="A37" s="222" t="inlineStr">
        <is>
          <t>&lt;&lt;&lt;Om fler energislag: tryck +</t>
        </is>
      </c>
      <c r="C37" s="242" t="n"/>
      <c r="D37" s="242" t="n"/>
      <c r="F37" s="231" t="n"/>
    </row>
    <row r="38" ht="15.75" customHeight="1">
      <c r="A38" s="248" t="n"/>
      <c r="C38" s="242" t="n"/>
      <c r="D38" s="242" t="n"/>
      <c r="F38" s="231" t="n"/>
    </row>
    <row r="39" ht="15" customHeight="1">
      <c r="A39" s="249" t="inlineStr">
        <is>
          <t>Summa nuvärde, investering och underhåll</t>
        </is>
      </c>
      <c r="B39" s="250" t="n"/>
      <c r="C39" s="251">
        <f>C20-PV($C$5-$C$7,$C$6,C22)+C23+C24/(1+$C$5-$C$7)^10+C25/(1+$C$5-$C$7)^20</f>
        <v/>
      </c>
      <c r="D39" s="252">
        <f>D20-PV($C$5-$C$7,$C$6,D22)+D23+D24/(1+$C$5-$C$7)^10+D25/(1+$C$5-$C$7)^20</f>
        <v/>
      </c>
      <c r="F39" s="231" t="n"/>
    </row>
    <row r="40" ht="15.75" customHeight="1">
      <c r="A40" s="253" t="inlineStr">
        <is>
          <t>Summa nuvärde, energikostnader</t>
        </is>
      </c>
      <c r="B40" s="254" t="n"/>
      <c r="C40" s="255">
        <f>-PV($C$5-$C$10,$C$6,C29)-PV($C$5-$C$13,$C$6,C31)-PV($C$5-$C$16,$C$6,C33)</f>
        <v/>
      </c>
      <c r="D40" s="256">
        <f>-PV($C$5-$C$10,$C$6,D29)-PV($C$5-$C$13,$C$6,D31)-PV($C$5-$C$16,$C$6,D33)</f>
        <v/>
      </c>
      <c r="F40" s="231" t="n"/>
    </row>
    <row r="41" ht="15.75" customHeight="1">
      <c r="A41" s="257" t="inlineStr">
        <is>
          <t>Summa nuvärde, alla kostnader</t>
        </is>
      </c>
      <c r="B41" s="258" t="n"/>
      <c r="C41" s="259">
        <f>C39+C40</f>
        <v/>
      </c>
      <c r="D41" s="260">
        <f>D39+D40</f>
        <v/>
      </c>
      <c r="F41" s="231" t="n"/>
    </row>
    <row r="42" ht="15.75" customHeight="1">
      <c r="A42" s="261" t="n"/>
      <c r="B42" s="262" t="n"/>
      <c r="C42" s="263" t="inlineStr">
        <is>
          <t>Differens:</t>
        </is>
      </c>
      <c r="D42" s="264">
        <f>C41-D41</f>
        <v/>
      </c>
      <c r="F42" s="231" t="n"/>
    </row>
    <row r="43" ht="12.75" customFormat="1" customHeight="1" s="231">
      <c r="A43" s="265" t="inlineStr">
        <is>
          <t>Besparingskostnad                         kr per kWh</t>
        </is>
      </c>
      <c r="B43" s="266" t="n"/>
      <c r="C43" s="267">
        <f>(D39-C39)/(C40-D40)*C36</f>
        <v/>
      </c>
      <c r="D43" s="268">
        <f>IF($D42&gt;0,"LÖNSAMT","EJ LÖNSAMT")</f>
        <v/>
      </c>
    </row>
    <row r="44" ht="15.75" customHeight="1">
      <c r="A44" s="269" t="inlineStr">
        <is>
          <t>Energikostnad (mv )                        kr per kWh</t>
        </is>
      </c>
      <c r="B44" s="183" t="n"/>
      <c r="C44" s="270">
        <f>C36</f>
        <v/>
      </c>
      <c r="D44" s="271" t="n"/>
      <c r="F44" s="231" t="n"/>
    </row>
    <row r="45" ht="15" customHeight="1">
      <c r="C45" s="242" t="n"/>
      <c r="D45" s="242" t="n"/>
      <c r="F45" s="231" t="n"/>
    </row>
    <row r="46" ht="15.75" customHeight="1">
      <c r="D46" s="272" t="n"/>
    </row>
    <row r="47" ht="15.75" customHeight="1">
      <c r="A47" s="273" t="inlineStr">
        <is>
          <t>Minskad användning av CO2           ton per år</t>
        </is>
      </c>
      <c r="B47" s="274" t="n"/>
      <c r="D47" s="275" t="inlineStr">
        <is>
          <t>Ej beräknat</t>
        </is>
      </c>
    </row>
    <row r="49" ht="15" customHeight="1">
      <c r="F49" s="218" t="n"/>
    </row>
  </sheetData>
  <mergeCells count="3">
    <mergeCell ref="I15:N16"/>
    <mergeCell ref="I7:L7"/>
    <mergeCell ref="C2:D2"/>
  </mergeCells>
  <dataValidations count="1">
    <dataValidation sqref="B2" showDropDown="0" showInputMessage="0" showErrorMessage="0" allowBlank="0" type="list">
      <formula1>"Ja,Nej"</formula1>
      <formula2>0</formula2>
    </dataValidation>
  </dataValidations>
  <pageMargins left="0.7" right="0.7" top="0.75" bottom="0.75" header="0.511811023622047" footer="0.511811023622047"/>
  <pageSetup orientation="portrait" paperSize="9" horizontalDpi="300" verticalDpi="300"/>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sheetPr>
  <dimension ref="A1:N49"/>
  <sheetViews>
    <sheetView zoomScaleNormal="100" workbookViewId="0">
      <selection activeCell="I22" sqref="I22"/>
    </sheetView>
  </sheetViews>
  <sheetFormatPr baseColWidth="8" defaultColWidth="9.1328125" defaultRowHeight="14.5" outlineLevelRow="1"/>
  <cols>
    <col width="58.86328125" customWidth="1" min="1" max="1"/>
    <col width="1.26953125" customWidth="1" min="2" max="2"/>
    <col width="16" customWidth="1" min="3" max="3"/>
    <col width="15.86328125" customWidth="1" min="4" max="4"/>
    <col outlineLevel="1" width="9.1328125" customWidth="1" min="5" max="5"/>
    <col outlineLevel="1" width="20.54296875" customWidth="1" min="6" max="6"/>
    <col width="28.86328125" customWidth="1" min="9" max="9"/>
    <col width="13.40625" customWidth="1" min="10" max="10"/>
    <col width="10.86328125" customWidth="1" min="11" max="11"/>
  </cols>
  <sheetData>
    <row r="1" ht="45.75" customHeight="1">
      <c r="A1" s="200" t="inlineStr">
        <is>
          <t>Installation av solceller på taket</t>
        </is>
      </c>
      <c r="C1" s="201" t="inlineStr">
        <is>
          <t>För känslighetsanalys tryck + ovan</t>
        </is>
      </c>
      <c r="D1" s="202" t="n"/>
    </row>
    <row r="2" ht="24" customHeight="1">
      <c r="A2" s="203" t="inlineStr">
        <is>
          <t>Ta med i sammanfattning?</t>
        </is>
      </c>
      <c r="B2" s="204" t="inlineStr">
        <is>
          <t>Nej</t>
        </is>
      </c>
      <c r="C2" s="293" t="n"/>
      <c r="D2" s="336" t="n"/>
      <c r="E2" s="201" t="inlineStr">
        <is>
          <t>Lönsamhetsgränser</t>
        </is>
      </c>
      <c r="F2" s="202" t="n"/>
    </row>
    <row r="3" ht="15.75" customHeight="1">
      <c r="A3" s="205" t="n"/>
      <c r="B3" s="206" t="n"/>
      <c r="C3" s="207" t="inlineStr">
        <is>
          <t>Kvantitet</t>
        </is>
      </c>
      <c r="D3" s="208" t="inlineStr">
        <is>
          <t>Enhet</t>
        </is>
      </c>
      <c r="E3" s="201" t="inlineStr">
        <is>
          <t>Känslighetsanalys</t>
        </is>
      </c>
      <c r="F3" s="202" t="n"/>
    </row>
    <row r="4" ht="13.5" customHeight="1">
      <c r="A4" s="205" t="inlineStr">
        <is>
          <t xml:space="preserve">Mängduppgift                           </t>
        </is>
      </c>
      <c r="C4" s="209">
        <f>Byggnader!$I$32</f>
        <v/>
      </c>
      <c r="D4" s="209" t="inlineStr">
        <is>
          <t>m2 At</t>
        </is>
      </c>
    </row>
    <row r="5" ht="13.5" customHeight="1">
      <c r="A5" s="205" t="inlineStr">
        <is>
          <t xml:space="preserve">Kalkylränta </t>
        </is>
      </c>
      <c r="C5" s="210">
        <f>Energiprisfaktorer!B6</f>
        <v/>
      </c>
      <c r="D5" s="211" t="inlineStr">
        <is>
          <t>nominell</t>
        </is>
      </c>
      <c r="E5" s="212" t="n"/>
      <c r="F5" s="213" t="inlineStr">
        <is>
          <t>Internränta</t>
        </is>
      </c>
    </row>
    <row r="6" ht="15.75" customHeight="1">
      <c r="A6" s="205" t="inlineStr">
        <is>
          <t xml:space="preserve">Kalkylperiod                                        </t>
        </is>
      </c>
      <c r="C6" s="214" t="n">
        <v>20</v>
      </c>
      <c r="D6" s="211" t="inlineStr">
        <is>
          <t>år</t>
        </is>
      </c>
      <c r="E6" s="215">
        <f>(D20-C20)/(C34+C22-D34-D22)</f>
        <v/>
      </c>
      <c r="F6" s="213" t="inlineStr">
        <is>
          <t>Pay-off utan ränta</t>
        </is>
      </c>
    </row>
    <row r="7" ht="15.75" customHeight="1">
      <c r="A7" s="216" t="inlineStr">
        <is>
          <t>Unerhållskostnad prisutveckling per år</t>
        </is>
      </c>
      <c r="C7" s="210">
        <f>Energiprisfaktorer!B7</f>
        <v/>
      </c>
      <c r="D7" s="217">
        <f>D5</f>
        <v/>
      </c>
      <c r="E7" s="218" t="n"/>
      <c r="F7" s="219" t="n"/>
      <c r="I7" s="294" t="inlineStr">
        <is>
          <t>Investeringskalkyl</t>
        </is>
      </c>
      <c r="J7" s="229" t="n"/>
      <c r="K7" s="229" t="n"/>
      <c r="L7" s="229" t="n"/>
    </row>
    <row r="8" ht="15.75" customHeight="1">
      <c r="A8" s="220" t="inlineStr">
        <is>
          <t xml:space="preserve">Energislag </t>
        </is>
      </c>
      <c r="C8" s="221" t="inlineStr">
        <is>
          <t>Fjärrvärme</t>
        </is>
      </c>
      <c r="D8" s="221" t="inlineStr">
        <is>
          <t>kWh</t>
        </is>
      </c>
      <c r="E8" s="218" t="n"/>
      <c r="F8" s="219" t="n"/>
    </row>
    <row r="9" ht="14.25" customHeight="1">
      <c r="A9" s="222" t="inlineStr">
        <is>
          <t xml:space="preserve">Energipris rörligt            </t>
        </is>
      </c>
      <c r="C9" s="223">
        <f>Energiprisfaktorer!B4</f>
        <v/>
      </c>
      <c r="D9" s="224" t="inlineStr">
        <is>
          <t>kr per kWh</t>
        </is>
      </c>
      <c r="E9" s="218" t="n"/>
      <c r="F9" s="219" t="n"/>
      <c r="I9" s="196" t="inlineStr">
        <is>
          <t>Beräknad besparing kWh/år</t>
        </is>
      </c>
      <c r="K9" s="30">
        <f>K26-K27</f>
        <v/>
      </c>
    </row>
    <row r="10" ht="14.25" customHeight="1">
      <c r="A10" s="225" t="inlineStr">
        <is>
          <t>Energiprisutveckling per år</t>
        </is>
      </c>
      <c r="C10" s="226">
        <f>Energiprisfaktorer!B5</f>
        <v/>
      </c>
      <c r="D10" s="227">
        <f>D5</f>
        <v/>
      </c>
      <c r="E10" s="218" t="n"/>
      <c r="F10" s="219" t="n"/>
      <c r="I10" s="196" t="inlineStr">
        <is>
          <t>Investeringskostnad</t>
        </is>
      </c>
      <c r="K10">
        <f>2500*K19</f>
        <v/>
      </c>
    </row>
    <row r="11" outlineLevel="1" ht="14.25" customHeight="1">
      <c r="A11" s="220" t="inlineStr">
        <is>
          <t>Energislag 2</t>
        </is>
      </c>
      <c r="C11" s="221" t="inlineStr">
        <is>
          <t>El</t>
        </is>
      </c>
      <c r="D11" s="221" t="n"/>
      <c r="E11" s="218" t="n"/>
      <c r="F11" s="219" t="n"/>
    </row>
    <row r="12" outlineLevel="1" ht="14.25" customHeight="1">
      <c r="A12" s="222" t="inlineStr">
        <is>
          <t xml:space="preserve">Energipris rörligt            </t>
        </is>
      </c>
      <c r="C12" s="223">
        <f>Energiprisfaktorer!C4</f>
        <v/>
      </c>
      <c r="D12" s="224" t="inlineStr">
        <is>
          <t>kr per kWh</t>
        </is>
      </c>
      <c r="E12" s="218" t="n"/>
      <c r="F12" s="219" t="n"/>
      <c r="I12" s="228" t="inlineStr">
        <is>
          <t>Beräkningar</t>
        </is>
      </c>
      <c r="J12" s="229" t="n"/>
      <c r="K12" s="229" t="n"/>
      <c r="L12" s="229" t="n"/>
    </row>
    <row r="13" outlineLevel="1" ht="14.25" customHeight="1">
      <c r="A13" s="225" t="inlineStr">
        <is>
          <t>Energiprisutveckling per år</t>
        </is>
      </c>
      <c r="C13" s="226">
        <f>Energiprisfaktorer!C5</f>
        <v/>
      </c>
      <c r="D13" s="227">
        <f>D5</f>
        <v/>
      </c>
      <c r="E13" s="218" t="n"/>
      <c r="F13" s="219" t="n"/>
    </row>
    <row r="14" outlineLevel="1" ht="14.25" customHeight="1">
      <c r="A14" s="220" t="inlineStr">
        <is>
          <t>Energislag 3</t>
        </is>
      </c>
      <c r="C14" s="221" t="n"/>
      <c r="D14" s="221" t="n"/>
      <c r="E14" s="218" t="n"/>
      <c r="F14" s="219" t="n"/>
      <c r="I14" s="196" t="inlineStr">
        <is>
          <t>Egen kalkyl förklaring</t>
        </is>
      </c>
    </row>
    <row r="15" outlineLevel="1" ht="15.75" customHeight="1">
      <c r="A15" s="222" t="inlineStr">
        <is>
          <t xml:space="preserve">Energipris rörligt            </t>
        </is>
      </c>
      <c r="C15" s="223" t="n">
        <v>0.6</v>
      </c>
      <c r="D15" s="224" t="inlineStr">
        <is>
          <t>kr per kWh</t>
        </is>
      </c>
      <c r="I15" s="296" t="inlineStr">
        <is>
          <t>Installera solceller på taket</t>
        </is>
      </c>
      <c r="J15" s="177" t="n"/>
      <c r="K15" s="177" t="n"/>
      <c r="L15" s="177" t="n"/>
      <c r="M15" s="177" t="n"/>
      <c r="N15" s="178" t="n"/>
    </row>
    <row r="16" outlineLevel="1" ht="15.75" customHeight="1">
      <c r="A16" s="225" t="inlineStr">
        <is>
          <t>Energiprisutveckling per år</t>
        </is>
      </c>
      <c r="C16" s="226" t="n">
        <v>0.04</v>
      </c>
      <c r="D16" s="227">
        <f>D5</f>
        <v/>
      </c>
      <c r="I16" s="181" t="n"/>
      <c r="J16" s="183" t="n"/>
      <c r="K16" s="183" t="n"/>
      <c r="L16" s="183" t="n"/>
      <c r="M16" s="183" t="n"/>
      <c r="N16" s="184" t="n"/>
    </row>
    <row r="17" ht="15.75" customHeight="1">
      <c r="A17" s="225" t="inlineStr">
        <is>
          <t>&lt;&lt;&lt;Om fler energislag: tryck +</t>
        </is>
      </c>
      <c r="C17" s="230" t="n"/>
      <c r="D17" s="230" t="n"/>
      <c r="E17" s="218" t="n"/>
    </row>
    <row r="18" ht="15.75" customHeight="1">
      <c r="A18" s="231" t="n"/>
      <c r="C18" s="231" t="n"/>
      <c r="D18" s="230" t="n"/>
      <c r="E18" s="218" t="n"/>
      <c r="I18" s="196" t="inlineStr">
        <is>
          <t>Egen kalkyl beräkning</t>
        </is>
      </c>
    </row>
    <row r="19" ht="15.75" customHeight="1">
      <c r="A19" s="231" t="n"/>
      <c r="C19" s="233" t="inlineStr">
        <is>
          <t>Före åtgärd</t>
        </is>
      </c>
      <c r="D19" s="234" t="inlineStr">
        <is>
          <t>Efter åtgärd</t>
        </is>
      </c>
      <c r="I19" s="196" t="inlineStr">
        <is>
          <t>Solcellsyta</t>
        </is>
      </c>
      <c r="K19" t="n">
        <v>20</v>
      </c>
    </row>
    <row r="20" ht="15.75" customHeight="1">
      <c r="A20" s="235" t="inlineStr">
        <is>
          <t xml:space="preserve">Investeringskostnad                                 kr </t>
        </is>
      </c>
      <c r="C20" s="236" t="n">
        <v>0</v>
      </c>
      <c r="D20" s="236">
        <f>K10</f>
        <v/>
      </c>
      <c r="E20" s="237">
        <f>D20+C41-D41</f>
        <v/>
      </c>
      <c r="F20" s="213" t="inlineStr">
        <is>
          <t>Investeringsgräns</t>
        </is>
      </c>
      <c r="I20" s="196" t="inlineStr">
        <is>
          <t>Beräknad m2 produktion</t>
        </is>
      </c>
      <c r="K20" t="n">
        <v>150</v>
      </c>
      <c r="L20" s="196" t="inlineStr">
        <is>
          <t>130 lågt 180 högt beronde på läge lutning verkningsgrad paneler</t>
        </is>
      </c>
    </row>
    <row r="21" ht="15.75" customHeight="1">
      <c r="A21" s="231" t="n"/>
      <c r="C21" s="238" t="n"/>
      <c r="D21" s="238" t="n"/>
      <c r="E21" s="239" t="n"/>
      <c r="F21" s="240" t="n"/>
      <c r="I21" s="196" t="inlineStr">
        <is>
          <t>Produktion</t>
        </is>
      </c>
      <c r="K21">
        <f>K20*K19</f>
        <v/>
      </c>
    </row>
    <row r="22" ht="15.75" customHeight="1">
      <c r="A22" s="216" t="inlineStr">
        <is>
          <t>Underhållskostnad                                  kr per år</t>
        </is>
      </c>
      <c r="C22" s="241" t="n">
        <v>0</v>
      </c>
      <c r="D22" s="241" t="n">
        <v>0</v>
      </c>
      <c r="I22" s="196" t="inlineStr">
        <is>
          <t>Varav fastighetsel tillgodo %</t>
        </is>
      </c>
      <c r="K22" s="187" t="n">
        <v>0.5</v>
      </c>
    </row>
    <row r="23" hidden="1" outlineLevel="1" ht="15.75" customHeight="1">
      <c r="A23" s="216" t="inlineStr">
        <is>
          <t xml:space="preserve">Underhållskostnad, periodisk år 0          kr  </t>
        </is>
      </c>
      <c r="C23" s="236" t="n"/>
      <c r="D23" s="236" t="n"/>
    </row>
    <row r="24" hidden="1" outlineLevel="1" ht="15.75" customHeight="1">
      <c r="A24" s="216" t="inlineStr">
        <is>
          <t xml:space="preserve">Underhållskostnad, periodisk år 10        kr  </t>
        </is>
      </c>
      <c r="C24" s="236" t="n"/>
      <c r="D24" s="236" t="n"/>
    </row>
    <row r="25" hidden="1" outlineLevel="1" ht="15.75" customHeight="1">
      <c r="A25" s="216" t="inlineStr">
        <is>
          <t xml:space="preserve">Underhållskostnad, periodisk år 20        kr  </t>
        </is>
      </c>
      <c r="C25" s="236" t="n"/>
      <c r="D25" s="236" t="n"/>
    </row>
    <row r="26" ht="15" customHeight="1">
      <c r="A26" s="216" t="inlineStr">
        <is>
          <t>&lt;&lt;&lt;Om fler uh-kostnader: tryck +</t>
        </is>
      </c>
      <c r="C26" s="242" t="n"/>
      <c r="D26" s="242" t="n"/>
      <c r="I26" s="196" t="n"/>
    </row>
    <row r="27" ht="15.75" customHeight="1">
      <c r="A27" s="231" t="n"/>
      <c r="C27" s="242" t="n"/>
      <c r="D27" s="242" t="n"/>
      <c r="I27" s="196" t="n"/>
    </row>
    <row r="28" ht="15.75" customHeight="1">
      <c r="A28" s="220" t="inlineStr">
        <is>
          <t>Energianvändning                            kWh per mängdenhet och år</t>
        </is>
      </c>
      <c r="C28" s="243">
        <f>Normalisering!$I$89/Byggnader!$I$32</f>
        <v/>
      </c>
      <c r="D28" s="243">
        <f>(Normalisering!$I$89-K9)/Byggnader!$I$32</f>
        <v/>
      </c>
    </row>
    <row r="29" ht="15.75" customHeight="1">
      <c r="A29" s="244" t="inlineStr">
        <is>
          <t>Energikostnad                                  kr per år</t>
        </is>
      </c>
      <c r="C29" s="245">
        <f>C28*$C$4*$C$9</f>
        <v/>
      </c>
      <c r="D29" s="245">
        <f>D28*$C$4*$C$9</f>
        <v/>
      </c>
    </row>
    <row r="30" outlineLevel="1" ht="15.75" customHeight="1">
      <c r="A30" s="220" t="inlineStr">
        <is>
          <t>Energianvändning 2                         kWh per mängdenhet och år</t>
        </is>
      </c>
      <c r="C30" s="243">
        <f>El!$I$20/'Installation av solceller'!C4</f>
        <v/>
      </c>
      <c r="D30" s="243">
        <f>(El!$I$20-K21)/'Installation av solceller'!C4</f>
        <v/>
      </c>
    </row>
    <row r="31" outlineLevel="1" ht="15.75" customHeight="1">
      <c r="A31" s="244" t="inlineStr">
        <is>
          <t>Energikostnad 2                                kr per år</t>
        </is>
      </c>
      <c r="C31" s="245">
        <f>C30*$C$4*$C$12</f>
        <v/>
      </c>
      <c r="D31" s="245">
        <f>D30*$C$4*$C$12</f>
        <v/>
      </c>
    </row>
    <row r="32" outlineLevel="1" ht="15.75" customHeight="1">
      <c r="A32" s="220" t="inlineStr">
        <is>
          <t>Energianvändning 3                         kWh per mängdenhet och år</t>
        </is>
      </c>
      <c r="C32" s="243" t="n"/>
      <c r="D32" s="243" t="n"/>
    </row>
    <row r="33" outlineLevel="1" ht="15.75" customHeight="1">
      <c r="A33" s="244" t="inlineStr">
        <is>
          <t>Energikostnad 3                               kr per år</t>
        </is>
      </c>
      <c r="C33" s="245">
        <f>C32*$C$4*$C$15</f>
        <v/>
      </c>
      <c r="D33" s="245">
        <f>D32*$C$4*$C$15</f>
        <v/>
      </c>
    </row>
    <row r="34" outlineLevel="1" ht="15" customHeight="1">
      <c r="A34" s="231" t="inlineStr">
        <is>
          <t>Summa energikostnad                    kr per år</t>
        </is>
      </c>
      <c r="C34" s="242">
        <f>C29+C31+C33</f>
        <v/>
      </c>
      <c r="D34" s="242">
        <f>D29+D31+D33</f>
        <v/>
      </c>
      <c r="F34" s="231" t="n"/>
    </row>
    <row r="35" outlineLevel="1" ht="15" customHeight="1">
      <c r="A35" s="231" t="inlineStr">
        <is>
          <t>Summa energianvändning             kWh per år</t>
        </is>
      </c>
      <c r="C35" s="242">
        <f>(C28+C30+C32)*$C$4</f>
        <v/>
      </c>
      <c r="D35" s="242">
        <f>(D28+D30+D32)*$C$4</f>
        <v/>
      </c>
      <c r="F35" s="231" t="n"/>
    </row>
    <row r="36" outlineLevel="1" ht="15" customHeight="1">
      <c r="A36" s="231" t="inlineStr">
        <is>
          <t>Energikostnad medelvärde             kr per kWh</t>
        </is>
      </c>
      <c r="C36" s="247">
        <f>C34/C35</f>
        <v/>
      </c>
      <c r="D36" s="242" t="n"/>
      <c r="F36" s="231" t="n"/>
    </row>
    <row r="37" ht="15" customHeight="1">
      <c r="A37" s="222" t="inlineStr">
        <is>
          <t>&lt;&lt;&lt;Om fler energislag: tryck +</t>
        </is>
      </c>
      <c r="C37" s="242" t="n"/>
      <c r="D37" s="242" t="n"/>
      <c r="F37" s="231" t="n"/>
    </row>
    <row r="38" ht="15.75" customHeight="1">
      <c r="A38" s="248" t="n"/>
      <c r="C38" s="242" t="n"/>
      <c r="D38" s="242" t="n"/>
      <c r="F38" s="231" t="n"/>
    </row>
    <row r="39" ht="15" customHeight="1">
      <c r="A39" s="249" t="inlineStr">
        <is>
          <t>Summa nuvärde, investering och underhåll</t>
        </is>
      </c>
      <c r="B39" s="250" t="n"/>
      <c r="C39" s="251">
        <f>C20-PV($C$5-$C$7,$C$6,C22)+C23+C24/(1+$C$5-$C$7)^10+C25/(1+$C$5-$C$7)^20</f>
        <v/>
      </c>
      <c r="D39" s="252">
        <f>D20-PV($C$5-$C$7,$C$6,D22)+D23+D24/(1+$C$5-$C$7)^10+D25/(1+$C$5-$C$7)^20</f>
        <v/>
      </c>
      <c r="F39" s="231" t="n"/>
    </row>
    <row r="40" ht="15.75" customHeight="1">
      <c r="A40" s="253" t="inlineStr">
        <is>
          <t>Summa nuvärde, energikostnader</t>
        </is>
      </c>
      <c r="B40" s="254" t="n"/>
      <c r="C40" s="255">
        <f>-PV($C$5-$C$10,$C$6,C29)-PV($C$5-$C$13,$C$6,C31)-PV($C$5-$C$16,$C$6,C33)</f>
        <v/>
      </c>
      <c r="D40" s="256">
        <f>-PV($C$5-$C$10,$C$6,D29)-PV($C$5-$C$13,$C$6,D31)-PV($C$5-$C$16,$C$6,D33)</f>
        <v/>
      </c>
      <c r="F40" s="231" t="n"/>
    </row>
    <row r="41" ht="15.75" customHeight="1">
      <c r="A41" s="257" t="inlineStr">
        <is>
          <t>Summa nuvärde, alla kostnader</t>
        </is>
      </c>
      <c r="B41" s="258" t="n"/>
      <c r="C41" s="259">
        <f>C39+C40</f>
        <v/>
      </c>
      <c r="D41" s="260">
        <f>D39+D40</f>
        <v/>
      </c>
      <c r="F41" s="231" t="n"/>
    </row>
    <row r="42" ht="15.75" customHeight="1">
      <c r="A42" s="261" t="n"/>
      <c r="B42" s="262" t="n"/>
      <c r="C42" s="263" t="inlineStr">
        <is>
          <t>Differens:</t>
        </is>
      </c>
      <c r="D42" s="264">
        <f>C41-D41</f>
        <v/>
      </c>
      <c r="F42" s="231" t="n"/>
    </row>
    <row r="43" ht="12.75" customFormat="1" customHeight="1" s="231">
      <c r="A43" s="265" t="inlineStr">
        <is>
          <t>Besparingskostnad                         kr per kWh</t>
        </is>
      </c>
      <c r="B43" s="266" t="n"/>
      <c r="C43" s="267">
        <f>(D39-C39)/(C40-D40)*C36</f>
        <v/>
      </c>
      <c r="D43" s="268">
        <f>IF($D42&gt;0,"LÖNSAMT","EJ LÖNSAMT")</f>
        <v/>
      </c>
    </row>
    <row r="44" ht="15.75" customHeight="1">
      <c r="A44" s="269" t="inlineStr">
        <is>
          <t>Energikostnad (mv )                        kr per kWh</t>
        </is>
      </c>
      <c r="B44" s="183" t="n"/>
      <c r="C44" s="270">
        <f>C36</f>
        <v/>
      </c>
      <c r="D44" s="271" t="n"/>
      <c r="F44" s="231" t="n"/>
    </row>
    <row r="45" ht="15" customHeight="1">
      <c r="C45" s="242" t="n"/>
      <c r="D45" s="242" t="n"/>
      <c r="F45" s="231" t="n"/>
    </row>
    <row r="46" ht="15.75" customHeight="1">
      <c r="D46" s="272" t="n"/>
    </row>
    <row r="47" ht="15.75" customHeight="1">
      <c r="A47" s="273" t="inlineStr">
        <is>
          <t>Minskad användning av CO2           ton per år</t>
        </is>
      </c>
      <c r="B47" s="274" t="n"/>
      <c r="D47" s="275" t="inlineStr">
        <is>
          <t>Ej beräknat</t>
        </is>
      </c>
    </row>
    <row r="49" ht="15" customHeight="1">
      <c r="F49" s="218" t="n"/>
    </row>
  </sheetData>
  <mergeCells count="3">
    <mergeCell ref="I15:N16"/>
    <mergeCell ref="I7:L7"/>
    <mergeCell ref="C2:D2"/>
  </mergeCells>
  <dataValidations count="1">
    <dataValidation sqref="B2" showDropDown="0" showInputMessage="0" showErrorMessage="0" allowBlank="0" type="list">
      <formula1>"Ja,Nej"</formula1>
      <formula2>0</formula2>
    </dataValidation>
  </dataValidations>
  <pageMargins left="0.7" right="0.7" top="0.75" bottom="0.75" header="0.511811023622047" footer="0.511811023622047"/>
  <pageSetup orientation="portrait" paperSize="9" horizontalDpi="300" verticalDpi="300"/>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sheetPr>
  <dimension ref="A1:N49"/>
  <sheetViews>
    <sheetView topLeftCell="A4" zoomScaleNormal="100" workbookViewId="0">
      <selection activeCell="K22" sqref="K22"/>
    </sheetView>
  </sheetViews>
  <sheetFormatPr baseColWidth="8" defaultColWidth="9.1328125" defaultRowHeight="14.5" outlineLevelRow="1"/>
  <cols>
    <col width="58.86328125" customWidth="1" min="1" max="1"/>
    <col width="1.26953125" customWidth="1" min="2" max="2"/>
    <col width="16" customWidth="1" min="3" max="3"/>
    <col width="15.86328125" customWidth="1" min="4" max="4"/>
    <col outlineLevel="1" width="9.1328125" customWidth="1" min="5" max="5"/>
    <col outlineLevel="1" width="20.54296875" customWidth="1" min="6" max="6"/>
    <col width="26.6796875" customWidth="1" min="9" max="9"/>
    <col width="23.54296875" customWidth="1" min="10" max="10"/>
  </cols>
  <sheetData>
    <row r="1" ht="45.75" customHeight="1">
      <c r="A1" s="200" t="inlineStr">
        <is>
          <t>Byte av pump till tryckstyrd med bättre effektivitet</t>
        </is>
      </c>
      <c r="C1" s="201" t="inlineStr">
        <is>
          <t>För känslighetsanalys tryck + ovan</t>
        </is>
      </c>
      <c r="D1" s="202" t="n"/>
    </row>
    <row r="2" ht="24" customHeight="1">
      <c r="A2" s="203" t="inlineStr">
        <is>
          <t>Ta med i sammanfattning?</t>
        </is>
      </c>
      <c r="B2" s="204" t="inlineStr">
        <is>
          <t>Nej</t>
        </is>
      </c>
      <c r="C2" s="293" t="n"/>
      <c r="D2" s="336" t="n"/>
      <c r="E2" s="201" t="inlineStr">
        <is>
          <t>Lönsamhetsgränser</t>
        </is>
      </c>
      <c r="F2" s="202" t="n"/>
    </row>
    <row r="3" ht="15.75" customHeight="1">
      <c r="A3" s="205" t="n"/>
      <c r="B3" s="206" t="n"/>
      <c r="C3" s="207" t="inlineStr">
        <is>
          <t>Kvantitet</t>
        </is>
      </c>
      <c r="D3" s="208" t="inlineStr">
        <is>
          <t>Enhet</t>
        </is>
      </c>
      <c r="E3" s="201" t="inlineStr">
        <is>
          <t>Känslighetsanalys</t>
        </is>
      </c>
      <c r="F3" s="202" t="n"/>
    </row>
    <row r="4" ht="13.5" customHeight="1">
      <c r="A4" s="205" t="inlineStr">
        <is>
          <t xml:space="preserve">Mängduppgift                           </t>
        </is>
      </c>
      <c r="C4" s="209">
        <f>Byggnader!$I$32</f>
        <v/>
      </c>
      <c r="D4" s="209" t="inlineStr">
        <is>
          <t>m2 At</t>
        </is>
      </c>
    </row>
    <row r="5" ht="13.5" customHeight="1">
      <c r="A5" s="205" t="inlineStr">
        <is>
          <t xml:space="preserve">Kalkylränta </t>
        </is>
      </c>
      <c r="C5" s="210">
        <f>Energiprisfaktorer!B6</f>
        <v/>
      </c>
      <c r="D5" s="211" t="inlineStr">
        <is>
          <t>nominell</t>
        </is>
      </c>
      <c r="E5" s="212" t="n"/>
      <c r="F5" s="213" t="inlineStr">
        <is>
          <t>Internränta</t>
        </is>
      </c>
    </row>
    <row r="6" ht="15.75" customHeight="1">
      <c r="A6" s="205" t="inlineStr">
        <is>
          <t xml:space="preserve">Kalkylperiod                                        </t>
        </is>
      </c>
      <c r="C6" s="214" t="n">
        <v>20</v>
      </c>
      <c r="D6" s="211" t="inlineStr">
        <is>
          <t>år</t>
        </is>
      </c>
      <c r="E6" s="215">
        <f>(D20-C20)/(C34+C22-D34-D22)</f>
        <v/>
      </c>
      <c r="F6" s="213" t="inlineStr">
        <is>
          <t>Pay-off utan ränta</t>
        </is>
      </c>
    </row>
    <row r="7" ht="15.75" customHeight="1">
      <c r="A7" s="216" t="inlineStr">
        <is>
          <t>Unerhållskostnad prisutveckling per år</t>
        </is>
      </c>
      <c r="C7" s="210">
        <f>Energiprisfaktorer!B7</f>
        <v/>
      </c>
      <c r="D7" s="217">
        <f>D5</f>
        <v/>
      </c>
      <c r="E7" s="218" t="n"/>
      <c r="F7" s="219" t="n"/>
      <c r="I7" s="294" t="inlineStr">
        <is>
          <t>Investeringskalkyl</t>
        </is>
      </c>
      <c r="J7" s="229" t="n"/>
      <c r="K7" s="229" t="n"/>
      <c r="L7" s="229" t="n"/>
    </row>
    <row r="8" ht="15.75" customHeight="1">
      <c r="A8" s="220" t="inlineStr">
        <is>
          <t xml:space="preserve">Energislag </t>
        </is>
      </c>
      <c r="C8" s="221" t="inlineStr">
        <is>
          <t>Fjärrvärme</t>
        </is>
      </c>
      <c r="D8" s="221" t="inlineStr">
        <is>
          <t>kWh</t>
        </is>
      </c>
      <c r="E8" s="218" t="n"/>
      <c r="F8" s="219" t="n"/>
    </row>
    <row r="9" ht="14.25" customHeight="1">
      <c r="A9" s="222" t="inlineStr">
        <is>
          <t xml:space="preserve">Energipris rörligt            </t>
        </is>
      </c>
      <c r="C9" s="223">
        <f>Energiprisfaktorer!B4</f>
        <v/>
      </c>
      <c r="D9" s="224" t="inlineStr">
        <is>
          <t>kr per kWh</t>
        </is>
      </c>
      <c r="E9" s="218" t="n"/>
      <c r="F9" s="219" t="n"/>
      <c r="I9" s="196" t="n"/>
      <c r="K9" s="187" t="n"/>
    </row>
    <row r="10" ht="14.25" customHeight="1">
      <c r="A10" s="225" t="inlineStr">
        <is>
          <t>Energiprisutveckling per år</t>
        </is>
      </c>
      <c r="C10" s="226">
        <f>Energiprisfaktorer!B5</f>
        <v/>
      </c>
      <c r="D10" s="227">
        <f>D5</f>
        <v/>
      </c>
      <c r="E10" s="218" t="n"/>
      <c r="F10" s="219" t="n"/>
      <c r="I10" s="196" t="inlineStr">
        <is>
          <t>Investeringskostnad</t>
        </is>
      </c>
      <c r="K10" t="n">
        <v>10000</v>
      </c>
    </row>
    <row r="11" outlineLevel="1" ht="14.25" customHeight="1">
      <c r="A11" s="220" t="inlineStr">
        <is>
          <t>Energislag 2</t>
        </is>
      </c>
      <c r="C11" s="221" t="inlineStr">
        <is>
          <t>El</t>
        </is>
      </c>
      <c r="D11" s="221" t="n"/>
      <c r="E11" s="218" t="n"/>
      <c r="F11" s="219" t="n"/>
    </row>
    <row r="12" outlineLevel="1" ht="14.25" customHeight="1">
      <c r="A12" s="222" t="inlineStr">
        <is>
          <t xml:space="preserve">Energipris rörligt            </t>
        </is>
      </c>
      <c r="C12" s="223">
        <f>Energiprisfaktorer!C4</f>
        <v/>
      </c>
      <c r="D12" s="224" t="inlineStr">
        <is>
          <t>kr per kWh</t>
        </is>
      </c>
      <c r="E12" s="218" t="n"/>
      <c r="F12" s="219" t="n"/>
      <c r="I12" s="228" t="inlineStr">
        <is>
          <t>Beräkningar</t>
        </is>
      </c>
      <c r="J12" s="229" t="n"/>
      <c r="K12" s="229" t="n"/>
      <c r="L12" s="229" t="n"/>
    </row>
    <row r="13" outlineLevel="1" ht="14.25" customHeight="1">
      <c r="A13" s="225" t="inlineStr">
        <is>
          <t>Energiprisutveckling per år</t>
        </is>
      </c>
      <c r="C13" s="226">
        <f>Energiprisfaktorer!C5</f>
        <v/>
      </c>
      <c r="D13" s="227">
        <f>D5</f>
        <v/>
      </c>
      <c r="E13" s="218" t="n"/>
      <c r="F13" s="219" t="n"/>
    </row>
    <row r="14" outlineLevel="1" ht="14.25" customHeight="1">
      <c r="A14" s="220" t="inlineStr">
        <is>
          <t>Energislag 3</t>
        </is>
      </c>
      <c r="C14" s="221" t="n"/>
      <c r="D14" s="221" t="n"/>
      <c r="E14" s="218" t="n"/>
      <c r="F14" s="219" t="n"/>
      <c r="I14" s="196" t="inlineStr">
        <is>
          <t>Egen kalkyl förklaring</t>
        </is>
      </c>
    </row>
    <row r="15" outlineLevel="1" ht="15.75" customHeight="1">
      <c r="A15" s="222" t="inlineStr">
        <is>
          <t xml:space="preserve">Energipris rörligt            </t>
        </is>
      </c>
      <c r="C15" s="223" t="n">
        <v>0.6</v>
      </c>
      <c r="D15" s="224" t="inlineStr">
        <is>
          <t>kr per kWh</t>
        </is>
      </c>
      <c r="I15" s="295" t="inlineStr">
        <is>
          <t>Byte av cirkulationspumpar till nya tryckreglerade med bättre energieffektivitet.</t>
        </is>
      </c>
      <c r="J15" s="177" t="n"/>
      <c r="K15" s="177" t="n"/>
      <c r="L15" s="177" t="n"/>
      <c r="M15" s="177" t="n"/>
      <c r="N15" s="178" t="n"/>
    </row>
    <row r="16" outlineLevel="1" ht="15.75" customHeight="1">
      <c r="A16" s="225" t="inlineStr">
        <is>
          <t>Energiprisutveckling per år</t>
        </is>
      </c>
      <c r="C16" s="226" t="n">
        <v>0.04</v>
      </c>
      <c r="D16" s="227">
        <f>D5</f>
        <v/>
      </c>
      <c r="I16" s="181" t="n"/>
      <c r="J16" s="183" t="n"/>
      <c r="K16" s="183" t="n"/>
      <c r="L16" s="183" t="n"/>
      <c r="M16" s="183" t="n"/>
      <c r="N16" s="184" t="n"/>
    </row>
    <row r="17" ht="15.75" customHeight="1">
      <c r="A17" s="225" t="inlineStr">
        <is>
          <t>&lt;&lt;&lt;Om fler energislag: tryck +</t>
        </is>
      </c>
      <c r="C17" s="230" t="n"/>
      <c r="D17" s="230" t="n"/>
      <c r="E17" s="218" t="n"/>
    </row>
    <row r="18" ht="15.75" customHeight="1">
      <c r="A18" s="231" t="n"/>
      <c r="C18" s="231" t="n"/>
      <c r="D18" s="230" t="n"/>
      <c r="E18" s="218" t="n"/>
      <c r="I18" s="232" t="inlineStr">
        <is>
          <t>Egen kalkyl beräkning</t>
        </is>
      </c>
    </row>
    <row r="19" ht="15.75" customHeight="1">
      <c r="A19" s="231" t="n"/>
      <c r="C19" s="233" t="inlineStr">
        <is>
          <t>Före åtgärd</t>
        </is>
      </c>
      <c r="D19" s="234" t="inlineStr">
        <is>
          <t>Efter åtgärd</t>
        </is>
      </c>
      <c r="I19" s="196" t="inlineStr">
        <is>
          <t>Effekt befintliga pumpar kW</t>
        </is>
      </c>
      <c r="J19" s="276">
        <f>Besiktningsprotokoll!B111+Besiktningsprotokoll!B112</f>
        <v/>
      </c>
    </row>
    <row r="20" ht="15.75" customHeight="1">
      <c r="A20" s="235" t="inlineStr">
        <is>
          <t xml:space="preserve">Investeringskostnad                                 kr </t>
        </is>
      </c>
      <c r="C20" s="236" t="n">
        <v>0</v>
      </c>
      <c r="D20" s="236">
        <f>K10</f>
        <v/>
      </c>
      <c r="E20" s="237">
        <f>D20+C41-D41</f>
        <v/>
      </c>
      <c r="F20" s="213" t="inlineStr">
        <is>
          <t>Investeringsgräns</t>
        </is>
      </c>
      <c r="I20" s="196" t="inlineStr">
        <is>
          <t>Drifttid h per år</t>
        </is>
      </c>
      <c r="J20" s="276" t="n">
        <v>8760</v>
      </c>
    </row>
    <row r="21" ht="15.75" customHeight="1">
      <c r="A21" s="231" t="n"/>
      <c r="C21" s="238" t="n"/>
      <c r="D21" s="238" t="n"/>
      <c r="E21" s="239" t="n"/>
      <c r="F21" s="240" t="n"/>
      <c r="I21" s="196" t="inlineStr">
        <is>
          <t>Bef energiförbrukning kWh/år</t>
        </is>
      </c>
      <c r="J21" s="277">
        <f>J19*J20</f>
        <v/>
      </c>
    </row>
    <row r="22" ht="15.75" customHeight="1">
      <c r="A22" s="216" t="inlineStr">
        <is>
          <t>Underhållskostnad                                  kr per år</t>
        </is>
      </c>
      <c r="C22" s="241" t="n">
        <v>0</v>
      </c>
      <c r="D22" s="241" t="n">
        <v>0</v>
      </c>
      <c r="I22" s="196" t="inlineStr">
        <is>
          <t>Effekt nya pumpar kW</t>
        </is>
      </c>
      <c r="J22" s="276">
        <f>0.5*J19</f>
        <v/>
      </c>
    </row>
    <row r="23" hidden="1" outlineLevel="1" ht="15.75" customHeight="1">
      <c r="A23" s="216" t="inlineStr">
        <is>
          <t xml:space="preserve">Underhållskostnad, periodisk år 0          kr  </t>
        </is>
      </c>
      <c r="C23" s="236" t="n"/>
      <c r="D23" s="236" t="n"/>
      <c r="J23" s="276" t="n"/>
    </row>
    <row r="24" hidden="1" outlineLevel="1" ht="15.75" customHeight="1">
      <c r="A24" s="216" t="inlineStr">
        <is>
          <t xml:space="preserve">Underhållskostnad, periodisk år 10        kr  </t>
        </is>
      </c>
      <c r="C24" s="236" t="n"/>
      <c r="D24" s="236" t="n"/>
      <c r="J24" s="276" t="n"/>
    </row>
    <row r="25" hidden="1" outlineLevel="1" ht="15.75" customHeight="1">
      <c r="A25" s="216" t="inlineStr">
        <is>
          <t xml:space="preserve">Underhållskostnad, periodisk år 20        kr  </t>
        </is>
      </c>
      <c r="C25" s="236" t="n"/>
      <c r="D25" s="236" t="n"/>
      <c r="J25" s="276" t="n"/>
    </row>
    <row r="26" ht="15" customHeight="1">
      <c r="A26" s="216" t="inlineStr">
        <is>
          <t>&lt;&lt;&lt;Om fler uh-kostnader: tryck +</t>
        </is>
      </c>
      <c r="C26" s="242" t="n"/>
      <c r="D26" s="242" t="n"/>
      <c r="I26" s="196" t="inlineStr">
        <is>
          <t>Drifttid per år</t>
        </is>
      </c>
      <c r="J26" s="276" t="n">
        <v>8760</v>
      </c>
    </row>
    <row r="27" ht="15.75" customHeight="1">
      <c r="A27" s="231" t="n"/>
      <c r="C27" s="242" t="n"/>
      <c r="D27" s="242" t="n"/>
      <c r="I27" s="196" t="inlineStr">
        <is>
          <t>Ny energiförbrukning</t>
        </is>
      </c>
      <c r="J27" s="277">
        <f>J22*J26</f>
        <v/>
      </c>
    </row>
    <row r="28" ht="15.75" customHeight="1">
      <c r="A28" s="220" t="inlineStr">
        <is>
          <t>Energianvändning                            kWh per mängdenhet och år</t>
        </is>
      </c>
      <c r="C28" s="243">
        <f>Normalisering!$I$89/Byggnader!$I$32</f>
        <v/>
      </c>
      <c r="D28" s="243">
        <f>(Normalisering!$I$89-J29)/Byggnader!$I$32</f>
        <v/>
      </c>
      <c r="I28" s="196" t="inlineStr">
        <is>
          <t>Årlig energibesparing</t>
        </is>
      </c>
      <c r="J28">
        <f>J21-J27</f>
        <v/>
      </c>
      <c r="K28" s="196" t="n"/>
      <c r="L28" s="196" t="n"/>
    </row>
    <row r="29" ht="15.75" customHeight="1">
      <c r="A29" s="244" t="inlineStr">
        <is>
          <t>Energikostnad                                  kr per år</t>
        </is>
      </c>
      <c r="C29" s="245">
        <f>C28*$C$4*$C$9</f>
        <v/>
      </c>
      <c r="D29" s="245">
        <f>D28*$C$4*$C$9</f>
        <v/>
      </c>
      <c r="I29" s="196" t="n"/>
    </row>
    <row r="30" outlineLevel="1" ht="15.75" customHeight="1">
      <c r="A30" s="220" t="inlineStr">
        <is>
          <t>Energianvändning 2                         kWh per mängdenhet och år</t>
        </is>
      </c>
      <c r="C30" s="243">
        <f>J21/C4</f>
        <v/>
      </c>
      <c r="D30" s="243">
        <f>J27/C4</f>
        <v/>
      </c>
      <c r="I30" s="196" t="n"/>
    </row>
    <row r="31" outlineLevel="1" ht="15.75" customHeight="1">
      <c r="A31" s="244" t="inlineStr">
        <is>
          <t>Energikostnad 2                                kr per år</t>
        </is>
      </c>
      <c r="C31" s="245">
        <f>C30*$C$4*$C$12</f>
        <v/>
      </c>
      <c r="D31" s="245">
        <f>D30*$C$4*$C$12</f>
        <v/>
      </c>
    </row>
    <row r="32" outlineLevel="1" ht="15.75" customHeight="1">
      <c r="A32" s="220" t="inlineStr">
        <is>
          <t>Energianvändning 3                         kWh per mängdenhet och år</t>
        </is>
      </c>
      <c r="C32" s="243" t="n"/>
      <c r="D32" s="243" t="n"/>
    </row>
    <row r="33" outlineLevel="1" ht="15.75" customHeight="1">
      <c r="A33" s="244" t="inlineStr">
        <is>
          <t>Energikostnad 3                               kr per år</t>
        </is>
      </c>
      <c r="C33" s="245">
        <f>C32*$C$4*$C$15</f>
        <v/>
      </c>
      <c r="D33" s="245">
        <f>D32*$C$4*$C$15</f>
        <v/>
      </c>
    </row>
    <row r="34" outlineLevel="1" ht="15" customHeight="1">
      <c r="A34" s="231" t="inlineStr">
        <is>
          <t>Summa energikostnad                    kr per år</t>
        </is>
      </c>
      <c r="C34" s="242">
        <f>C29+C31+C33</f>
        <v/>
      </c>
      <c r="D34" s="242">
        <f>D29+D31+D33</f>
        <v/>
      </c>
      <c r="F34" s="231" t="n"/>
    </row>
    <row r="35" outlineLevel="1" ht="15" customHeight="1">
      <c r="A35" s="231" t="inlineStr">
        <is>
          <t>Summa energianvändning             kWh per år</t>
        </is>
      </c>
      <c r="C35" s="242">
        <f>(C28+C30+C32)*$C$4</f>
        <v/>
      </c>
      <c r="D35" s="242">
        <f>(D28+D30+D32)*$C$4</f>
        <v/>
      </c>
      <c r="F35" s="231" t="n"/>
    </row>
    <row r="36" outlineLevel="1" ht="15" customHeight="1">
      <c r="A36" s="231" t="inlineStr">
        <is>
          <t>Energikostnad medelvärde             kr per kWh</t>
        </is>
      </c>
      <c r="C36" s="247">
        <f>C34/C35</f>
        <v/>
      </c>
      <c r="D36" s="242" t="n"/>
      <c r="F36" s="231" t="n"/>
    </row>
    <row r="37" ht="15" customHeight="1">
      <c r="A37" s="222" t="inlineStr">
        <is>
          <t>&lt;&lt;&lt;Om fler energislag: tryck +</t>
        </is>
      </c>
      <c r="C37" s="242" t="n"/>
      <c r="D37" s="242" t="n"/>
      <c r="F37" s="231" t="n"/>
    </row>
    <row r="38" ht="15.75" customHeight="1">
      <c r="A38" s="248" t="n"/>
      <c r="C38" s="242" t="n"/>
      <c r="D38" s="242" t="n"/>
      <c r="F38" s="231" t="n"/>
    </row>
    <row r="39" ht="15" customHeight="1">
      <c r="A39" s="249" t="inlineStr">
        <is>
          <t>Summa nuvärde, investering och underhåll</t>
        </is>
      </c>
      <c r="B39" s="250" t="n"/>
      <c r="C39" s="251">
        <f>C20-PV($C$5-$C$7,$C$6,C22)+C23+C24/(1+$C$5-$C$7)^10+C25/(1+$C$5-$C$7)^20</f>
        <v/>
      </c>
      <c r="D39" s="252">
        <f>D20-PV($C$5-$C$7,$C$6,D22)+D23+D24/(1+$C$5-$C$7)^10+D25/(1+$C$5-$C$7)^20</f>
        <v/>
      </c>
      <c r="F39" s="231" t="n"/>
    </row>
    <row r="40" ht="15.75" customHeight="1">
      <c r="A40" s="253" t="inlineStr">
        <is>
          <t>Summa nuvärde, energikostnader</t>
        </is>
      </c>
      <c r="B40" s="254" t="n"/>
      <c r="C40" s="255">
        <f>-PV($C$5-$C$10,$C$6,C29)-PV($C$5-$C$13,$C$6,C31)-PV($C$5-$C$16,$C$6,C33)</f>
        <v/>
      </c>
      <c r="D40" s="256">
        <f>-PV($C$5-$C$10,$C$6,D29)-PV($C$5-$C$13,$C$6,D31)-PV($C$5-$C$16,$C$6,D33)</f>
        <v/>
      </c>
      <c r="F40" s="231" t="n"/>
    </row>
    <row r="41" ht="15.75" customHeight="1">
      <c r="A41" s="257" t="inlineStr">
        <is>
          <t>Summa nuvärde, alla kostnader</t>
        </is>
      </c>
      <c r="B41" s="258" t="n"/>
      <c r="C41" s="259">
        <f>C39+C40</f>
        <v/>
      </c>
      <c r="D41" s="260">
        <f>D39+D40</f>
        <v/>
      </c>
      <c r="F41" s="231" t="n"/>
    </row>
    <row r="42" ht="15.75" customHeight="1">
      <c r="A42" s="261" t="n"/>
      <c r="B42" s="262" t="n"/>
      <c r="C42" s="263" t="inlineStr">
        <is>
          <t>Differens:</t>
        </is>
      </c>
      <c r="D42" s="264">
        <f>C41-D41</f>
        <v/>
      </c>
      <c r="F42" s="231" t="n"/>
    </row>
    <row r="43" ht="12.75" customFormat="1" customHeight="1" s="231">
      <c r="A43" s="265" t="inlineStr">
        <is>
          <t>Besparingskostnad                         kr per kWh</t>
        </is>
      </c>
      <c r="B43" s="266" t="n"/>
      <c r="C43" s="267">
        <f>(D39-C39)/(C40-D40)*C36</f>
        <v/>
      </c>
      <c r="D43" s="268">
        <f>IF($D42&gt;0,"LÖNSAMT","EJ LÖNSAMT")</f>
        <v/>
      </c>
    </row>
    <row r="44" ht="15.75" customHeight="1">
      <c r="A44" s="269" t="inlineStr">
        <is>
          <t>Energikostnad (mv )                        kr per kWh</t>
        </is>
      </c>
      <c r="B44" s="183" t="n"/>
      <c r="C44" s="270">
        <f>C36</f>
        <v/>
      </c>
      <c r="D44" s="271" t="n"/>
      <c r="F44" s="231" t="n"/>
    </row>
    <row r="45" ht="15" customHeight="1">
      <c r="C45" s="242" t="n"/>
      <c r="D45" s="242" t="n"/>
      <c r="F45" s="231" t="n"/>
    </row>
    <row r="46" ht="15.75" customHeight="1">
      <c r="D46" s="272" t="n"/>
    </row>
    <row r="47" ht="15.75" customHeight="1">
      <c r="A47" s="273" t="inlineStr">
        <is>
          <t>Minskad användning av CO2           ton per år</t>
        </is>
      </c>
      <c r="B47" s="274" t="n"/>
      <c r="D47" s="275" t="inlineStr">
        <is>
          <t>Ej beräknat</t>
        </is>
      </c>
    </row>
    <row r="49" ht="15" customHeight="1">
      <c r="F49" s="218" t="n"/>
    </row>
  </sheetData>
  <mergeCells count="3">
    <mergeCell ref="I15:N16"/>
    <mergeCell ref="I7:L7"/>
    <mergeCell ref="C2:D2"/>
  </mergeCells>
  <dataValidations count="1">
    <dataValidation sqref="B2" showDropDown="0" showInputMessage="0" showErrorMessage="0" allowBlank="0" type="list">
      <formula1>"Ja,Nej"</formula1>
      <formula2>0</formula2>
    </dataValidation>
  </dataValidations>
  <pageMargins left="0.7" right="0.7" top="0.75" bottom="0.75" header="0.511811023622047" footer="0.511811023622047"/>
  <pageSetup orientation="portrait" paperSize="9" horizontalDpi="300" verticalDpi="300"/>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sheetPr>
  <dimension ref="A1:N49"/>
  <sheetViews>
    <sheetView zoomScaleNormal="100" workbookViewId="0">
      <selection activeCell="I38" sqref="I38"/>
    </sheetView>
  </sheetViews>
  <sheetFormatPr baseColWidth="8" defaultColWidth="9.1328125" defaultRowHeight="14.5" outlineLevelRow="1"/>
  <cols>
    <col width="58.86328125" customWidth="1" min="1" max="1"/>
    <col width="1.26953125" customWidth="1" min="2" max="2"/>
    <col width="16" customWidth="1" min="3" max="3"/>
    <col width="15.86328125" customWidth="1" min="4" max="4"/>
    <col outlineLevel="1" width="9.1328125" customWidth="1" min="5" max="5"/>
    <col outlineLevel="1" width="20.54296875" customWidth="1" min="6" max="6"/>
    <col width="26.6796875" customWidth="1" min="9" max="9"/>
    <col width="23.54296875" customWidth="1" min="10" max="10"/>
  </cols>
  <sheetData>
    <row r="1" ht="45.75" customHeight="1">
      <c r="A1" s="200" t="inlineStr">
        <is>
          <t>Byte av fläktar till tryckstyrd med bättre effektivitet</t>
        </is>
      </c>
      <c r="C1" s="201" t="inlineStr">
        <is>
          <t>För känslighetsanalys tryck + ovan</t>
        </is>
      </c>
      <c r="D1" s="202" t="n"/>
    </row>
    <row r="2" ht="24" customHeight="1">
      <c r="A2" s="203" t="inlineStr">
        <is>
          <t>Ta med i sammanfattning?</t>
        </is>
      </c>
      <c r="B2" s="204" t="inlineStr">
        <is>
          <t>Nej</t>
        </is>
      </c>
      <c r="C2" s="293" t="n"/>
      <c r="D2" s="336" t="n"/>
      <c r="E2" s="201" t="inlineStr">
        <is>
          <t>Lönsamhetsgränser</t>
        </is>
      </c>
      <c r="F2" s="202" t="n"/>
    </row>
    <row r="3" ht="15.75" customHeight="1">
      <c r="A3" s="205" t="n"/>
      <c r="B3" s="206" t="n"/>
      <c r="C3" s="207" t="inlineStr">
        <is>
          <t>Kvantitet</t>
        </is>
      </c>
      <c r="D3" s="208" t="inlineStr">
        <is>
          <t>Enhet</t>
        </is>
      </c>
      <c r="E3" s="201" t="inlineStr">
        <is>
          <t>Känslighetsanalys</t>
        </is>
      </c>
      <c r="F3" s="202" t="n"/>
    </row>
    <row r="4" ht="13.5" customHeight="1">
      <c r="A4" s="205" t="inlineStr">
        <is>
          <t xml:space="preserve">Mängduppgift                           </t>
        </is>
      </c>
      <c r="C4" s="209">
        <f>Byggnader!$I$32</f>
        <v/>
      </c>
      <c r="D4" s="209" t="inlineStr">
        <is>
          <t>m2 At</t>
        </is>
      </c>
    </row>
    <row r="5" ht="13.5" customHeight="1">
      <c r="A5" s="205" t="inlineStr">
        <is>
          <t xml:space="preserve">Kalkylränta </t>
        </is>
      </c>
      <c r="C5" s="210">
        <f>Energiprisfaktorer!B6</f>
        <v/>
      </c>
      <c r="D5" s="211" t="inlineStr">
        <is>
          <t>nominell</t>
        </is>
      </c>
      <c r="E5" s="212" t="n"/>
      <c r="F5" s="213" t="inlineStr">
        <is>
          <t>Internränta</t>
        </is>
      </c>
    </row>
    <row r="6" ht="15.75" customHeight="1">
      <c r="A6" s="205" t="inlineStr">
        <is>
          <t xml:space="preserve">Kalkylperiod                                        </t>
        </is>
      </c>
      <c r="C6" s="214" t="n">
        <v>20</v>
      </c>
      <c r="D6" s="211" t="inlineStr">
        <is>
          <t>år</t>
        </is>
      </c>
      <c r="E6" s="215">
        <f>(D20-C20)/(C34+C22-D34-D22)</f>
        <v/>
      </c>
      <c r="F6" s="213" t="inlineStr">
        <is>
          <t>Pay-off utan ränta</t>
        </is>
      </c>
    </row>
    <row r="7" ht="15.75" customHeight="1">
      <c r="A7" s="216" t="inlineStr">
        <is>
          <t>Unerhållskostnad prisutveckling per år</t>
        </is>
      </c>
      <c r="C7" s="210">
        <f>Energiprisfaktorer!B7</f>
        <v/>
      </c>
      <c r="D7" s="217">
        <f>D5</f>
        <v/>
      </c>
      <c r="E7" s="218" t="n"/>
      <c r="F7" s="219" t="n"/>
      <c r="I7" s="294" t="inlineStr">
        <is>
          <t>Investeringskalkyl</t>
        </is>
      </c>
      <c r="J7" s="229" t="n"/>
      <c r="K7" s="229" t="n"/>
      <c r="L7" s="229" t="n"/>
    </row>
    <row r="8" ht="15.75" customHeight="1">
      <c r="A8" s="220" t="inlineStr">
        <is>
          <t xml:space="preserve">Energislag </t>
        </is>
      </c>
      <c r="C8" s="221" t="inlineStr">
        <is>
          <t>Fjärrvärme</t>
        </is>
      </c>
      <c r="D8" s="221" t="inlineStr">
        <is>
          <t>kWh</t>
        </is>
      </c>
      <c r="E8" s="218" t="n"/>
      <c r="F8" s="219" t="n"/>
    </row>
    <row r="9" ht="14.25" customHeight="1">
      <c r="A9" s="222" t="inlineStr">
        <is>
          <t xml:space="preserve">Energipris rörligt            </t>
        </is>
      </c>
      <c r="C9" s="223">
        <f>Energiprisfaktorer!B4</f>
        <v/>
      </c>
      <c r="D9" s="224" t="inlineStr">
        <is>
          <t>kr per kWh</t>
        </is>
      </c>
      <c r="E9" s="218" t="n"/>
      <c r="F9" s="219" t="n"/>
      <c r="I9" s="196" t="n"/>
      <c r="K9" s="187" t="n"/>
    </row>
    <row r="10" ht="14.25" customHeight="1">
      <c r="A10" s="225" t="inlineStr">
        <is>
          <t>Energiprisutveckling per år</t>
        </is>
      </c>
      <c r="C10" s="226">
        <f>Energiprisfaktorer!B5</f>
        <v/>
      </c>
      <c r="D10" s="227">
        <f>D5</f>
        <v/>
      </c>
      <c r="E10" s="218" t="n"/>
      <c r="F10" s="219" t="n"/>
      <c r="I10" s="196" t="inlineStr">
        <is>
          <t>Investeringskostnad</t>
        </is>
      </c>
      <c r="K10" t="n">
        <v>5000</v>
      </c>
    </row>
    <row r="11" outlineLevel="1" ht="14.25" customHeight="1">
      <c r="A11" s="220" t="inlineStr">
        <is>
          <t>Energislag 2</t>
        </is>
      </c>
      <c r="C11" s="221" t="inlineStr">
        <is>
          <t>El</t>
        </is>
      </c>
      <c r="D11" s="221" t="n"/>
      <c r="E11" s="218" t="n"/>
      <c r="F11" s="219" t="n"/>
    </row>
    <row r="12" outlineLevel="1" ht="14.25" customHeight="1">
      <c r="A12" s="222" t="inlineStr">
        <is>
          <t xml:space="preserve">Energipris rörligt            </t>
        </is>
      </c>
      <c r="C12" s="223">
        <f>Energiprisfaktorer!C4</f>
        <v/>
      </c>
      <c r="D12" s="224" t="inlineStr">
        <is>
          <t>kr per kWh</t>
        </is>
      </c>
      <c r="E12" s="218" t="n"/>
      <c r="F12" s="219" t="n"/>
      <c r="I12" s="228" t="inlineStr">
        <is>
          <t>Beräkningar</t>
        </is>
      </c>
      <c r="J12" s="229" t="n"/>
      <c r="K12" s="229" t="n"/>
      <c r="L12" s="229" t="n"/>
    </row>
    <row r="13" outlineLevel="1" ht="14.25" customHeight="1">
      <c r="A13" s="225" t="inlineStr">
        <is>
          <t>Energiprisutveckling per år</t>
        </is>
      </c>
      <c r="C13" s="226">
        <f>Energiprisfaktorer!C5</f>
        <v/>
      </c>
      <c r="D13" s="227">
        <f>D5</f>
        <v/>
      </c>
      <c r="E13" s="218" t="n"/>
      <c r="F13" s="219" t="n"/>
    </row>
    <row r="14" outlineLevel="1" ht="14.25" customHeight="1">
      <c r="A14" s="220" t="inlineStr">
        <is>
          <t>Energislag 3</t>
        </is>
      </c>
      <c r="C14" s="221" t="n"/>
      <c r="D14" s="221" t="n"/>
      <c r="E14" s="218" t="n"/>
      <c r="F14" s="219" t="n"/>
      <c r="I14" s="196" t="inlineStr">
        <is>
          <t>Egen kalkyl förklaring</t>
        </is>
      </c>
    </row>
    <row r="15" outlineLevel="1" ht="15.75" customHeight="1">
      <c r="A15" s="222" t="inlineStr">
        <is>
          <t xml:space="preserve">Energipris rörligt            </t>
        </is>
      </c>
      <c r="C15" s="223" t="n">
        <v>0.6</v>
      </c>
      <c r="D15" s="224" t="inlineStr">
        <is>
          <t>kr per kWh</t>
        </is>
      </c>
      <c r="I15" s="295" t="inlineStr">
        <is>
          <t>Byte av fläktar till nya tryckreglerade med bättre energieffektivitet och utetempkompensering.</t>
        </is>
      </c>
      <c r="J15" s="177" t="n"/>
      <c r="K15" s="177" t="n"/>
      <c r="L15" s="177" t="n"/>
      <c r="M15" s="177" t="n"/>
      <c r="N15" s="178" t="n"/>
    </row>
    <row r="16" outlineLevel="1" ht="15.75" customHeight="1">
      <c r="A16" s="225" t="inlineStr">
        <is>
          <t>Energiprisutveckling per år</t>
        </is>
      </c>
      <c r="C16" s="226" t="n">
        <v>0.04</v>
      </c>
      <c r="D16" s="227">
        <f>D5</f>
        <v/>
      </c>
      <c r="I16" s="181" t="n"/>
      <c r="J16" s="183" t="n"/>
      <c r="K16" s="183" t="n"/>
      <c r="L16" s="183" t="n"/>
      <c r="M16" s="183" t="n"/>
      <c r="N16" s="184" t="n"/>
    </row>
    <row r="17" ht="15.75" customHeight="1">
      <c r="A17" s="225" t="inlineStr">
        <is>
          <t>&lt;&lt;&lt;Om fler energislag: tryck +</t>
        </is>
      </c>
      <c r="C17" s="230" t="n"/>
      <c r="D17" s="230" t="n"/>
      <c r="E17" s="218" t="n"/>
    </row>
    <row r="18" ht="15.75" customHeight="1">
      <c r="A18" s="231" t="n"/>
      <c r="C18" s="231" t="n"/>
      <c r="D18" s="230" t="n"/>
      <c r="E18" s="218" t="n"/>
      <c r="I18" s="232" t="inlineStr">
        <is>
          <t>Egen kalkyl beräkning</t>
        </is>
      </c>
    </row>
    <row r="19" ht="15.75" customHeight="1">
      <c r="A19" s="231" t="n"/>
      <c r="C19" s="233" t="inlineStr">
        <is>
          <t>Före åtgärd</t>
        </is>
      </c>
      <c r="D19" s="234" t="inlineStr">
        <is>
          <t>Efter åtgärd</t>
        </is>
      </c>
      <c r="I19" s="196" t="inlineStr">
        <is>
          <t>Effekt befintliga fläktar kW</t>
        </is>
      </c>
      <c r="J19" s="276">
        <f>Besiktningsprotokoll!B53+Besiktningsprotokoll!C53+Besiktningsprotokoll!D53+Besiktningsprotokoll!B62+Besiktningsprotokoll!C62+Besiktningsprotokoll!D62</f>
        <v/>
      </c>
    </row>
    <row r="20" ht="15.75" customHeight="1">
      <c r="A20" s="235" t="inlineStr">
        <is>
          <t xml:space="preserve">Investeringskostnad                                 kr </t>
        </is>
      </c>
      <c r="C20" s="236" t="n">
        <v>0</v>
      </c>
      <c r="D20" s="236">
        <f>K10</f>
        <v/>
      </c>
      <c r="E20" s="237">
        <f>D20+C41-D41</f>
        <v/>
      </c>
      <c r="F20" s="213" t="inlineStr">
        <is>
          <t>Investeringsgräns</t>
        </is>
      </c>
      <c r="I20" s="196" t="inlineStr">
        <is>
          <t>Drifttid h per år</t>
        </is>
      </c>
      <c r="J20" s="276" t="n">
        <v>8760</v>
      </c>
    </row>
    <row r="21" ht="15.75" customHeight="1">
      <c r="A21" s="231" t="n"/>
      <c r="C21" s="238" t="n"/>
      <c r="D21" s="238" t="n"/>
      <c r="E21" s="239" t="n"/>
      <c r="F21" s="240" t="n"/>
      <c r="I21" s="196" t="inlineStr">
        <is>
          <t>SFP tal</t>
        </is>
      </c>
      <c r="J21" s="278" t="n">
        <v>3</v>
      </c>
    </row>
    <row r="22" hidden="1" ht="15.75" customHeight="1">
      <c r="A22" s="216" t="inlineStr">
        <is>
          <t>Underhållskostnad                                  kr per år</t>
        </is>
      </c>
      <c r="C22" s="241" t="n">
        <v>0</v>
      </c>
      <c r="D22" s="241" t="n">
        <v>0</v>
      </c>
      <c r="I22" s="196" t="inlineStr">
        <is>
          <t>Bef energiförbrukning kWh/år</t>
        </is>
      </c>
      <c r="J22" s="277">
        <f>J19*J20</f>
        <v/>
      </c>
    </row>
    <row r="23" hidden="1" outlineLevel="1" ht="15.75" customHeight="1">
      <c r="A23" s="216" t="inlineStr">
        <is>
          <t xml:space="preserve">Underhållskostnad, periodisk år 0          kr  </t>
        </is>
      </c>
      <c r="C23" s="236" t="n"/>
      <c r="D23" s="236" t="n"/>
    </row>
    <row r="24" hidden="1" outlineLevel="1" ht="15.75" customHeight="1">
      <c r="A24" s="216" t="inlineStr">
        <is>
          <t xml:space="preserve">Underhållskostnad, periodisk år 10        kr  </t>
        </is>
      </c>
      <c r="C24" s="236" t="n"/>
      <c r="D24" s="236" t="n"/>
    </row>
    <row r="25" hidden="1" outlineLevel="1" ht="15.75" customHeight="1">
      <c r="A25" s="216" t="inlineStr">
        <is>
          <t xml:space="preserve">Underhållskostnad, periodisk år 20        kr  </t>
        </is>
      </c>
      <c r="C25" s="236" t="n"/>
      <c r="D25" s="236" t="n"/>
    </row>
    <row r="26" hidden="1" ht="15" customHeight="1">
      <c r="A26" s="216" t="inlineStr">
        <is>
          <t>&lt;&lt;&lt;Om fler uh-kostnader: tryck +</t>
        </is>
      </c>
      <c r="C26" s="242" t="n"/>
      <c r="D26" s="242" t="n"/>
    </row>
    <row r="27" ht="15.75" customHeight="1">
      <c r="A27" s="231" t="n"/>
      <c r="C27" s="242" t="n"/>
      <c r="D27" s="242" t="n"/>
      <c r="I27" s="196" t="inlineStr">
        <is>
          <t>Effekt nya fläktar kW</t>
        </is>
      </c>
      <c r="J27" s="276">
        <f>J19*0.5</f>
        <v/>
      </c>
    </row>
    <row r="28" ht="15.75" customHeight="1">
      <c r="A28" s="220" t="inlineStr">
        <is>
          <t>Energianvändning                            kWh per mängdenhet och år</t>
        </is>
      </c>
      <c r="C28" s="243">
        <f>Normalisering!$I$89/Byggnader!$I$32</f>
        <v/>
      </c>
      <c r="D28" s="243">
        <f>C28</f>
        <v/>
      </c>
      <c r="I28" s="196" t="inlineStr">
        <is>
          <t>Drifttid per år</t>
        </is>
      </c>
      <c r="J28" s="276" t="n">
        <v>8760</v>
      </c>
      <c r="K28" s="196" t="n"/>
      <c r="L28" s="196" t="n"/>
    </row>
    <row r="29" ht="15.75" customHeight="1">
      <c r="A29" s="244" t="inlineStr">
        <is>
          <t>Energikostnad                                  kr per år</t>
        </is>
      </c>
      <c r="C29" s="245">
        <f>C28*$C$4*$C$9</f>
        <v/>
      </c>
      <c r="D29" s="245">
        <f>D28*$C$4*$C$9</f>
        <v/>
      </c>
      <c r="I29" s="196" t="inlineStr">
        <is>
          <t>Ny energiförbrukning</t>
        </is>
      </c>
      <c r="J29" s="277">
        <f>J27*J28</f>
        <v/>
      </c>
    </row>
    <row r="30" outlineLevel="1" ht="15.75" customHeight="1">
      <c r="A30" s="220" t="inlineStr">
        <is>
          <t>Energianvändning 2                         kWh per mängdenhet och år</t>
        </is>
      </c>
      <c r="C30" s="243">
        <f>J22/C4</f>
        <v/>
      </c>
      <c r="D30" s="243">
        <f>J29/C4</f>
        <v/>
      </c>
      <c r="I30" s="196" t="inlineStr">
        <is>
          <t>Årlig energibesparing</t>
        </is>
      </c>
      <c r="J30">
        <f>J22-J29</f>
        <v/>
      </c>
    </row>
    <row r="31" outlineLevel="1" ht="15.75" customHeight="1">
      <c r="A31" s="244" t="inlineStr">
        <is>
          <t>Energikostnad 2                                kr per år</t>
        </is>
      </c>
      <c r="C31" s="245">
        <f>C30*$C$4*$C$12</f>
        <v/>
      </c>
      <c r="D31" s="245">
        <f>D30*$C$4*$C$12</f>
        <v/>
      </c>
    </row>
    <row r="32" outlineLevel="1" ht="15.75" customHeight="1">
      <c r="A32" s="220" t="inlineStr">
        <is>
          <t>Energianvändning 3                         kWh per mängdenhet och år</t>
        </is>
      </c>
      <c r="C32" s="243" t="n"/>
      <c r="D32" s="243" t="n"/>
    </row>
    <row r="33" outlineLevel="1" ht="15.75" customHeight="1">
      <c r="A33" s="244" t="inlineStr">
        <is>
          <t>Energikostnad 3                               kr per år</t>
        </is>
      </c>
      <c r="C33" s="245">
        <f>C32*$C$4*$C$15</f>
        <v/>
      </c>
      <c r="D33" s="245">
        <f>D32*$C$4*$C$15</f>
        <v/>
      </c>
    </row>
    <row r="34" outlineLevel="1" ht="15" customHeight="1">
      <c r="A34" s="231" t="inlineStr">
        <is>
          <t>Summa energikostnad                    kr per år</t>
        </is>
      </c>
      <c r="C34" s="242">
        <f>C29+C31+C33</f>
        <v/>
      </c>
      <c r="D34" s="242">
        <f>D29+D31+D33</f>
        <v/>
      </c>
      <c r="F34" s="231" t="n"/>
    </row>
    <row r="35" outlineLevel="1" ht="15" customHeight="1">
      <c r="A35" s="231" t="inlineStr">
        <is>
          <t>Summa energianvändning             kWh per år</t>
        </is>
      </c>
      <c r="C35" s="242">
        <f>(C28+C30+C32)*$C$4</f>
        <v/>
      </c>
      <c r="D35" s="242">
        <f>(D28+D30+D32)*$C$4</f>
        <v/>
      </c>
      <c r="F35" s="231" t="n"/>
    </row>
    <row r="36" outlineLevel="1" ht="15" customHeight="1">
      <c r="A36" s="231" t="inlineStr">
        <is>
          <t>Energikostnad medelvärde             kr per kWh</t>
        </is>
      </c>
      <c r="C36" s="247">
        <f>C34/C35</f>
        <v/>
      </c>
      <c r="D36" s="242" t="n"/>
      <c r="F36" s="231" t="n"/>
    </row>
    <row r="37" ht="15" customHeight="1">
      <c r="A37" s="222" t="inlineStr">
        <is>
          <t>&lt;&lt;&lt;Om fler energislag: tryck +</t>
        </is>
      </c>
      <c r="C37" s="242" t="n"/>
      <c r="D37" s="242" t="n"/>
      <c r="F37" s="231" t="n"/>
    </row>
    <row r="38" ht="15.75" customHeight="1">
      <c r="A38" s="248" t="n"/>
      <c r="C38" s="242" t="n"/>
      <c r="D38" s="242" t="n"/>
      <c r="F38" s="231" t="n"/>
    </row>
    <row r="39" ht="15" customHeight="1">
      <c r="A39" s="249" t="inlineStr">
        <is>
          <t>Summa nuvärde, investering och underhåll</t>
        </is>
      </c>
      <c r="B39" s="250" t="n"/>
      <c r="C39" s="251">
        <f>C20-PV($C$5-$C$7,$C$6,C22)+C23+C24/(1+$C$5-$C$7)^10+C25/(1+$C$5-$C$7)^20</f>
        <v/>
      </c>
      <c r="D39" s="252">
        <f>D20-PV($C$5-$C$7,$C$6,D22)+D23+D24/(1+$C$5-$C$7)^10+D25/(1+$C$5-$C$7)^20</f>
        <v/>
      </c>
      <c r="F39" s="231" t="n"/>
    </row>
    <row r="40" ht="15.75" customHeight="1">
      <c r="A40" s="253" t="inlineStr">
        <is>
          <t>Summa nuvärde, energikostnader</t>
        </is>
      </c>
      <c r="B40" s="254" t="n"/>
      <c r="C40" s="255">
        <f>-PV($C$5-$C$10,$C$6,C29)-PV($C$5-$C$13,$C$6,C31)-PV($C$5-$C$16,$C$6,C33)</f>
        <v/>
      </c>
      <c r="D40" s="256">
        <f>-PV($C$5-$C$10,$C$6,D29)-PV($C$5-$C$13,$C$6,D31)-PV($C$5-$C$16,$C$6,D33)</f>
        <v/>
      </c>
      <c r="F40" s="231" t="n"/>
    </row>
    <row r="41" ht="15.75" customHeight="1">
      <c r="A41" s="257" t="inlineStr">
        <is>
          <t>Summa nuvärde, alla kostnader</t>
        </is>
      </c>
      <c r="B41" s="258" t="n"/>
      <c r="C41" s="259">
        <f>C39+C40</f>
        <v/>
      </c>
      <c r="D41" s="260">
        <f>D39+D40</f>
        <v/>
      </c>
      <c r="F41" s="231" t="n"/>
    </row>
    <row r="42" ht="15.75" customHeight="1">
      <c r="A42" s="261" t="n"/>
      <c r="B42" s="262" t="n"/>
      <c r="C42" s="263" t="inlineStr">
        <is>
          <t>Differens:</t>
        </is>
      </c>
      <c r="D42" s="264">
        <f>C41-D41</f>
        <v/>
      </c>
      <c r="F42" s="231" t="n"/>
    </row>
    <row r="43" ht="12.75" customFormat="1" customHeight="1" s="231">
      <c r="A43" s="265" t="inlineStr">
        <is>
          <t>Besparingskostnad                         kr per kWh</t>
        </is>
      </c>
      <c r="B43" s="266" t="n"/>
      <c r="C43" s="267">
        <f>(D39-C39)/(C40-D40)*C36</f>
        <v/>
      </c>
      <c r="D43" s="268">
        <f>IF($D42&gt;0,"LÖNSAMT","EJ LÖNSAMT")</f>
        <v/>
      </c>
    </row>
    <row r="44" ht="15.75" customHeight="1">
      <c r="A44" s="269" t="inlineStr">
        <is>
          <t>Energikostnad (mv )                        kr per kWh</t>
        </is>
      </c>
      <c r="B44" s="183" t="n"/>
      <c r="C44" s="270">
        <f>C36</f>
        <v/>
      </c>
      <c r="D44" s="271" t="n"/>
      <c r="F44" s="231" t="n"/>
    </row>
    <row r="45" ht="15" customHeight="1">
      <c r="C45" s="242" t="n"/>
      <c r="D45" s="242" t="n"/>
      <c r="F45" s="231" t="n"/>
    </row>
    <row r="46" ht="15.75" customHeight="1">
      <c r="D46" s="272" t="n"/>
    </row>
    <row r="47" ht="15.75" customHeight="1">
      <c r="A47" s="273" t="inlineStr">
        <is>
          <t>Minskad användning av CO2           ton per år</t>
        </is>
      </c>
      <c r="B47" s="274" t="n"/>
      <c r="D47" s="275" t="inlineStr">
        <is>
          <t>Ej beräknat</t>
        </is>
      </c>
    </row>
    <row r="49" ht="15" customHeight="1">
      <c r="F49" s="218" t="n"/>
    </row>
  </sheetData>
  <mergeCells count="3">
    <mergeCell ref="I15:N16"/>
    <mergeCell ref="I7:L7"/>
    <mergeCell ref="C2:D2"/>
  </mergeCells>
  <dataValidations count="1">
    <dataValidation sqref="B2" showDropDown="0" showInputMessage="0" showErrorMessage="0" allowBlank="0" type="list">
      <formula1>"Ja,Nej"</formula1>
      <formula2>0</formula2>
    </dataValidation>
  </dataValidations>
  <pageMargins left="0.7" right="0.7" top="0.75" bottom="0.75" header="0.511811023622047" footer="0.511811023622047"/>
  <pageSetup orientation="portrait" paperSize="9" horizontalDpi="300" verticalDpi="300"/>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sheetPr>
  <dimension ref="A1:V49"/>
  <sheetViews>
    <sheetView zoomScaleNormal="100" workbookViewId="0">
      <selection activeCell="C7" sqref="C7"/>
    </sheetView>
  </sheetViews>
  <sheetFormatPr baseColWidth="8" defaultColWidth="9.1328125" defaultRowHeight="14.5" outlineLevelRow="1"/>
  <cols>
    <col width="58.86328125" customWidth="1" min="1" max="1"/>
    <col width="1.26953125" customWidth="1" min="2" max="2"/>
    <col width="16" customWidth="1" min="3" max="3"/>
    <col width="15.86328125" customWidth="1" min="4" max="4"/>
    <col outlineLevel="1" width="9.1328125" customWidth="1" min="5" max="5"/>
    <col outlineLevel="1" width="20.54296875" customWidth="1" min="6" max="6"/>
    <col width="26.6796875" customWidth="1" min="9" max="9"/>
    <col width="23.54296875" customWidth="1" min="10" max="10"/>
  </cols>
  <sheetData>
    <row r="1" ht="45.75" customHeight="1">
      <c r="A1" s="200" t="inlineStr">
        <is>
          <t>Övrig åtgärd</t>
        </is>
      </c>
      <c r="C1" s="231" t="n"/>
      <c r="D1" s="202" t="n"/>
    </row>
    <row r="2" ht="24" customHeight="1">
      <c r="A2" s="203" t="inlineStr">
        <is>
          <t>Ta med i sammanfattning?</t>
        </is>
      </c>
      <c r="B2" s="204" t="inlineStr">
        <is>
          <t>Nej</t>
        </is>
      </c>
      <c r="C2" s="293" t="n"/>
      <c r="D2" s="336" t="n"/>
      <c r="E2" s="201" t="inlineStr">
        <is>
          <t>Lönsamhetsgränser</t>
        </is>
      </c>
      <c r="F2" s="202" t="n"/>
    </row>
    <row r="3" ht="15.75" customHeight="1">
      <c r="A3" s="205" t="n"/>
      <c r="B3" s="206" t="n"/>
      <c r="C3" s="207" t="inlineStr">
        <is>
          <t>Kvantitet</t>
        </is>
      </c>
      <c r="D3" s="208" t="inlineStr">
        <is>
          <t>Enhet</t>
        </is>
      </c>
      <c r="E3" s="201" t="inlineStr">
        <is>
          <t>Känslighetsanalys</t>
        </is>
      </c>
      <c r="F3" s="202" t="n"/>
    </row>
    <row r="4" ht="13.5" customHeight="1">
      <c r="A4" s="205" t="inlineStr">
        <is>
          <t xml:space="preserve">Mängduppgift                           </t>
        </is>
      </c>
      <c r="C4" s="209">
        <f>Byggnader!$I$32</f>
        <v/>
      </c>
      <c r="D4" s="209" t="inlineStr">
        <is>
          <t>m2 At</t>
        </is>
      </c>
    </row>
    <row r="5" ht="13.5" customHeight="1">
      <c r="A5" s="205" t="inlineStr">
        <is>
          <t xml:space="preserve">Kalkylränta </t>
        </is>
      </c>
      <c r="C5" s="210">
        <f>Energiprisfaktorer!B6</f>
        <v/>
      </c>
      <c r="D5" s="211" t="inlineStr">
        <is>
          <t>nominell</t>
        </is>
      </c>
      <c r="E5" s="212" t="n"/>
      <c r="F5" s="213" t="inlineStr">
        <is>
          <t>Internränta</t>
        </is>
      </c>
      <c r="R5" t="inlineStr">
        <is>
          <t>Befintlig energiförbrukning ventilation uppvärmning</t>
        </is>
      </c>
      <c r="V5">
        <f>Besiktningsprotokoll!B57*1.2*100000</f>
        <v/>
      </c>
    </row>
    <row r="6" ht="15.75" customHeight="1">
      <c r="A6" s="205" t="inlineStr">
        <is>
          <t xml:space="preserve">Kalkylperiod                                        </t>
        </is>
      </c>
      <c r="C6" s="214" t="n">
        <v>25</v>
      </c>
      <c r="D6" s="211" t="inlineStr">
        <is>
          <t>år</t>
        </is>
      </c>
      <c r="E6" s="215">
        <f>IFERROR((D20-C20)/(C34+C22-D34-D22),"")</f>
        <v/>
      </c>
      <c r="F6" s="213" t="inlineStr">
        <is>
          <t>Pay-off utan ränta</t>
        </is>
      </c>
      <c r="R6" t="inlineStr">
        <is>
          <t>Ny energiförbrukning ventilation uppvärmning</t>
        </is>
      </c>
      <c r="V6">
        <f>0.25*V5</f>
        <v/>
      </c>
    </row>
    <row r="7" ht="15.75" customHeight="1">
      <c r="A7" s="216" t="inlineStr">
        <is>
          <t>Unerhållskostnad prisutveckling per år</t>
        </is>
      </c>
      <c r="C7" s="210">
        <f>Energiprisfaktorer!B7</f>
        <v/>
      </c>
      <c r="D7" s="217">
        <f>D5</f>
        <v/>
      </c>
      <c r="E7" s="218" t="n"/>
      <c r="F7" s="219" t="n"/>
      <c r="I7" s="297" t="inlineStr">
        <is>
          <t>Underlag för beräkning</t>
        </is>
      </c>
      <c r="R7" t="inlineStr">
        <is>
          <t>Ökad el till FTX</t>
        </is>
      </c>
      <c r="V7">
        <f>0.025*36*8760</f>
        <v/>
      </c>
    </row>
    <row r="8" ht="15.75" customHeight="1">
      <c r="A8" s="220" t="inlineStr">
        <is>
          <t xml:space="preserve">Energislag </t>
        </is>
      </c>
      <c r="C8" s="221" t="inlineStr">
        <is>
          <t>Fjärrvärme</t>
        </is>
      </c>
      <c r="D8" s="221" t="inlineStr">
        <is>
          <t>kWh</t>
        </is>
      </c>
      <c r="E8" s="218" t="n"/>
      <c r="F8" s="219" t="n"/>
    </row>
    <row r="9" ht="14.25" customHeight="1">
      <c r="A9" s="222" t="inlineStr">
        <is>
          <t xml:space="preserve">Energipris rörligt            </t>
        </is>
      </c>
      <c r="C9" s="223">
        <f>Energiprisfaktorer!B4</f>
        <v/>
      </c>
      <c r="D9" s="224" t="inlineStr">
        <is>
          <t>kr per kWh</t>
        </is>
      </c>
      <c r="E9" s="218" t="n"/>
      <c r="F9" s="219" t="n"/>
      <c r="I9" s="37" t="inlineStr">
        <is>
          <t>Investeringskostnad (kr)</t>
        </is>
      </c>
      <c r="K9" s="54" t="n">
        <v>0</v>
      </c>
    </row>
    <row r="10" ht="14.25" customHeight="1">
      <c r="A10" s="225" t="inlineStr">
        <is>
          <t>Energiprisutveckling per år</t>
        </is>
      </c>
      <c r="C10" s="226">
        <f>Energiprisfaktorer!B5</f>
        <v/>
      </c>
      <c r="D10" s="227">
        <f>D5</f>
        <v/>
      </c>
      <c r="E10" s="218" t="n"/>
      <c r="F10" s="219" t="n"/>
      <c r="I10" s="196" t="n"/>
    </row>
    <row r="11" outlineLevel="1" ht="14.25" customHeight="1">
      <c r="A11" s="220" t="inlineStr">
        <is>
          <t>Energislag 2</t>
        </is>
      </c>
      <c r="C11" s="221" t="inlineStr">
        <is>
          <t>El</t>
        </is>
      </c>
      <c r="D11" s="221" t="n"/>
      <c r="E11" s="218" t="n"/>
      <c r="F11" s="219" t="n"/>
      <c r="I11" s="37" t="inlineStr">
        <is>
          <t>Ändrad värmeförbrukning (kWh/år)</t>
        </is>
      </c>
      <c r="K11" s="54" t="n">
        <v>0</v>
      </c>
    </row>
    <row r="12" outlineLevel="1" ht="14.25" customHeight="1">
      <c r="A12" s="222" t="inlineStr">
        <is>
          <t xml:space="preserve">Energipris rörligt            </t>
        </is>
      </c>
      <c r="C12" s="223">
        <f>Energiprisfaktorer!C4</f>
        <v/>
      </c>
      <c r="D12" s="224" t="inlineStr">
        <is>
          <t>kr per kWh</t>
        </is>
      </c>
      <c r="E12" s="218" t="n"/>
      <c r="F12" s="219" t="n"/>
      <c r="I12" s="37" t="inlineStr">
        <is>
          <t>Ändrad elförbrukning (kWh/år)</t>
        </is>
      </c>
      <c r="K12" s="54" t="n">
        <v>0</v>
      </c>
    </row>
    <row r="13" outlineLevel="1" ht="14.25" customHeight="1">
      <c r="A13" s="225" t="inlineStr">
        <is>
          <t>Energiprisutveckling per år</t>
        </is>
      </c>
      <c r="C13" s="226">
        <f>Energiprisfaktorer!C5</f>
        <v/>
      </c>
      <c r="D13" s="227">
        <f>D5</f>
        <v/>
      </c>
      <c r="E13" s="218" t="n"/>
      <c r="F13" s="219" t="n"/>
      <c r="I13" s="18" t="inlineStr">
        <is>
          <t>Ökning anges positivt och minskning negativt. Exempel bergvärme: värme −100 000, el +30 000.</t>
        </is>
      </c>
    </row>
    <row r="14" outlineLevel="1" ht="14.25" customHeight="1">
      <c r="A14" s="220" t="inlineStr">
        <is>
          <t>Energislag 3</t>
        </is>
      </c>
      <c r="C14" s="221" t="n"/>
      <c r="D14" s="221" t="n"/>
      <c r="E14" s="218" t="n"/>
      <c r="F14" s="219" t="n"/>
      <c r="I14" s="196" t="n"/>
    </row>
    <row r="15" outlineLevel="1" ht="15.75" customHeight="1">
      <c r="A15" s="222" t="inlineStr">
        <is>
          <t xml:space="preserve">Energipris rörligt            </t>
        </is>
      </c>
      <c r="C15" s="223" t="n">
        <v>0.6</v>
      </c>
      <c r="D15" s="224" t="inlineStr">
        <is>
          <t>kr per kWh</t>
        </is>
      </c>
      <c r="I15" s="70" t="inlineStr">
        <is>
          <t>Beskrivning av åtgärden</t>
        </is>
      </c>
    </row>
    <row r="16" outlineLevel="1" ht="15.75" customHeight="1">
      <c r="A16" s="225" t="inlineStr">
        <is>
          <t>Energiprisutveckling per år</t>
        </is>
      </c>
      <c r="C16" s="226" t="n">
        <v>0.04</v>
      </c>
      <c r="D16" s="227">
        <f>D5</f>
        <v/>
      </c>
      <c r="I16" s="298" t="inlineStr">
        <is>
          <t>Beskriv åtgärden och hur besparingen är beräknad.</t>
        </is>
      </c>
      <c r="J16" s="337" t="n"/>
      <c r="K16" s="337" t="n"/>
      <c r="L16" s="337" t="n"/>
      <c r="M16" s="337" t="n"/>
      <c r="N16" s="338" t="n"/>
    </row>
    <row r="17" ht="15.75" customHeight="1">
      <c r="A17" s="225" t="inlineStr">
        <is>
          <t>&lt;&lt;&lt;Om fler energislag: tryck +</t>
        </is>
      </c>
      <c r="C17" s="230" t="n"/>
      <c r="D17" s="230" t="n"/>
      <c r="E17" s="218" t="n"/>
      <c r="I17" s="339" t="n"/>
      <c r="N17" s="340" t="n"/>
    </row>
    <row r="18" ht="15.75" customHeight="1">
      <c r="A18" s="231" t="n"/>
      <c r="C18" s="231" t="n"/>
      <c r="D18" s="230" t="n"/>
      <c r="E18" s="218" t="n"/>
      <c r="I18" s="339" t="n"/>
      <c r="N18" s="340" t="n"/>
    </row>
    <row r="19" ht="15.75" customHeight="1">
      <c r="A19" s="231" t="n"/>
      <c r="C19" s="233" t="inlineStr">
        <is>
          <t>Före åtgärd</t>
        </is>
      </c>
      <c r="D19" s="234" t="inlineStr">
        <is>
          <t>Efter åtgärd</t>
        </is>
      </c>
      <c r="I19" s="341" t="n"/>
      <c r="J19" s="342" t="n"/>
      <c r="K19" s="342" t="n"/>
      <c r="L19" s="342" t="n"/>
      <c r="M19" s="342" t="n"/>
      <c r="N19" s="343" t="n"/>
    </row>
    <row r="20" ht="15.75" customHeight="1">
      <c r="A20" s="235" t="inlineStr">
        <is>
          <t xml:space="preserve">Investeringskostnad                                 kr </t>
        </is>
      </c>
      <c r="C20" s="236" t="n">
        <v>0</v>
      </c>
      <c r="D20" s="236">
        <f>K9</f>
        <v/>
      </c>
      <c r="E20" s="237">
        <f>D20+C41-D41</f>
        <v/>
      </c>
      <c r="F20" s="213" t="inlineStr">
        <is>
          <t>Investeringsgräns</t>
        </is>
      </c>
      <c r="I20" s="196" t="n"/>
      <c r="J20" s="279" t="n"/>
    </row>
    <row r="21" ht="15.75" customHeight="1">
      <c r="A21" s="231" t="n"/>
      <c r="C21" s="238" t="n"/>
      <c r="D21" s="238" t="n"/>
      <c r="E21" s="239" t="n"/>
      <c r="F21" s="240" t="n"/>
      <c r="I21" s="37" t="inlineStr">
        <is>
          <t>Nuvarande värmeförbrukning (kWh/år)</t>
        </is>
      </c>
      <c r="J21" s="280" t="n"/>
      <c r="K21" s="55">
        <f>Normalisering!$I$89</f>
        <v/>
      </c>
    </row>
    <row r="22" ht="15.75" customHeight="1">
      <c r="A22" s="216" t="inlineStr">
        <is>
          <t>Underhållskostnad                                  kr per år</t>
        </is>
      </c>
      <c r="C22" s="241" t="n">
        <v>0</v>
      </c>
      <c r="D22" s="241" t="n">
        <v>0</v>
      </c>
      <c r="I22" s="37" t="inlineStr">
        <is>
          <t>Värmeförbrukning efter åtgärd (kWh/år)</t>
        </is>
      </c>
      <c r="J22" s="279" t="n"/>
      <c r="K22" s="55">
        <f>K21+K11</f>
        <v/>
      </c>
    </row>
    <row r="23" hidden="1" outlineLevel="1" ht="15.75" customHeight="1">
      <c r="A23" s="216" t="inlineStr">
        <is>
          <t xml:space="preserve">Underhållskostnad, periodisk år 0          kr  </t>
        </is>
      </c>
      <c r="C23" s="236" t="n"/>
      <c r="D23" s="236" t="n"/>
      <c r="I23" s="37" t="inlineStr">
        <is>
          <t>Nuvarande el, fastighetsel (kWh/år)</t>
        </is>
      </c>
      <c r="J23" s="279" t="n"/>
      <c r="K23" s="55">
        <f>El!$I$127</f>
        <v/>
      </c>
    </row>
    <row r="24" hidden="1" outlineLevel="1" ht="15.75" customHeight="1">
      <c r="A24" s="216" t="inlineStr">
        <is>
          <t xml:space="preserve">Underhållskostnad, periodisk år 10        kr  </t>
        </is>
      </c>
      <c r="C24" s="236" t="n"/>
      <c r="D24" s="236" t="n"/>
      <c r="I24" s="37" t="inlineStr">
        <is>
          <t>El efter åtgärd (kWh/år)</t>
        </is>
      </c>
      <c r="J24" s="279" t="n"/>
      <c r="K24" s="55">
        <f>K23+K12</f>
        <v/>
      </c>
    </row>
    <row r="25" hidden="1" outlineLevel="1" ht="15.75" customHeight="1">
      <c r="A25" s="216" t="inlineStr">
        <is>
          <t xml:space="preserve">Underhållskostnad, periodisk år 20        kr  </t>
        </is>
      </c>
      <c r="C25" s="236" t="n"/>
      <c r="D25" s="236" t="n"/>
      <c r="I25" s="16" t="inlineStr">
        <is>
          <t>Årlig energibesparing (kWh/år)</t>
        </is>
      </c>
      <c r="J25" s="279" t="n"/>
      <c r="K25" s="55">
        <f>-(K11+K12)</f>
        <v/>
      </c>
    </row>
    <row r="26" ht="15" customHeight="1">
      <c r="A26" s="216" t="inlineStr">
        <is>
          <t>&lt;&lt;&lt;Om fler uh-kostnader: tryck +</t>
        </is>
      </c>
      <c r="C26" s="242" t="n"/>
      <c r="D26" s="242" t="n"/>
      <c r="I26" s="196" t="n"/>
      <c r="J26" s="279" t="n"/>
    </row>
    <row r="27" ht="15.75" customHeight="1">
      <c r="A27" s="231" t="n"/>
      <c r="C27" s="242" t="n"/>
      <c r="D27" s="242" t="n"/>
      <c r="I27" s="196" t="n"/>
      <c r="J27" s="280" t="n"/>
    </row>
    <row r="28" ht="15.75" customHeight="1">
      <c r="A28" s="220" t="inlineStr">
        <is>
          <t>Energianvändning                            kWh per mängdenhet och år</t>
        </is>
      </c>
      <c r="C28" s="243">
        <f>K21/$C$4</f>
        <v/>
      </c>
      <c r="D28" s="243">
        <f>K22/$C$4</f>
        <v/>
      </c>
      <c r="I28" s="196" t="n"/>
      <c r="K28" s="196" t="n"/>
      <c r="L28" s="196" t="n"/>
    </row>
    <row r="29" ht="15.75" customHeight="1">
      <c r="A29" s="244" t="inlineStr">
        <is>
          <t>Energikostnad                                  kr per år</t>
        </is>
      </c>
      <c r="C29" s="245">
        <f>C28*$C$4*$C$9</f>
        <v/>
      </c>
      <c r="D29" s="245">
        <f>D28*$C$4*$C$9</f>
        <v/>
      </c>
      <c r="I29" s="196" t="n"/>
    </row>
    <row r="30" outlineLevel="1" ht="15.75" customHeight="1">
      <c r="A30" s="220" t="inlineStr">
        <is>
          <t>Energianvändning 2                         kWh per mängdenhet och år</t>
        </is>
      </c>
      <c r="C30" s="243">
        <f>K23/$C$4</f>
        <v/>
      </c>
      <c r="D30" s="243">
        <f>K24/$C$4</f>
        <v/>
      </c>
      <c r="I30" s="196" t="n"/>
    </row>
    <row r="31" outlineLevel="1" ht="15.75" customHeight="1">
      <c r="A31" s="244" t="inlineStr">
        <is>
          <t>Energikostnad 2                                kr per år</t>
        </is>
      </c>
      <c r="C31" s="245">
        <f>C30*$C$4*$C$12</f>
        <v/>
      </c>
      <c r="D31" s="245">
        <f>D30*$C$4*$C$12</f>
        <v/>
      </c>
    </row>
    <row r="32" outlineLevel="1" ht="15.75" customHeight="1">
      <c r="A32" s="220" t="inlineStr">
        <is>
          <t>Energianvändning 3                         kWh per mängdenhet och år</t>
        </is>
      </c>
      <c r="C32" s="243" t="n"/>
      <c r="D32" s="243" t="n"/>
    </row>
    <row r="33" outlineLevel="1" ht="15.75" customHeight="1">
      <c r="A33" s="244" t="inlineStr">
        <is>
          <t>Energikostnad 3                               kr per år</t>
        </is>
      </c>
      <c r="C33" s="245">
        <f>C32*$C$4*$C$15</f>
        <v/>
      </c>
      <c r="D33" s="245">
        <f>D32*$C$4*$C$15</f>
        <v/>
      </c>
    </row>
    <row r="34" outlineLevel="1" ht="15" customHeight="1">
      <c r="A34" s="231" t="inlineStr">
        <is>
          <t>Summa energikostnad                    kr per år</t>
        </is>
      </c>
      <c r="C34" s="242">
        <f>C29+C31+C33</f>
        <v/>
      </c>
      <c r="D34" s="242">
        <f>D29+D31+D33</f>
        <v/>
      </c>
      <c r="F34" s="231" t="n"/>
    </row>
    <row r="35" outlineLevel="1" ht="15" customHeight="1">
      <c r="A35" s="231" t="inlineStr">
        <is>
          <t>Summa energianvändning             kWh per år</t>
        </is>
      </c>
      <c r="C35" s="242">
        <f>(C28+C30+C32)*$C$4</f>
        <v/>
      </c>
      <c r="D35" s="242">
        <f>(D28+D30+D32)*$C$4</f>
        <v/>
      </c>
      <c r="F35" s="231" t="n"/>
    </row>
    <row r="36" outlineLevel="1" ht="15" customHeight="1">
      <c r="A36" s="231" t="inlineStr">
        <is>
          <t>Energikostnad medelvärde             kr per kWh</t>
        </is>
      </c>
      <c r="C36" s="247">
        <f>C34/C35</f>
        <v/>
      </c>
      <c r="D36" s="242" t="n"/>
      <c r="F36" s="231" t="n"/>
    </row>
    <row r="37" ht="15" customHeight="1">
      <c r="A37" s="222" t="inlineStr">
        <is>
          <t>&lt;&lt;&lt;Om fler energislag: tryck +</t>
        </is>
      </c>
      <c r="C37" s="242" t="n"/>
      <c r="D37" s="242" t="n"/>
      <c r="F37" s="231" t="n"/>
    </row>
    <row r="38" ht="15.75" customHeight="1">
      <c r="A38" s="248" t="n"/>
      <c r="C38" s="242" t="n"/>
      <c r="D38" s="242" t="n"/>
      <c r="F38" s="231" t="n"/>
    </row>
    <row r="39" ht="15" customHeight="1">
      <c r="A39" s="249" t="inlineStr">
        <is>
          <t>Summa nuvärde, investering och underhåll</t>
        </is>
      </c>
      <c r="B39" s="250" t="n"/>
      <c r="C39" s="251">
        <f>C20-PV($C$5-$C$7,$C$6,C22)+C23+C24/(1+$C$5-$C$7)^10+C25/(1+$C$5-$C$7)^20</f>
        <v/>
      </c>
      <c r="D39" s="252">
        <f>D20-PV($C$5-$C$7,$C$6,D22)+D23+D24/(1+$C$5-$C$7)^10+D25/(1+$C$5-$C$7)^20</f>
        <v/>
      </c>
      <c r="F39" s="231" t="n"/>
    </row>
    <row r="40" ht="15.75" customHeight="1">
      <c r="A40" s="253" t="inlineStr">
        <is>
          <t>Summa nuvärde, energikostnader</t>
        </is>
      </c>
      <c r="B40" s="254" t="n"/>
      <c r="C40" s="255">
        <f>-PV($C$5-$C$10,$C$6,C29)-PV($C$5-$C$13,$C$6,C31)-PV($C$5-$C$16,$C$6,C33)</f>
        <v/>
      </c>
      <c r="D40" s="256">
        <f>-PV($C$5-$C$10,$C$6,D29)-PV($C$5-$C$13,$C$6,D31)-PV($C$5-$C$16,$C$6,D33)</f>
        <v/>
      </c>
      <c r="F40" s="231" t="n"/>
    </row>
    <row r="41" ht="15.75" customHeight="1">
      <c r="A41" s="257" t="inlineStr">
        <is>
          <t>Summa nuvärde, alla kostnader</t>
        </is>
      </c>
      <c r="B41" s="258" t="n"/>
      <c r="C41" s="259">
        <f>C39+C40</f>
        <v/>
      </c>
      <c r="D41" s="260">
        <f>D39+D40</f>
        <v/>
      </c>
      <c r="F41" s="231" t="n"/>
    </row>
    <row r="42" ht="15.75" customHeight="1">
      <c r="A42" s="261" t="n"/>
      <c r="B42" s="262" t="n"/>
      <c r="C42" s="263" t="inlineStr">
        <is>
          <t>Differens:</t>
        </is>
      </c>
      <c r="D42" s="264">
        <f>C41-D41</f>
        <v/>
      </c>
      <c r="F42" s="231" t="n"/>
    </row>
    <row r="43" ht="12.75" customFormat="1" customHeight="1" s="231">
      <c r="A43" s="265" t="inlineStr">
        <is>
          <t>Besparingskostnad                         kr per kWh</t>
        </is>
      </c>
      <c r="B43" s="266" t="n"/>
      <c r="C43" s="267">
        <f>IFERROR((D39-C39)/(C40-D40)*C36,"")</f>
        <v/>
      </c>
      <c r="D43" s="268">
        <f>IF($D42&gt;0,"LÖNSAMT","EJ LÖNSAMT")</f>
        <v/>
      </c>
    </row>
    <row r="44" ht="15.75" customHeight="1">
      <c r="A44" s="269" t="inlineStr">
        <is>
          <t>Energikostnad (mv )                        kr per kWh</t>
        </is>
      </c>
      <c r="B44" s="183" t="n"/>
      <c r="C44" s="270">
        <f>C36</f>
        <v/>
      </c>
      <c r="D44" s="271" t="n"/>
      <c r="F44" s="231" t="n"/>
    </row>
    <row r="45" ht="15" customHeight="1">
      <c r="C45" s="242" t="n"/>
      <c r="D45" s="242" t="n"/>
      <c r="F45" s="231" t="n"/>
    </row>
    <row r="46" ht="15.75" customHeight="1">
      <c r="D46" s="272" t="n"/>
    </row>
    <row r="47" ht="15.75" customHeight="1">
      <c r="A47" s="273" t="inlineStr">
        <is>
          <t>Minskad användning av CO2           ton per år</t>
        </is>
      </c>
      <c r="B47" s="274" t="n"/>
      <c r="D47" s="275" t="inlineStr">
        <is>
          <t>Ej beräknat</t>
        </is>
      </c>
    </row>
    <row r="49" ht="15" customHeight="1">
      <c r="F49" s="218" t="n"/>
    </row>
  </sheetData>
  <mergeCells count="3">
    <mergeCell ref="I7:L7"/>
    <mergeCell ref="I16:N19"/>
    <mergeCell ref="C2:D2"/>
  </mergeCells>
  <dataValidations count="1">
    <dataValidation sqref="B2" showDropDown="0" showInputMessage="0" showErrorMessage="0" allowBlank="0" type="list">
      <formula1>"Ja,Nej"</formula1>
      <formula2>0</formula2>
    </dataValidation>
  </dataValidations>
  <pageMargins left="0.7" right="0.7" top="0.75" bottom="0.75" header="0.511811023622047" footer="0.511811023622047"/>
  <pageSetup orientation="portrait" paperSize="9" horizontalDpi="300" verticalDpi="300"/>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sheetPr>
  <dimension ref="A1:E15"/>
  <sheetViews>
    <sheetView topLeftCell="A11" zoomScaleNormal="100" workbookViewId="0">
      <selection activeCell="C13" sqref="C13"/>
    </sheetView>
  </sheetViews>
  <sheetFormatPr baseColWidth="8" defaultColWidth="8.7265625" defaultRowHeight="14.5"/>
  <cols>
    <col width="38.54296875" customWidth="1" min="1" max="1"/>
    <col width="67.26953125" customWidth="1" min="2" max="2"/>
    <col width="74" customWidth="1" min="3" max="3"/>
    <col width="37.86328125" customWidth="1" min="4" max="4"/>
    <col width="32.26953125" customWidth="1" min="5" max="5"/>
  </cols>
  <sheetData>
    <row r="1" ht="30" customHeight="1">
      <c r="A1" s="232" t="inlineStr">
        <is>
          <t>Besiktning</t>
        </is>
      </c>
      <c r="B1" s="281" t="inlineStr">
        <is>
          <t>Byggnaden har besiktigats i syfte att kartlägga byggnadens fastighetsenergi samt för att kontrollera eventuellt möjliga kostnadseffektiva åtgärder</t>
        </is>
      </c>
    </row>
    <row r="3" ht="122.25" customHeight="1">
      <c r="A3" s="232" t="inlineStr">
        <is>
          <t>Solceller</t>
        </is>
      </c>
      <c r="B3" s="196" t="inlineStr">
        <is>
          <t>Installation av solceller för produktion av el till byggnadens gemensamma elanvändning.</t>
        </is>
      </c>
    </row>
    <row r="5" ht="15" customHeight="1">
      <c r="B5" s="232" t="inlineStr">
        <is>
          <t>Alternativ 1</t>
        </is>
      </c>
      <c r="C5" s="232" t="inlineStr">
        <is>
          <t>Alternativ 2</t>
        </is>
      </c>
      <c r="D5" s="196" t="inlineStr">
        <is>
          <t>Beräkningsmetodik</t>
        </is>
      </c>
      <c r="E5" s="196" t="inlineStr">
        <is>
          <t>Formel</t>
        </is>
      </c>
    </row>
    <row r="6" ht="108" customHeight="1">
      <c r="A6" s="232" t="inlineStr">
        <is>
          <t>Vattenspar</t>
        </is>
      </c>
      <c r="B6" s="281" t="inlineStr">
        <is>
          <t>Installation av vattenbesparande utrustning. Befintliga blandare och duschar förses med nya perlatorer och munstycken som ger ett högre vattentryck och mindre vattenmängd. Åtgärden minskar energiåtgången och effekt för varmvatten samt minskar kostnaden för kallvatten. Samtidigt kan man med fördel inventera och åtgärda eventuella vattenläckor.</t>
        </is>
      </c>
      <c r="D6" s="281" t="inlineStr">
        <is>
          <t>Antag 5-15% beroende på status eller ev mätning av flödet</t>
        </is>
      </c>
    </row>
    <row r="7" ht="65.25" customHeight="1">
      <c r="A7" s="232" t="inlineStr">
        <is>
          <t>Frånluftvärmepump</t>
        </is>
      </c>
      <c r="B7" s="281" t="inlineStr">
        <is>
          <t>Installation av frånluftsåtervinning med värmepump. Befintligt frånluftssystem förses med återvinningsbatterier som kyler av frånluften från byggnaden. Värmen återvinns via värmepumpar och återförs byggnadens värmesystem.</t>
        </is>
      </c>
      <c r="C7" s="281" t="inlineStr">
        <is>
          <t>Installation av frånluftsåtervinning med värmepump. Befintliga frånluftsfläktar demonteras och ersätts med värmepumpsaggregat som har inbyggda fläktar med en bättre eleffektivitet. Värmen återvinns i aggregaten återförs byggnadens värmesystem.</t>
        </is>
      </c>
      <c r="D7" s="281" t="inlineStr">
        <is>
          <t>Frånluftsflödet kyls ned till ca 5 grader. Beräkna förenklat kyleffekten och antag ett Scop på 3-4 eller använd beräkningsprgram</t>
        </is>
      </c>
    </row>
    <row r="8" ht="93" customHeight="1">
      <c r="A8" s="232" t="inlineStr">
        <is>
          <t>Styr och regler</t>
        </is>
      </c>
      <c r="B8" s="281" t="inlineStr">
        <is>
          <t>Byte av styr och reglerutrustning för värmesystem. Befintligt styrsystem har endast utegivare för utstyrning av värme. Genom att sätta in en ny styrdator som även mäter inomhustemperatur kan värmeöverskottet som uppstår vid viss väderlek och årstid automatiskt besparas.</t>
        </is>
      </c>
      <c r="D8" s="281" t="inlineStr">
        <is>
          <t>Antag 5-12% beroende på status bef. reglerutrustning och inomhustemperatur</t>
        </is>
      </c>
    </row>
    <row r="9" ht="34.5" customHeight="1">
      <c r="A9" s="232" t="inlineStr">
        <is>
          <t>Byte av fläkt</t>
        </is>
      </c>
      <c r="B9" s="196" t="inlineStr">
        <is>
          <t>Byte av befintliga fläktar till nya med högre eleffektivitet och tryckstyrning</t>
        </is>
      </c>
      <c r="D9" s="281" t="inlineStr">
        <is>
          <t>Mätning av strömstyrka/tryck på bef fläkt. Beräkningsprogram för ny fläkt</t>
        </is>
      </c>
    </row>
    <row r="10" ht="40.5" customHeight="1">
      <c r="A10" s="232" t="inlineStr">
        <is>
          <t>Byte av pump</t>
        </is>
      </c>
      <c r="B10" s="196" t="inlineStr">
        <is>
          <t>Byte av befintliga pumpar till nya med högre eleffektivitet och tryckstyrning</t>
        </is>
      </c>
      <c r="D10" s="281" t="inlineStr">
        <is>
          <t>Mätning av strömstyrka/tryck på bef pump. Beräkningsprogram för ny pump</t>
        </is>
      </c>
    </row>
    <row r="11" ht="96.75" customHeight="1">
      <c r="A11" s="232" t="inlineStr">
        <is>
          <t>Injustering av värmesystem</t>
        </is>
      </c>
      <c r="B11" s="281" t="inlineStr">
        <is>
          <t>Injustering av värmesystemet för att uppnå en jämnare temperatur i byggnaden. Flöden till värmestammar och radiatorer injusteras för att avge rätt värmeeffekt. Värmebesparing uppnås genom en lägre genomsnittstemperatur och mindre vädring</t>
        </is>
      </c>
      <c r="C11" s="281" t="inlineStr">
        <is>
          <t>Injustering av värmesystemet för att uppnå en jämnare temperatur i byggnaden. Flöden till värmestammar och radiatorer injusteras för att avge rätt värmeeffekt. Värmebesparing uppnås genom en lägre genomsnittstemperatur och mindre vädring. Man behöver byta ut samtliga stamventiler och radiatorventiler för att kunna genomföra denna åtgärd.</t>
        </is>
      </c>
      <c r="D11" s="281" t="inlineStr">
        <is>
          <t>Antag 5-10% beroende husets medeltemp, bedömning av vädring, bedömning av bef injustering och temperaturspridning.</t>
        </is>
      </c>
    </row>
    <row r="12" ht="52.5" customHeight="1">
      <c r="A12" s="232" t="inlineStr">
        <is>
          <t>Tilläggisolering av vindsbjälklag</t>
        </is>
      </c>
      <c r="B12" s="281" t="inlineStr">
        <is>
          <t>Befintlig isolering är xx cm tjock. Det finns bra förutsättningar att tilläggisolera vindsbjälklaget med ytterliggare xx cm lösull. Därigenom kan man minska värmeläckaget genom vinden.</t>
        </is>
      </c>
      <c r="D12" s="281" t="inlineStr">
        <is>
          <t>Beräkning av bef. transmissionsförlust och ny</t>
        </is>
      </c>
    </row>
    <row r="13" ht="60" customHeight="1">
      <c r="A13" s="232" t="inlineStr">
        <is>
          <t>Tilläggisolering av fasader</t>
        </is>
      </c>
      <c r="B13" s="281" t="inlineStr">
        <is>
          <t>Befintlig konstruktion har ett U-värde (isolervärde) som är dåligt . Det finns bra förutsättningar att tilläggisolera fasaden i samband med renovering med ytterliggare xx cm. Därigenom kan man minska värmeläckaget genom fasaden.</t>
        </is>
      </c>
      <c r="D13" s="281" t="inlineStr">
        <is>
          <t>Beräkning av bef. transmissionsförlust och ny</t>
        </is>
      </c>
    </row>
    <row r="14" ht="52.5" customHeight="1">
      <c r="A14" s="232" t="inlineStr">
        <is>
          <t>Bergvärme</t>
        </is>
      </c>
      <c r="B14" s="281" t="inlineStr">
        <is>
          <t>Installation av bergvärmepump för uppvärmning och varmvatten. Ett eller flera borrhål borras för uttag av värmeenergi ur berggrunden. Värmen upptas av en köldbärarvätska och höjs via värmepumpen till en temperaturnivå som kan användas i byggnadens värmesystem. Åtgärden ersätter helt eller delvis nuvarande uppvärmningskälla och minskar behovet av köpt fjärrvärme/olja, men ökar elanvändningen.</t>
        </is>
      </c>
      <c r="D14" s="281" t="inlineStr">
        <is>
          <t>Beräkning av VP-effekt utifrån byggnadens nominella värmeeffekt och andel täckningsgrad, samt årsenergi utifrån antaget COP och antagen drifttid.</t>
        </is>
      </c>
    </row>
    <row r="15" ht="52.5" customHeight="1">
      <c r="A15" s="232" t="inlineStr">
        <is>
          <t>Byte fönster</t>
        </is>
      </c>
      <c r="B15" s="281" t="inlineStr">
        <is>
          <t>Byte av befintliga fönster till nya energieffektiva fönster med lägre U-värde. Åtgärden minskar transmissionsförlusterna genom klimatskärmen och ger ett bättre inomhusklimat samt minskad risk för drag och kallras.</t>
        </is>
      </c>
      <c r="D15" s="281" t="inlineStr">
        <is>
          <t>Beräkning av befintlig och ny transmissionsförlust utifrån U-värde före/efter och fönsterarea, omräknat med gradtimmar till årsenergi.</t>
        </is>
      </c>
    </row>
  </sheetData>
  <pageMargins left="0.7" right="0.7" top="0.75" bottom="0.75" header="0.511811023622047" footer="0.511811023622047"/>
  <pageSetup orientation="portrait" paperSize="9" horizontalDpi="300" verticalDpi="300"/>
</worksheet>
</file>

<file path=xl/worksheets/sheet27.xml><?xml version="1.0" encoding="utf-8"?>
<worksheet xmlns="http://schemas.openxmlformats.org/spreadsheetml/2006/main">
  <sheetPr>
    <outlinePr summaryBelow="1" summaryRight="1"/>
    <pageSetUpPr/>
  </sheetPr>
  <dimension ref="A1:Z319"/>
  <sheetViews>
    <sheetView zoomScaleNormal="100" workbookViewId="0">
      <selection activeCell="H115" sqref="H115"/>
    </sheetView>
  </sheetViews>
  <sheetFormatPr baseColWidth="8" defaultColWidth="8.7265625" defaultRowHeight="14.5"/>
  <cols>
    <col width="40" customWidth="1" min="1" max="1"/>
    <col width="9" customWidth="1" min="2" max="19"/>
    <col width="28" customWidth="1" min="21" max="26"/>
  </cols>
  <sheetData>
    <row r="1" ht="21.75" customHeight="1">
      <c r="A1" s="15" t="inlineStr">
        <is>
          <t>Regelvärden BFS 2026:9 och BFS 2026:10</t>
        </is>
      </c>
    </row>
    <row r="2" ht="15" customHeight="1">
      <c r="A2" s="18" t="inlineStr">
        <is>
          <t>Tabellerna används av beräkningsflikarna. Ändra bara om föreskrifterna ändras.</t>
        </is>
      </c>
    </row>
    <row r="3" ht="15" customHeight="1">
      <c r="A3" s="16" t="inlineStr">
        <is>
          <t>Viktningsfaktorer per energibärare (BFS 2026:9 bilaga 1 tabell 1)</t>
        </is>
      </c>
    </row>
    <row r="4" ht="15" customHeight="1">
      <c r="A4" s="37" t="inlineStr">
        <is>
          <t>El</t>
        </is>
      </c>
      <c r="B4" s="344" t="n">
        <v>1.8</v>
      </c>
      <c r="U4" s="16" t="inlineStr">
        <is>
          <t>Energibärare</t>
        </is>
      </c>
      <c r="V4" s="16" t="inlineStr">
        <is>
          <t>Ändamål</t>
        </is>
      </c>
      <c r="W4" s="16" t="inlineStr">
        <is>
          <t>Försörjer</t>
        </is>
      </c>
      <c r="X4" s="16" t="inlineStr">
        <is>
          <t>Ja/Nej</t>
        </is>
      </c>
      <c r="Y4" s="16" t="inlineStr">
        <is>
          <t>Kulvertförluster</t>
        </is>
      </c>
      <c r="Z4" s="16" t="inlineStr">
        <is>
          <t>Solel fördelas</t>
        </is>
      </c>
    </row>
    <row r="5" ht="15" customHeight="1">
      <c r="A5" s="37" t="inlineStr">
        <is>
          <t>Fjärrvärme</t>
        </is>
      </c>
      <c r="B5" s="344" t="n">
        <v>0.7</v>
      </c>
      <c r="U5" t="inlineStr">
        <is>
          <t>Fjärrvärme</t>
        </is>
      </c>
      <c r="V5" t="inlineStr">
        <is>
          <t>Värme och tappvarmvatten</t>
        </is>
      </c>
      <c r="W5" t="inlineStr">
        <is>
          <t>Alla</t>
        </is>
      </c>
      <c r="X5" t="inlineStr">
        <is>
          <t>Ja</t>
        </is>
      </c>
      <c r="Y5" t="inlineStr">
        <is>
          <t>Fördelas på byggnaderna</t>
        </is>
      </c>
      <c r="Z5" t="inlineStr">
        <is>
          <t>Gemensamt för fastigheten</t>
        </is>
      </c>
    </row>
    <row r="6" ht="15" customHeight="1">
      <c r="A6" s="37" t="inlineStr">
        <is>
          <t>Fjärrkyla</t>
        </is>
      </c>
      <c r="B6" s="344" t="n">
        <v>0.6</v>
      </c>
      <c r="U6" t="inlineStr">
        <is>
          <t>Olja</t>
        </is>
      </c>
      <c r="V6" t="inlineStr">
        <is>
          <t>Endast uppvärmning</t>
        </is>
      </c>
      <c r="W6" t="inlineStr">
        <is>
          <t>Byggnad 1</t>
        </is>
      </c>
      <c r="X6" t="inlineStr">
        <is>
          <t>Nej</t>
        </is>
      </c>
      <c r="Y6" t="inlineStr">
        <is>
          <t>Räknas bort</t>
        </is>
      </c>
      <c r="Z6" t="inlineStr">
        <is>
          <t>Per byggnad</t>
        </is>
      </c>
    </row>
    <row r="7" ht="15" customHeight="1">
      <c r="A7" s="37" t="inlineStr">
        <is>
          <t>Förnybara bränslen</t>
        </is>
      </c>
      <c r="B7" s="344" t="n">
        <v>0.6</v>
      </c>
      <c r="U7" t="inlineStr">
        <is>
          <t>Gas</t>
        </is>
      </c>
      <c r="V7" t="inlineStr">
        <is>
          <t>Endast tappvarmvatten inkl. VVC</t>
        </is>
      </c>
      <c r="W7" t="inlineStr">
        <is>
          <t>Byggnad 2</t>
        </is>
      </c>
    </row>
    <row r="8" ht="15" customHeight="1">
      <c r="A8" s="37" t="inlineStr">
        <is>
          <t>Fossila bränslen</t>
        </is>
      </c>
      <c r="B8" s="344" t="n">
        <v>1.8</v>
      </c>
      <c r="U8" t="inlineStr">
        <is>
          <t>Pellets/flis/briketter</t>
        </is>
      </c>
      <c r="V8" t="inlineStr">
        <is>
          <t>Komfortkyla</t>
        </is>
      </c>
      <c r="W8" t="inlineStr">
        <is>
          <t>Byggnad 3</t>
        </is>
      </c>
    </row>
    <row r="9" ht="15" customHeight="1">
      <c r="U9" t="inlineStr">
        <is>
          <t>Ved</t>
        </is>
      </c>
      <c r="W9" t="inlineStr">
        <is>
          <t>Byggnad 4</t>
        </is>
      </c>
    </row>
    <row r="10" ht="15" customHeight="1">
      <c r="A10" s="16" t="inlineStr">
        <is>
          <t>Kategoritypiska värden (BFS 2026:9 bilaga 1) och gränser A + B·Fgeo (BFS 2026:10 bilaga 1, BFS 2026:9 bilaga 2 tabell 1)</t>
        </is>
      </c>
      <c r="U10" t="inlineStr">
        <is>
          <t>Övrigt biobränsle</t>
        </is>
      </c>
      <c r="W10" t="inlineStr">
        <is>
          <t>Byggnad 5</t>
        </is>
      </c>
    </row>
    <row r="11" ht="25.5" customHeight="1">
      <c r="A11" s="50" t="inlineStr">
        <is>
          <t>Kategori</t>
        </is>
      </c>
      <c r="B11" s="50" t="inlineStr">
        <is>
          <t>Innetemp °C</t>
        </is>
      </c>
      <c r="C11" s="50" t="inlineStr">
        <is>
          <t>Uteluft l/s,m²</t>
        </is>
      </c>
      <c r="D11" s="50" t="inlineStr">
        <is>
          <t>Internlast W/m²</t>
        </is>
      </c>
      <c r="E11" s="50" t="inlineStr">
        <is>
          <t>Tappvv kWh/m²</t>
        </is>
      </c>
      <c r="F11" s="50" t="inlineStr">
        <is>
          <t>A: A</t>
        </is>
      </c>
      <c r="G11" s="50" t="inlineStr">
        <is>
          <t>A: B</t>
        </is>
      </c>
      <c r="H11" s="50" t="inlineStr">
        <is>
          <t>B: A</t>
        </is>
      </c>
      <c r="I11" s="50" t="inlineStr">
        <is>
          <t>B: B</t>
        </is>
      </c>
      <c r="J11" s="50" t="inlineStr">
        <is>
          <t>C: A</t>
        </is>
      </c>
      <c r="K11" s="50" t="inlineStr">
        <is>
          <t>C: B</t>
        </is>
      </c>
      <c r="L11" s="50" t="inlineStr">
        <is>
          <t>D: A</t>
        </is>
      </c>
      <c r="M11" s="50" t="inlineStr">
        <is>
          <t>D: B</t>
        </is>
      </c>
      <c r="N11" s="50" t="inlineStr">
        <is>
          <t>E: A</t>
        </is>
      </c>
      <c r="O11" s="50" t="inlineStr">
        <is>
          <t>E: B</t>
        </is>
      </c>
      <c r="P11" s="50" t="inlineStr">
        <is>
          <t>F: A</t>
        </is>
      </c>
      <c r="Q11" s="50" t="inlineStr">
        <is>
          <t>F: B</t>
        </is>
      </c>
      <c r="R11" s="50" t="inlineStr">
        <is>
          <t>Ny byggnad: A</t>
        </is>
      </c>
      <c r="S11" s="50" t="inlineStr">
        <is>
          <t>Ny byggnad: B</t>
        </is>
      </c>
      <c r="U11" t="inlineStr">
        <is>
          <t>Fjärrkyla</t>
        </is>
      </c>
      <c r="W11" t="inlineStr">
        <is>
          <t>Byggnad 6</t>
        </is>
      </c>
    </row>
    <row r="12" ht="15" customHeight="1">
      <c r="A12" s="283" t="inlineStr">
        <is>
          <t>Flerbostadshus</t>
        </is>
      </c>
      <c r="B12" s="283" t="n">
        <v>21</v>
      </c>
      <c r="C12" s="284" t="n">
        <v>0.35</v>
      </c>
      <c r="D12" s="283" t="n">
        <v>3.7</v>
      </c>
      <c r="E12" s="283" t="n">
        <v>25</v>
      </c>
      <c r="F12" s="283" t="n">
        <v>39</v>
      </c>
      <c r="G12" s="283" t="n">
        <v>29</v>
      </c>
      <c r="H12" s="283" t="n">
        <v>41</v>
      </c>
      <c r="I12" s="283" t="n">
        <v>42</v>
      </c>
      <c r="J12" s="283" t="n">
        <v>44</v>
      </c>
      <c r="K12" s="283" t="n">
        <v>54</v>
      </c>
      <c r="L12" s="283" t="n">
        <v>46</v>
      </c>
      <c r="M12" s="283" t="n">
        <v>66</v>
      </c>
      <c r="N12" s="283" t="n">
        <v>48</v>
      </c>
      <c r="O12" s="283" t="n">
        <v>79</v>
      </c>
      <c r="P12" s="283" t="n">
        <v>51</v>
      </c>
      <c r="Q12" s="283" t="n">
        <v>93</v>
      </c>
      <c r="R12" s="283" t="n">
        <v>40</v>
      </c>
      <c r="S12" s="283" t="n">
        <v>35</v>
      </c>
    </row>
    <row r="13" ht="15" customHeight="1">
      <c r="A13" s="283" t="inlineStr">
        <is>
          <t>En- och tvåbostadshus Atemp &lt; 90 m²</t>
        </is>
      </c>
      <c r="B13" s="283" t="n">
        <v>21</v>
      </c>
      <c r="C13" s="284" t="n">
        <v>0.35</v>
      </c>
      <c r="D13" s="283" t="n">
        <v>3.7</v>
      </c>
      <c r="E13" s="283" t="n">
        <v>20</v>
      </c>
      <c r="F13" s="283" t="n">
        <v>18</v>
      </c>
      <c r="G13" s="283" t="n">
        <v>72</v>
      </c>
      <c r="H13" s="283" t="n">
        <v>23</v>
      </c>
      <c r="I13" s="283" t="n">
        <v>96</v>
      </c>
      <c r="J13" s="283" t="n">
        <v>27</v>
      </c>
      <c r="K13" s="283" t="n">
        <v>121</v>
      </c>
      <c r="L13" s="283" t="n">
        <v>31</v>
      </c>
      <c r="M13" s="283" t="n">
        <v>145</v>
      </c>
      <c r="N13" s="283" t="n">
        <v>36</v>
      </c>
      <c r="O13" s="283" t="n">
        <v>169</v>
      </c>
      <c r="P13" s="283" t="n">
        <v>41</v>
      </c>
      <c r="Q13" s="283" t="n">
        <v>198</v>
      </c>
      <c r="R13" s="283" t="n">
        <v>20</v>
      </c>
      <c r="S13" s="283" t="n">
        <v>80</v>
      </c>
    </row>
    <row r="14" ht="15" customHeight="1">
      <c r="A14" s="283" t="inlineStr">
        <is>
          <t>En- och tvåbostadshus 90–130 m²</t>
        </is>
      </c>
      <c r="B14" s="283" t="n">
        <v>21</v>
      </c>
      <c r="C14" s="284" t="n">
        <v>0.35</v>
      </c>
      <c r="D14" s="283" t="n">
        <v>3.7</v>
      </c>
      <c r="E14" s="283" t="n">
        <v>20</v>
      </c>
      <c r="F14" s="283" t="n">
        <v>18</v>
      </c>
      <c r="G14" s="283" t="n">
        <v>68</v>
      </c>
      <c r="H14" s="283" t="n">
        <v>21</v>
      </c>
      <c r="I14" s="283" t="n">
        <v>89</v>
      </c>
      <c r="J14" s="283" t="n">
        <v>25</v>
      </c>
      <c r="K14" s="283" t="n">
        <v>109</v>
      </c>
      <c r="L14" s="283" t="n">
        <v>29</v>
      </c>
      <c r="M14" s="283" t="n">
        <v>129</v>
      </c>
      <c r="N14" s="283" t="n">
        <v>32</v>
      </c>
      <c r="O14" s="283" t="n">
        <v>150</v>
      </c>
      <c r="P14" s="283" t="n">
        <v>37</v>
      </c>
      <c r="Q14" s="283" t="n">
        <v>176</v>
      </c>
      <c r="R14" s="283" t="n">
        <v>19</v>
      </c>
      <c r="S14" s="283" t="n">
        <v>76</v>
      </c>
    </row>
    <row r="15" ht="15" customHeight="1">
      <c r="A15" s="283" t="inlineStr">
        <is>
          <t>En- och tvåbostadshus Atemp ≥ 130 m²</t>
        </is>
      </c>
      <c r="B15" s="283" t="n">
        <v>21</v>
      </c>
      <c r="C15" s="284" t="n">
        <v>0.35</v>
      </c>
      <c r="D15" s="283" t="n">
        <v>3.7</v>
      </c>
      <c r="E15" s="283" t="n">
        <v>20</v>
      </c>
      <c r="F15" s="283" t="n">
        <v>17</v>
      </c>
      <c r="G15" s="283" t="n">
        <v>64</v>
      </c>
      <c r="H15" s="283" t="n">
        <v>20</v>
      </c>
      <c r="I15" s="283" t="n">
        <v>80</v>
      </c>
      <c r="J15" s="283" t="n">
        <v>23</v>
      </c>
      <c r="K15" s="283" t="n">
        <v>96</v>
      </c>
      <c r="L15" s="283" t="n">
        <v>26</v>
      </c>
      <c r="M15" s="283" t="n">
        <v>112</v>
      </c>
      <c r="N15" s="283" t="n">
        <v>28</v>
      </c>
      <c r="O15" s="283" t="n">
        <v>129</v>
      </c>
      <c r="P15" s="283" t="n">
        <v>33</v>
      </c>
      <c r="Q15" s="283" t="n">
        <v>151</v>
      </c>
      <c r="R15" s="283" t="n">
        <v>18</v>
      </c>
      <c r="S15" s="283" t="n">
        <v>72</v>
      </c>
    </row>
    <row r="16" ht="15" customHeight="1">
      <c r="A16" s="283" t="inlineStr">
        <is>
          <t>Kontor</t>
        </is>
      </c>
      <c r="B16" s="283" t="n">
        <v>21</v>
      </c>
      <c r="C16" s="284" t="n">
        <v>0.43</v>
      </c>
      <c r="D16" s="283" t="n">
        <v>4.6</v>
      </c>
      <c r="E16" s="283" t="n">
        <v>4</v>
      </c>
      <c r="F16" s="283" t="n">
        <v>27</v>
      </c>
      <c r="G16" s="283" t="n">
        <v>41</v>
      </c>
      <c r="H16" s="283" t="n">
        <v>34</v>
      </c>
      <c r="I16" s="283" t="n">
        <v>59</v>
      </c>
      <c r="J16" s="283" t="n">
        <v>40</v>
      </c>
      <c r="K16" s="283" t="n">
        <v>78</v>
      </c>
      <c r="L16" s="283" t="n">
        <v>47</v>
      </c>
      <c r="M16" s="283" t="n">
        <v>95</v>
      </c>
      <c r="N16" s="283" t="n">
        <v>53</v>
      </c>
      <c r="O16" s="283" t="n">
        <v>114</v>
      </c>
      <c r="P16" s="283" t="n">
        <v>62</v>
      </c>
      <c r="Q16" s="283" t="n">
        <v>142</v>
      </c>
      <c r="R16" s="283" t="n">
        <v>29</v>
      </c>
      <c r="S16" s="283" t="n">
        <v>46</v>
      </c>
    </row>
    <row r="17" ht="15" customHeight="1">
      <c r="A17" s="283" t="inlineStr">
        <is>
          <t>Utbildning</t>
        </is>
      </c>
      <c r="B17" s="283" t="n">
        <v>21</v>
      </c>
      <c r="C17" s="284" t="n">
        <v>0.84</v>
      </c>
      <c r="D17" s="283" t="n">
        <v>5.4</v>
      </c>
      <c r="E17" s="283" t="n">
        <v>7</v>
      </c>
      <c r="F17" s="283" t="n">
        <v>36</v>
      </c>
      <c r="G17" s="283" t="n">
        <v>38</v>
      </c>
      <c r="H17" s="283" t="n">
        <v>42</v>
      </c>
      <c r="I17" s="283" t="n">
        <v>59</v>
      </c>
      <c r="J17" s="283" t="n">
        <v>47</v>
      </c>
      <c r="K17" s="283" t="n">
        <v>82</v>
      </c>
      <c r="L17" s="283" t="n">
        <v>53</v>
      </c>
      <c r="M17" s="283" t="n">
        <v>103</v>
      </c>
      <c r="N17" s="283" t="n">
        <v>59</v>
      </c>
      <c r="O17" s="283" t="n">
        <v>124</v>
      </c>
      <c r="P17" s="283" t="n">
        <v>68</v>
      </c>
      <c r="Q17" s="283" t="n">
        <v>161</v>
      </c>
      <c r="R17" s="283" t="n">
        <v>38</v>
      </c>
      <c r="S17" s="283" t="n">
        <v>44</v>
      </c>
    </row>
    <row r="18" ht="15" customHeight="1">
      <c r="A18" s="283" t="inlineStr">
        <is>
          <t>Sjukhus</t>
        </is>
      </c>
      <c r="B18" s="283" t="n">
        <v>22</v>
      </c>
      <c r="C18" s="284" t="n">
        <v>1.8</v>
      </c>
      <c r="D18" s="283" t="n">
        <v>7.3</v>
      </c>
      <c r="E18" s="283" t="n">
        <v>17</v>
      </c>
      <c r="F18" s="283" t="n">
        <v>74</v>
      </c>
      <c r="G18" s="283" t="n">
        <v>37</v>
      </c>
      <c r="H18" s="283" t="n">
        <v>81</v>
      </c>
      <c r="I18" s="283" t="n">
        <v>50</v>
      </c>
      <c r="J18" s="283" t="n">
        <v>88</v>
      </c>
      <c r="K18" s="283" t="n">
        <v>63</v>
      </c>
      <c r="L18" s="283" t="n">
        <v>95</v>
      </c>
      <c r="M18" s="283" t="n">
        <v>76</v>
      </c>
      <c r="N18" s="283" t="n">
        <v>102</v>
      </c>
      <c r="O18" s="283" t="n">
        <v>89</v>
      </c>
      <c r="P18" s="283" t="n">
        <v>118</v>
      </c>
      <c r="Q18" s="283" t="n">
        <v>120</v>
      </c>
      <c r="R18" s="283" t="n">
        <v>78</v>
      </c>
      <c r="S18" s="283" t="n">
        <v>45</v>
      </c>
    </row>
    <row r="19" ht="15" customHeight="1">
      <c r="A19" s="283" t="inlineStr">
        <is>
          <t>Logi och restaurang</t>
        </is>
      </c>
      <c r="B19" s="283" t="n">
        <v>22</v>
      </c>
      <c r="C19" s="284" t="n">
        <v>1.4</v>
      </c>
      <c r="D19" s="283" t="n">
        <v>7</v>
      </c>
      <c r="E19" s="283" t="n">
        <v>24</v>
      </c>
      <c r="F19" s="283" t="n">
        <v>70</v>
      </c>
      <c r="G19" s="283" t="n">
        <v>22</v>
      </c>
      <c r="H19" s="283" t="n">
        <v>78</v>
      </c>
      <c r="I19" s="283" t="n">
        <v>53</v>
      </c>
      <c r="J19" s="283" t="n">
        <v>87</v>
      </c>
      <c r="K19" s="283" t="n">
        <v>83</v>
      </c>
      <c r="L19" s="283" t="n">
        <v>95</v>
      </c>
      <c r="M19" s="283" t="n">
        <v>114</v>
      </c>
      <c r="N19" s="283" t="n">
        <v>104</v>
      </c>
      <c r="O19" s="283" t="n">
        <v>144</v>
      </c>
      <c r="P19" s="283" t="n">
        <v>116</v>
      </c>
      <c r="Q19" s="283" t="n">
        <v>185</v>
      </c>
      <c r="R19" s="283" t="n">
        <v>72</v>
      </c>
      <c r="S19" s="283" t="n">
        <v>30</v>
      </c>
    </row>
    <row r="20" ht="15" customHeight="1">
      <c r="A20" s="283" t="inlineStr">
        <is>
          <t>Idrott</t>
        </is>
      </c>
      <c r="B20" s="283" t="n">
        <v>20</v>
      </c>
      <c r="C20" s="284" t="n">
        <v>0.88</v>
      </c>
      <c r="D20" s="283" t="n">
        <v>7.1</v>
      </c>
      <c r="E20" s="283" t="n">
        <v>17</v>
      </c>
      <c r="F20" s="283" t="n">
        <v>40</v>
      </c>
      <c r="G20" s="283" t="n">
        <v>41</v>
      </c>
      <c r="H20" s="283" t="n">
        <v>46</v>
      </c>
      <c r="I20" s="283" t="n">
        <v>68</v>
      </c>
      <c r="J20" s="283" t="n">
        <v>53</v>
      </c>
      <c r="K20" s="283" t="n">
        <v>93</v>
      </c>
      <c r="L20" s="283" t="n">
        <v>59</v>
      </c>
      <c r="M20" s="283" t="n">
        <v>120</v>
      </c>
      <c r="N20" s="283" t="n">
        <v>66</v>
      </c>
      <c r="O20" s="283" t="n">
        <v>145</v>
      </c>
      <c r="P20" s="283" t="n">
        <v>75</v>
      </c>
      <c r="Q20" s="283" t="n">
        <v>185</v>
      </c>
      <c r="R20" s="283" t="n">
        <v>42</v>
      </c>
      <c r="S20" s="283" t="n">
        <v>48</v>
      </c>
    </row>
    <row r="21" ht="15" customHeight="1">
      <c r="A21" s="283" t="inlineStr">
        <is>
          <t>Handel och kultur</t>
        </is>
      </c>
      <c r="B21" s="283" t="n">
        <v>20</v>
      </c>
      <c r="C21" s="284" t="n">
        <v>1.1</v>
      </c>
      <c r="D21" s="283" t="n">
        <v>7.9</v>
      </c>
      <c r="E21" s="283" t="n">
        <v>10</v>
      </c>
      <c r="F21" s="283" t="n">
        <v>55</v>
      </c>
      <c r="G21" s="283" t="n">
        <v>34</v>
      </c>
      <c r="H21" s="283" t="n">
        <v>62</v>
      </c>
      <c r="I21" s="283" t="n">
        <v>49</v>
      </c>
      <c r="J21" s="283" t="n">
        <v>69</v>
      </c>
      <c r="K21" s="283" t="n">
        <v>64</v>
      </c>
      <c r="L21" s="283" t="n">
        <v>76</v>
      </c>
      <c r="M21" s="283" t="n">
        <v>78</v>
      </c>
      <c r="N21" s="283" t="n">
        <v>82</v>
      </c>
      <c r="O21" s="283" t="n">
        <v>94</v>
      </c>
      <c r="P21" s="283" t="n">
        <v>95</v>
      </c>
      <c r="Q21" s="283" t="n">
        <v>122</v>
      </c>
      <c r="R21" s="283" t="n">
        <v>58</v>
      </c>
      <c r="S21" s="283" t="n">
        <v>41</v>
      </c>
    </row>
    <row r="22" ht="15" customHeight="1">
      <c r="A22" s="283" t="inlineStr">
        <is>
          <t>Annan typ av energianvändande byggnad</t>
        </is>
      </c>
      <c r="B22" s="283" t="n">
        <v>15</v>
      </c>
      <c r="C22" s="284" t="n">
        <v>0.1</v>
      </c>
      <c r="D22" s="283" t="n">
        <v>2.1</v>
      </c>
      <c r="E22" s="283" t="n">
        <v>5</v>
      </c>
      <c r="F22" s="283" t="n">
        <v>15</v>
      </c>
      <c r="G22" s="283" t="n">
        <v>25</v>
      </c>
      <c r="H22" s="283" t="n">
        <v>22</v>
      </c>
      <c r="I22" s="283" t="n">
        <v>55</v>
      </c>
      <c r="J22" s="283" t="n">
        <v>29</v>
      </c>
      <c r="K22" s="283" t="n">
        <v>85</v>
      </c>
      <c r="L22" s="283" t="n">
        <v>37</v>
      </c>
      <c r="M22" s="283" t="n">
        <v>113</v>
      </c>
      <c r="N22" s="283" t="n">
        <v>44</v>
      </c>
      <c r="O22" s="283" t="n">
        <v>143</v>
      </c>
      <c r="P22" s="283" t="n">
        <v>54</v>
      </c>
      <c r="Q22" s="283" t="n">
        <v>185</v>
      </c>
      <c r="R22" s="283" t="n">
        <v>16</v>
      </c>
      <c r="S22" s="283" t="n">
        <v>28</v>
      </c>
    </row>
    <row r="24" ht="15" customHeight="1">
      <c r="A24" s="16" t="inlineStr">
        <is>
          <t>Byggnadstyp (bostadsdel)</t>
        </is>
      </c>
    </row>
    <row r="25" ht="15" customHeight="1">
      <c r="A25" s="37" t="inlineStr">
        <is>
          <t>Flerbostadshus</t>
        </is>
      </c>
    </row>
    <row r="26" ht="15" customHeight="1">
      <c r="A26" s="37" t="inlineStr">
        <is>
          <t>En- och tvåbostadshus</t>
        </is>
      </c>
    </row>
    <row r="28" ht="15" customHeight="1">
      <c r="A28" s="16" t="inlineStr">
        <is>
          <t>Fgeo per kommun (BFS 2026:9 bilaga 3)</t>
        </is>
      </c>
    </row>
    <row r="29" ht="15" customHeight="1">
      <c r="A29" s="16" t="inlineStr">
        <is>
          <t>Kommun</t>
        </is>
      </c>
      <c r="B29" s="16" t="inlineStr">
        <is>
          <t>Fgeo</t>
        </is>
      </c>
    </row>
    <row r="30" ht="15" customHeight="1">
      <c r="A30" t="inlineStr">
        <is>
          <t>Ale</t>
        </is>
      </c>
      <c r="B30" s="335" t="n">
        <v>0.9</v>
      </c>
    </row>
    <row r="31" ht="15" customHeight="1">
      <c r="A31" t="inlineStr">
        <is>
          <t>Alingsås</t>
        </is>
      </c>
      <c r="B31" s="335" t="n">
        <v>1</v>
      </c>
    </row>
    <row r="32" ht="15" customHeight="1">
      <c r="A32" t="inlineStr">
        <is>
          <t>Alvesta</t>
        </is>
      </c>
      <c r="B32" s="335" t="n">
        <v>1</v>
      </c>
    </row>
    <row r="33" ht="15" customHeight="1">
      <c r="A33" t="inlineStr">
        <is>
          <t>Aneby</t>
        </is>
      </c>
      <c r="B33" s="335" t="n">
        <v>1</v>
      </c>
    </row>
    <row r="34" ht="15" customHeight="1">
      <c r="A34" t="inlineStr">
        <is>
          <t>Arboga</t>
        </is>
      </c>
      <c r="B34" s="335" t="n">
        <v>1</v>
      </c>
    </row>
    <row r="35" ht="15" customHeight="1">
      <c r="A35" t="inlineStr">
        <is>
          <t>Arjeplog</t>
        </is>
      </c>
      <c r="B35" s="335" t="n">
        <v>1.7</v>
      </c>
    </row>
    <row r="36" ht="15" customHeight="1">
      <c r="A36" t="inlineStr">
        <is>
          <t>Arvidsjaur</t>
        </is>
      </c>
      <c r="B36" s="335" t="n">
        <v>1.6</v>
      </c>
    </row>
    <row r="37" ht="15" customHeight="1">
      <c r="A37" t="inlineStr">
        <is>
          <t>Arvika</t>
        </is>
      </c>
      <c r="B37" s="335" t="n">
        <v>1.1</v>
      </c>
    </row>
    <row r="38" ht="15" customHeight="1">
      <c r="A38" t="inlineStr">
        <is>
          <t>Askersund</t>
        </is>
      </c>
      <c r="B38" s="335" t="n">
        <v>1</v>
      </c>
    </row>
    <row r="39" ht="15" customHeight="1">
      <c r="A39" t="inlineStr">
        <is>
          <t>Avesta</t>
        </is>
      </c>
      <c r="B39" s="335" t="n">
        <v>1.1</v>
      </c>
    </row>
    <row r="40" ht="15" customHeight="1">
      <c r="A40" t="inlineStr">
        <is>
          <t>Bengtsfors</t>
        </is>
      </c>
      <c r="B40" s="335" t="n">
        <v>1</v>
      </c>
    </row>
    <row r="41" ht="15" customHeight="1">
      <c r="A41" t="inlineStr">
        <is>
          <t>Berg</t>
        </is>
      </c>
      <c r="B41" s="335" t="n">
        <v>1.4</v>
      </c>
    </row>
    <row r="42" ht="15" customHeight="1">
      <c r="A42" t="inlineStr">
        <is>
          <t>Bjurholm</t>
        </is>
      </c>
      <c r="B42" s="335" t="n">
        <v>1.4</v>
      </c>
    </row>
    <row r="43" ht="15" customHeight="1">
      <c r="A43" t="inlineStr">
        <is>
          <t>Bjuv</t>
        </is>
      </c>
      <c r="B43" s="335" t="n">
        <v>0.8</v>
      </c>
    </row>
    <row r="44" ht="15" customHeight="1">
      <c r="A44" t="inlineStr">
        <is>
          <t>Boden</t>
        </is>
      </c>
      <c r="B44" s="335" t="n">
        <v>1.6</v>
      </c>
    </row>
    <row r="45" ht="15" customHeight="1">
      <c r="A45" t="inlineStr">
        <is>
          <t>Bollebygd</t>
        </is>
      </c>
      <c r="B45" s="335" t="n">
        <v>1</v>
      </c>
    </row>
    <row r="46" ht="15" customHeight="1">
      <c r="A46" t="inlineStr">
        <is>
          <t>Bollnäs</t>
        </is>
      </c>
      <c r="B46" s="335" t="n">
        <v>1.2</v>
      </c>
    </row>
    <row r="47" ht="15" customHeight="1">
      <c r="A47" t="inlineStr">
        <is>
          <t>Borgholm</t>
        </is>
      </c>
      <c r="B47" s="335" t="n">
        <v>0.8</v>
      </c>
    </row>
    <row r="48" ht="15" customHeight="1">
      <c r="A48" t="inlineStr">
        <is>
          <t>Borlänge</t>
        </is>
      </c>
      <c r="B48" s="335" t="n">
        <v>1.1</v>
      </c>
    </row>
    <row r="49" ht="15" customHeight="1">
      <c r="A49" t="inlineStr">
        <is>
          <t>Borås</t>
        </is>
      </c>
      <c r="B49" s="335" t="n">
        <v>1</v>
      </c>
    </row>
    <row r="50" ht="15" customHeight="1">
      <c r="A50" t="inlineStr">
        <is>
          <t>Botkyrka</t>
        </is>
      </c>
      <c r="B50" s="335" t="n">
        <v>1</v>
      </c>
    </row>
    <row r="51" ht="15" customHeight="1">
      <c r="A51" t="inlineStr">
        <is>
          <t>Boxholm</t>
        </is>
      </c>
      <c r="B51" s="335" t="n">
        <v>1</v>
      </c>
    </row>
    <row r="52" ht="15" customHeight="1">
      <c r="A52" t="inlineStr">
        <is>
          <t>Bromölla</t>
        </is>
      </c>
      <c r="B52" s="335" t="n">
        <v>0.8</v>
      </c>
    </row>
    <row r="53" ht="15" customHeight="1">
      <c r="A53" t="inlineStr">
        <is>
          <t>Bräcke</t>
        </is>
      </c>
      <c r="B53" s="335" t="n">
        <v>1.4</v>
      </c>
    </row>
    <row r="54" ht="15" customHeight="1">
      <c r="A54" t="inlineStr">
        <is>
          <t>Burlöv</t>
        </is>
      </c>
      <c r="B54" s="335" t="n">
        <v>0.8</v>
      </c>
    </row>
    <row r="55" ht="15" customHeight="1">
      <c r="A55" t="inlineStr">
        <is>
          <t>Båstad</t>
        </is>
      </c>
      <c r="B55" s="335" t="n">
        <v>0.8</v>
      </c>
    </row>
    <row r="56" ht="15" customHeight="1">
      <c r="A56" t="inlineStr">
        <is>
          <t>Dals-Ed</t>
        </is>
      </c>
      <c r="B56" s="335" t="n">
        <v>1</v>
      </c>
    </row>
    <row r="57" ht="15" customHeight="1">
      <c r="A57" t="inlineStr">
        <is>
          <t>Danderyd</t>
        </is>
      </c>
      <c r="B57" s="335" t="n">
        <v>1</v>
      </c>
    </row>
    <row r="58" ht="15" customHeight="1">
      <c r="A58" t="inlineStr">
        <is>
          <t>Degerfors</t>
        </is>
      </c>
      <c r="B58" s="335" t="n">
        <v>1</v>
      </c>
    </row>
    <row r="59" ht="15" customHeight="1">
      <c r="A59" t="inlineStr">
        <is>
          <t>Dorotea</t>
        </is>
      </c>
      <c r="B59" s="335" t="n">
        <v>1.5</v>
      </c>
    </row>
    <row r="60" ht="15" customHeight="1">
      <c r="A60" t="inlineStr">
        <is>
          <t>Eda</t>
        </is>
      </c>
      <c r="B60" s="335" t="n">
        <v>1.1</v>
      </c>
    </row>
    <row r="61" ht="15" customHeight="1">
      <c r="A61" t="inlineStr">
        <is>
          <t>Ekerö</t>
        </is>
      </c>
      <c r="B61" s="335" t="n">
        <v>1</v>
      </c>
    </row>
    <row r="62" ht="15" customHeight="1">
      <c r="A62" t="inlineStr">
        <is>
          <t>Eksjö</t>
        </is>
      </c>
      <c r="B62" s="335" t="n">
        <v>1</v>
      </c>
    </row>
    <row r="63" ht="15" customHeight="1">
      <c r="A63" t="inlineStr">
        <is>
          <t>Emmaboda</t>
        </is>
      </c>
      <c r="B63" s="335" t="n">
        <v>0.9</v>
      </c>
    </row>
    <row r="64" ht="15" customHeight="1">
      <c r="A64" t="inlineStr">
        <is>
          <t>Enköping</t>
        </is>
      </c>
      <c r="B64" s="335" t="n">
        <v>1</v>
      </c>
    </row>
    <row r="65" ht="15" customHeight="1">
      <c r="A65" t="inlineStr">
        <is>
          <t>Eskilstuna</t>
        </is>
      </c>
      <c r="B65" s="335" t="n">
        <v>1</v>
      </c>
    </row>
    <row r="66" ht="15" customHeight="1">
      <c r="A66" t="inlineStr">
        <is>
          <t>Eslöv</t>
        </is>
      </c>
      <c r="B66" s="335" t="n">
        <v>0.8</v>
      </c>
    </row>
    <row r="67" ht="15" customHeight="1">
      <c r="A67" t="inlineStr">
        <is>
          <t>Essunga</t>
        </is>
      </c>
      <c r="B67" s="335" t="n">
        <v>1</v>
      </c>
    </row>
    <row r="68" ht="15" customHeight="1">
      <c r="A68" t="inlineStr">
        <is>
          <t>Fagersta</t>
        </is>
      </c>
      <c r="B68" s="335" t="n">
        <v>1.1</v>
      </c>
    </row>
    <row r="69" ht="15" customHeight="1">
      <c r="A69" t="inlineStr">
        <is>
          <t>Falkenberg</t>
        </is>
      </c>
      <c r="B69" s="335" t="n">
        <v>0.8</v>
      </c>
    </row>
    <row r="70" ht="15" customHeight="1">
      <c r="A70" t="inlineStr">
        <is>
          <t>Falköping</t>
        </is>
      </c>
      <c r="B70" s="335" t="n">
        <v>1</v>
      </c>
    </row>
    <row r="71" ht="15" customHeight="1">
      <c r="A71" t="inlineStr">
        <is>
          <t>Falun</t>
        </is>
      </c>
      <c r="B71" s="335" t="n">
        <v>1.1</v>
      </c>
    </row>
    <row r="72" ht="15" customHeight="1">
      <c r="A72" t="inlineStr">
        <is>
          <t>Filipstad</t>
        </is>
      </c>
      <c r="B72" s="335" t="n">
        <v>1.1</v>
      </c>
    </row>
    <row r="73" ht="15" customHeight="1">
      <c r="A73" t="inlineStr">
        <is>
          <t>Finspång</t>
        </is>
      </c>
      <c r="B73" s="335" t="n">
        <v>1</v>
      </c>
    </row>
    <row r="74" ht="15" customHeight="1">
      <c r="A74" t="inlineStr">
        <is>
          <t>Flen</t>
        </is>
      </c>
      <c r="B74" s="335" t="n">
        <v>1</v>
      </c>
    </row>
    <row r="75" ht="15" customHeight="1">
      <c r="A75" t="inlineStr">
        <is>
          <t>Forshaga</t>
        </is>
      </c>
      <c r="B75" s="335" t="n">
        <v>1</v>
      </c>
    </row>
    <row r="76" ht="15" customHeight="1">
      <c r="A76" t="inlineStr">
        <is>
          <t>Färgelanda</t>
        </is>
      </c>
      <c r="B76" s="335" t="n">
        <v>1</v>
      </c>
    </row>
    <row r="77" ht="15" customHeight="1">
      <c r="A77" t="inlineStr">
        <is>
          <t>Gagnef</t>
        </is>
      </c>
      <c r="B77" s="335" t="n">
        <v>1.2</v>
      </c>
    </row>
    <row r="78" ht="15" customHeight="1">
      <c r="A78" t="inlineStr">
        <is>
          <t>Gislaved</t>
        </is>
      </c>
      <c r="B78" s="335" t="n">
        <v>1</v>
      </c>
    </row>
    <row r="79" ht="15" customHeight="1">
      <c r="A79" t="inlineStr">
        <is>
          <t>Gnesta</t>
        </is>
      </c>
      <c r="B79" s="335" t="n">
        <v>1</v>
      </c>
    </row>
    <row r="80" ht="15" customHeight="1">
      <c r="A80" t="inlineStr">
        <is>
          <t>Gnosjö</t>
        </is>
      </c>
      <c r="B80" s="335" t="n">
        <v>1</v>
      </c>
    </row>
    <row r="81" ht="15" customHeight="1">
      <c r="A81" t="inlineStr">
        <is>
          <t>Gotland</t>
        </is>
      </c>
      <c r="B81" s="335" t="n">
        <v>0.9</v>
      </c>
    </row>
    <row r="82" ht="15" customHeight="1">
      <c r="A82" t="inlineStr">
        <is>
          <t>Grums</t>
        </is>
      </c>
      <c r="B82" s="335" t="n">
        <v>1</v>
      </c>
    </row>
    <row r="83" ht="15" customHeight="1">
      <c r="A83" t="inlineStr">
        <is>
          <t>Grästorp</t>
        </is>
      </c>
      <c r="B83" s="335" t="n">
        <v>0.9</v>
      </c>
    </row>
    <row r="84" ht="15" customHeight="1">
      <c r="A84" t="inlineStr">
        <is>
          <t>Gullspång</t>
        </is>
      </c>
      <c r="B84" s="335" t="n">
        <v>1</v>
      </c>
    </row>
    <row r="85" ht="15" customHeight="1">
      <c r="A85" t="inlineStr">
        <is>
          <t>Gällivare</t>
        </is>
      </c>
      <c r="B85" s="335" t="n">
        <v>1.8</v>
      </c>
    </row>
    <row r="86" ht="15" customHeight="1">
      <c r="A86" t="inlineStr">
        <is>
          <t>Gävle</t>
        </is>
      </c>
      <c r="B86" s="335" t="n">
        <v>1.1</v>
      </c>
    </row>
    <row r="87" ht="15" customHeight="1">
      <c r="A87" t="inlineStr">
        <is>
          <t>Göteborg</t>
        </is>
      </c>
      <c r="B87" s="335" t="n">
        <v>0.9</v>
      </c>
    </row>
    <row r="88" ht="15" customHeight="1">
      <c r="A88" t="inlineStr">
        <is>
          <t>Götene</t>
        </is>
      </c>
      <c r="B88" s="335" t="n">
        <v>0.9</v>
      </c>
    </row>
    <row r="89" ht="15" customHeight="1">
      <c r="A89" t="inlineStr">
        <is>
          <t>Habo</t>
        </is>
      </c>
      <c r="B89" s="335" t="n">
        <v>1</v>
      </c>
    </row>
    <row r="90" ht="15" customHeight="1">
      <c r="A90" t="inlineStr">
        <is>
          <t>Hagfors</t>
        </is>
      </c>
      <c r="B90" s="335" t="n">
        <v>1.2</v>
      </c>
    </row>
    <row r="91" ht="15" customHeight="1">
      <c r="A91" t="inlineStr">
        <is>
          <t>Hallsberg</t>
        </is>
      </c>
      <c r="B91" s="335" t="n">
        <v>1</v>
      </c>
    </row>
    <row r="92" ht="15" customHeight="1">
      <c r="A92" t="inlineStr">
        <is>
          <t>Hallstahammar</t>
        </is>
      </c>
      <c r="B92" s="335" t="n">
        <v>1</v>
      </c>
    </row>
    <row r="93" ht="15" customHeight="1">
      <c r="A93" t="inlineStr">
        <is>
          <t>Halmstad</t>
        </is>
      </c>
      <c r="B93" s="335" t="n">
        <v>0.8</v>
      </c>
    </row>
    <row r="94" ht="15" customHeight="1">
      <c r="A94" t="inlineStr">
        <is>
          <t>Hammarö</t>
        </is>
      </c>
      <c r="B94" s="335" t="n">
        <v>1</v>
      </c>
    </row>
    <row r="95" ht="15" customHeight="1">
      <c r="A95" t="inlineStr">
        <is>
          <t>Haninge</t>
        </is>
      </c>
      <c r="B95" s="335" t="n">
        <v>1</v>
      </c>
    </row>
    <row r="96" ht="15" customHeight="1">
      <c r="A96" t="inlineStr">
        <is>
          <t>Haparanda</t>
        </is>
      </c>
      <c r="B96" s="335" t="n">
        <v>1.5</v>
      </c>
    </row>
    <row r="97" ht="15" customHeight="1">
      <c r="A97" t="inlineStr">
        <is>
          <t>Heby</t>
        </is>
      </c>
      <c r="B97" s="335" t="n">
        <v>1.1</v>
      </c>
    </row>
    <row r="98" ht="15" customHeight="1">
      <c r="A98" t="inlineStr">
        <is>
          <t>Hedemora</t>
        </is>
      </c>
      <c r="B98" s="335" t="n">
        <v>1.1</v>
      </c>
    </row>
    <row r="99" ht="15" customHeight="1">
      <c r="A99" t="inlineStr">
        <is>
          <t>Helsingborg</t>
        </is>
      </c>
      <c r="B99" s="335" t="n">
        <v>0.8</v>
      </c>
    </row>
    <row r="100" ht="15" customHeight="1">
      <c r="A100" t="inlineStr">
        <is>
          <t>Herrljunga</t>
        </is>
      </c>
      <c r="B100" s="335" t="n">
        <v>1</v>
      </c>
    </row>
    <row r="101" ht="15" customHeight="1">
      <c r="A101" t="inlineStr">
        <is>
          <t>Hjo</t>
        </is>
      </c>
      <c r="B101" s="335" t="n">
        <v>0.9</v>
      </c>
    </row>
    <row r="102" ht="15" customHeight="1">
      <c r="A102" t="inlineStr">
        <is>
          <t>Hofors</t>
        </is>
      </c>
      <c r="B102" s="335" t="n">
        <v>1.1</v>
      </c>
    </row>
    <row r="103" ht="15" customHeight="1">
      <c r="A103" t="inlineStr">
        <is>
          <t>Huddinge</t>
        </is>
      </c>
      <c r="B103" s="335" t="n">
        <v>1</v>
      </c>
    </row>
    <row r="104" ht="15" customHeight="1">
      <c r="A104" t="inlineStr">
        <is>
          <t>Hudiksvall</t>
        </is>
      </c>
      <c r="B104" s="335" t="n">
        <v>1.1</v>
      </c>
    </row>
    <row r="105" ht="15" customHeight="1">
      <c r="A105" t="inlineStr">
        <is>
          <t>Hultsfred</t>
        </is>
      </c>
      <c r="B105" s="335" t="n">
        <v>1</v>
      </c>
    </row>
    <row r="106" ht="15" customHeight="1">
      <c r="A106" t="inlineStr">
        <is>
          <t>Hylte</t>
        </is>
      </c>
      <c r="B106" s="335" t="n">
        <v>1</v>
      </c>
    </row>
    <row r="107" ht="15" customHeight="1">
      <c r="A107" t="inlineStr">
        <is>
          <t>Håbo</t>
        </is>
      </c>
      <c r="B107" s="335" t="n">
        <v>1</v>
      </c>
    </row>
    <row r="108" ht="15" customHeight="1">
      <c r="A108" t="inlineStr">
        <is>
          <t>Hällefors</t>
        </is>
      </c>
      <c r="B108" s="335" t="n">
        <v>1.1</v>
      </c>
    </row>
    <row r="109" ht="15" customHeight="1">
      <c r="A109" t="inlineStr">
        <is>
          <t>Härjedalen</t>
        </is>
      </c>
      <c r="B109" s="335" t="n">
        <v>1.4</v>
      </c>
    </row>
    <row r="110" ht="15" customHeight="1">
      <c r="A110" t="inlineStr">
        <is>
          <t>Härnösand</t>
        </is>
      </c>
      <c r="B110" s="335" t="n">
        <v>1.2</v>
      </c>
    </row>
    <row r="111" ht="15" customHeight="1">
      <c r="A111" t="inlineStr">
        <is>
          <t>Härryda</t>
        </is>
      </c>
      <c r="B111" s="335" t="n">
        <v>0.9</v>
      </c>
    </row>
    <row r="112" ht="15" customHeight="1">
      <c r="A112" t="inlineStr">
        <is>
          <t>Hässleholm</t>
        </is>
      </c>
      <c r="B112" s="335" t="n">
        <v>0.9</v>
      </c>
    </row>
    <row r="113" ht="15" customHeight="1">
      <c r="A113" t="inlineStr">
        <is>
          <t>Höganäs</t>
        </is>
      </c>
      <c r="B113" s="335" t="n">
        <v>0.8</v>
      </c>
    </row>
    <row r="114" ht="15" customHeight="1">
      <c r="A114" t="inlineStr">
        <is>
          <t>Högsby</t>
        </is>
      </c>
      <c r="B114" s="335" t="n">
        <v>0.9</v>
      </c>
    </row>
    <row r="115" ht="15" customHeight="1">
      <c r="A115" t="inlineStr">
        <is>
          <t>Hörby</t>
        </is>
      </c>
      <c r="B115" s="335" t="n">
        <v>0.9</v>
      </c>
    </row>
    <row r="116" ht="15" customHeight="1">
      <c r="A116" t="inlineStr">
        <is>
          <t>Höör</t>
        </is>
      </c>
      <c r="B116" s="335" t="n">
        <v>0.9</v>
      </c>
    </row>
    <row r="117" ht="15" customHeight="1">
      <c r="A117" t="inlineStr">
        <is>
          <t>Jokkmokk</t>
        </is>
      </c>
      <c r="B117" s="335" t="n">
        <v>1.8</v>
      </c>
    </row>
    <row r="118" ht="15" customHeight="1">
      <c r="A118" t="inlineStr">
        <is>
          <t>Järfälla</t>
        </is>
      </c>
      <c r="B118" s="335" t="n">
        <v>1</v>
      </c>
    </row>
    <row r="119" ht="15" customHeight="1">
      <c r="A119" t="inlineStr">
        <is>
          <t>Jönköping</t>
        </is>
      </c>
      <c r="B119" s="335" t="n">
        <v>1</v>
      </c>
    </row>
    <row r="120" ht="15" customHeight="1">
      <c r="A120" t="inlineStr">
        <is>
          <t>Kalix</t>
        </is>
      </c>
      <c r="B120" s="335" t="n">
        <v>1.5</v>
      </c>
    </row>
    <row r="121" ht="15" customHeight="1">
      <c r="A121" t="inlineStr">
        <is>
          <t>Kalmar</t>
        </is>
      </c>
      <c r="B121" s="335" t="n">
        <v>0.9</v>
      </c>
    </row>
    <row r="122" ht="15" customHeight="1">
      <c r="A122" t="inlineStr">
        <is>
          <t>Karlsborg</t>
        </is>
      </c>
      <c r="B122" s="335" t="n">
        <v>0.9</v>
      </c>
    </row>
    <row r="123" ht="15" customHeight="1">
      <c r="A123" t="inlineStr">
        <is>
          <t>Karlshamn</t>
        </is>
      </c>
      <c r="B123" s="335" t="n">
        <v>0.9</v>
      </c>
    </row>
    <row r="124" ht="15" customHeight="1">
      <c r="A124" t="inlineStr">
        <is>
          <t>Karlskoga</t>
        </is>
      </c>
      <c r="B124" s="335" t="n">
        <v>1.1</v>
      </c>
    </row>
    <row r="125" ht="15" customHeight="1">
      <c r="A125" t="inlineStr">
        <is>
          <t>Karlskrona</t>
        </is>
      </c>
      <c r="B125" s="335" t="n">
        <v>0.8</v>
      </c>
    </row>
    <row r="126" ht="15" customHeight="1">
      <c r="A126" t="inlineStr">
        <is>
          <t>Karlstad</t>
        </is>
      </c>
      <c r="B126" s="335" t="n">
        <v>1</v>
      </c>
    </row>
    <row r="127" ht="15" customHeight="1">
      <c r="A127" t="inlineStr">
        <is>
          <t>Katrineholm</t>
        </is>
      </c>
      <c r="B127" s="335" t="n">
        <v>1</v>
      </c>
    </row>
    <row r="128" ht="15" customHeight="1">
      <c r="A128" t="inlineStr">
        <is>
          <t>Kil</t>
        </is>
      </c>
      <c r="B128" s="335" t="n">
        <v>1</v>
      </c>
    </row>
    <row r="129" ht="15" customHeight="1">
      <c r="A129" t="inlineStr">
        <is>
          <t>Kinda</t>
        </is>
      </c>
      <c r="B129" s="335" t="n">
        <v>1</v>
      </c>
    </row>
    <row r="130" ht="15" customHeight="1">
      <c r="A130" t="inlineStr">
        <is>
          <t>Kiruna</t>
        </is>
      </c>
      <c r="B130" s="335" t="n">
        <v>1.8</v>
      </c>
    </row>
    <row r="131" ht="15" customHeight="1">
      <c r="A131" t="inlineStr">
        <is>
          <t>Klippan</t>
        </is>
      </c>
      <c r="B131" s="335" t="n">
        <v>0.9</v>
      </c>
    </row>
    <row r="132" ht="15" customHeight="1">
      <c r="A132" t="inlineStr">
        <is>
          <t>Knivsta</t>
        </is>
      </c>
      <c r="B132" s="335" t="n">
        <v>1</v>
      </c>
    </row>
    <row r="133" ht="15" customHeight="1">
      <c r="A133" t="inlineStr">
        <is>
          <t>Kramfors</t>
        </is>
      </c>
      <c r="B133" s="335" t="n">
        <v>1.3</v>
      </c>
    </row>
    <row r="134" ht="15" customHeight="1">
      <c r="A134" t="inlineStr">
        <is>
          <t>Kristianstad</t>
        </is>
      </c>
      <c r="B134" s="335" t="n">
        <v>0.8</v>
      </c>
    </row>
    <row r="135" ht="15" customHeight="1">
      <c r="A135" t="inlineStr">
        <is>
          <t>Kristinehamn</t>
        </is>
      </c>
      <c r="B135" s="335" t="n">
        <v>1</v>
      </c>
    </row>
    <row r="136" ht="15" customHeight="1">
      <c r="A136" t="inlineStr">
        <is>
          <t>Krokom</t>
        </is>
      </c>
      <c r="B136" s="335" t="n">
        <v>1.4</v>
      </c>
    </row>
    <row r="137" ht="15" customHeight="1">
      <c r="A137" t="inlineStr">
        <is>
          <t>Kumla</t>
        </is>
      </c>
      <c r="B137" s="335" t="n">
        <v>1</v>
      </c>
    </row>
    <row r="138" ht="15" customHeight="1">
      <c r="A138" t="inlineStr">
        <is>
          <t>Kungsbacka</t>
        </is>
      </c>
      <c r="B138" s="335" t="n">
        <v>0.9</v>
      </c>
    </row>
    <row r="139" ht="15" customHeight="1">
      <c r="A139" t="inlineStr">
        <is>
          <t>Kungsör</t>
        </is>
      </c>
      <c r="B139" s="335" t="n">
        <v>1</v>
      </c>
    </row>
    <row r="140" ht="15" customHeight="1">
      <c r="A140" t="inlineStr">
        <is>
          <t>Kungälv</t>
        </is>
      </c>
      <c r="B140" s="335" t="n">
        <v>0.9</v>
      </c>
    </row>
    <row r="141" ht="15" customHeight="1">
      <c r="A141" t="inlineStr">
        <is>
          <t>Kävlinge</t>
        </is>
      </c>
      <c r="B141" s="335" t="n">
        <v>0.8</v>
      </c>
    </row>
    <row r="142" ht="15" customHeight="1">
      <c r="A142" t="inlineStr">
        <is>
          <t>Köping</t>
        </is>
      </c>
      <c r="B142" s="335" t="n">
        <v>1</v>
      </c>
    </row>
    <row r="143" ht="15" customHeight="1">
      <c r="A143" t="inlineStr">
        <is>
          <t>Laholm</t>
        </is>
      </c>
      <c r="B143" s="335" t="n">
        <v>0.9</v>
      </c>
    </row>
    <row r="144" ht="15" customHeight="1">
      <c r="A144" t="inlineStr">
        <is>
          <t>Landskrona</t>
        </is>
      </c>
      <c r="B144" s="335" t="n">
        <v>0.8</v>
      </c>
    </row>
    <row r="145" ht="15" customHeight="1">
      <c r="A145" t="inlineStr">
        <is>
          <t>Laxå</t>
        </is>
      </c>
      <c r="B145" s="335" t="n">
        <v>1</v>
      </c>
    </row>
    <row r="146" ht="15" customHeight="1">
      <c r="A146" t="inlineStr">
        <is>
          <t>Lekeberg</t>
        </is>
      </c>
      <c r="B146" s="335" t="n">
        <v>1</v>
      </c>
    </row>
    <row r="147" ht="15" customHeight="1">
      <c r="A147" t="inlineStr">
        <is>
          <t>Leksand</t>
        </is>
      </c>
      <c r="B147" s="335" t="n">
        <v>1.2</v>
      </c>
    </row>
    <row r="148" ht="15" customHeight="1">
      <c r="A148" t="inlineStr">
        <is>
          <t>Lerum</t>
        </is>
      </c>
      <c r="B148" s="335" t="n">
        <v>0.9</v>
      </c>
    </row>
    <row r="149" ht="15" customHeight="1">
      <c r="A149" t="inlineStr">
        <is>
          <t>Lessebo</t>
        </is>
      </c>
      <c r="B149" s="335" t="n">
        <v>1</v>
      </c>
    </row>
    <row r="150" ht="15" customHeight="1">
      <c r="A150" t="inlineStr">
        <is>
          <t>Lidingö</t>
        </is>
      </c>
      <c r="B150" s="335" t="n">
        <v>1</v>
      </c>
    </row>
    <row r="151" ht="15" customHeight="1">
      <c r="A151" t="inlineStr">
        <is>
          <t>Lidköping</t>
        </is>
      </c>
      <c r="B151" s="335" t="n">
        <v>0.9</v>
      </c>
    </row>
    <row r="152" ht="15" customHeight="1">
      <c r="A152" t="inlineStr">
        <is>
          <t>Lilla Edet</t>
        </is>
      </c>
      <c r="B152" s="335" t="n">
        <v>0.9</v>
      </c>
    </row>
    <row r="153" ht="15" customHeight="1">
      <c r="A153" t="inlineStr">
        <is>
          <t>Lindesberg</t>
        </is>
      </c>
      <c r="B153" s="335" t="n">
        <v>1.1</v>
      </c>
    </row>
    <row r="154" ht="15" customHeight="1">
      <c r="A154" t="inlineStr">
        <is>
          <t>Linköping</t>
        </is>
      </c>
      <c r="B154" s="335" t="n">
        <v>0.9</v>
      </c>
    </row>
    <row r="155" ht="15" customHeight="1">
      <c r="A155" t="inlineStr">
        <is>
          <t>Ljungby</t>
        </is>
      </c>
      <c r="B155" s="335" t="n">
        <v>1</v>
      </c>
    </row>
    <row r="156" ht="15" customHeight="1">
      <c r="A156" t="inlineStr">
        <is>
          <t>Ljusdal</t>
        </is>
      </c>
      <c r="B156" s="335" t="n">
        <v>1.3</v>
      </c>
    </row>
    <row r="157" ht="15" customHeight="1">
      <c r="A157" t="inlineStr">
        <is>
          <t>Ljusnarsberg</t>
        </is>
      </c>
      <c r="B157" s="335" t="n">
        <v>1.1</v>
      </c>
    </row>
    <row r="158" ht="15" customHeight="1">
      <c r="A158" t="inlineStr">
        <is>
          <t>Lomma</t>
        </is>
      </c>
      <c r="B158" s="335" t="n">
        <v>0.8</v>
      </c>
    </row>
    <row r="159" ht="15" customHeight="1">
      <c r="A159" t="inlineStr">
        <is>
          <t>Ludvika</t>
        </is>
      </c>
      <c r="B159" s="335" t="n">
        <v>1.1</v>
      </c>
    </row>
    <row r="160" ht="15" customHeight="1">
      <c r="A160" t="inlineStr">
        <is>
          <t>Luleå</t>
        </is>
      </c>
      <c r="B160" s="335" t="n">
        <v>1.5</v>
      </c>
    </row>
    <row r="161" ht="15" customHeight="1">
      <c r="A161" t="inlineStr">
        <is>
          <t>Lund</t>
        </is>
      </c>
      <c r="B161" s="335" t="n">
        <v>0.8</v>
      </c>
    </row>
    <row r="162" ht="15" customHeight="1">
      <c r="A162" t="inlineStr">
        <is>
          <t>Lycksele</t>
        </is>
      </c>
      <c r="B162" s="335" t="n">
        <v>1.5</v>
      </c>
    </row>
    <row r="163" ht="15" customHeight="1">
      <c r="A163" t="inlineStr">
        <is>
          <t>Lysekil</t>
        </is>
      </c>
      <c r="B163" s="335" t="n">
        <v>0.9</v>
      </c>
    </row>
    <row r="164" ht="15" customHeight="1">
      <c r="A164" t="inlineStr">
        <is>
          <t>Malmö</t>
        </is>
      </c>
      <c r="B164" s="335" t="n">
        <v>0.8</v>
      </c>
    </row>
    <row r="165" ht="15" customHeight="1">
      <c r="A165" t="inlineStr">
        <is>
          <t>Malung-Sälen</t>
        </is>
      </c>
      <c r="B165" s="335" t="n">
        <v>1.3</v>
      </c>
    </row>
    <row r="166" ht="15" customHeight="1">
      <c r="A166" t="inlineStr">
        <is>
          <t>Malå</t>
        </is>
      </c>
      <c r="B166" s="335" t="n">
        <v>1.6</v>
      </c>
    </row>
    <row r="167" ht="15" customHeight="1">
      <c r="A167" t="inlineStr">
        <is>
          <t>Mariestad</t>
        </is>
      </c>
      <c r="B167" s="335" t="n">
        <v>0.9</v>
      </c>
    </row>
    <row r="168" ht="15" customHeight="1">
      <c r="A168" t="inlineStr">
        <is>
          <t>Mark</t>
        </is>
      </c>
      <c r="B168" s="335" t="n">
        <v>0.9</v>
      </c>
    </row>
    <row r="169" ht="15" customHeight="1">
      <c r="A169" t="inlineStr">
        <is>
          <t>Markaryd</t>
        </is>
      </c>
      <c r="B169" s="335" t="n">
        <v>0.9</v>
      </c>
    </row>
    <row r="170" ht="15" customHeight="1">
      <c r="A170" t="inlineStr">
        <is>
          <t>Mellerud</t>
        </is>
      </c>
      <c r="B170" s="335" t="n">
        <v>0.9</v>
      </c>
    </row>
    <row r="171" ht="15" customHeight="1">
      <c r="A171" t="inlineStr">
        <is>
          <t>Mjölby</t>
        </is>
      </c>
      <c r="B171" s="335" t="n">
        <v>1</v>
      </c>
    </row>
    <row r="172" ht="15" customHeight="1">
      <c r="A172" t="inlineStr">
        <is>
          <t>Mora</t>
        </is>
      </c>
      <c r="B172" s="335" t="n">
        <v>1.2</v>
      </c>
    </row>
    <row r="173" ht="15" customHeight="1">
      <c r="A173" t="inlineStr">
        <is>
          <t>Motala</t>
        </is>
      </c>
      <c r="B173" s="335" t="n">
        <v>1</v>
      </c>
    </row>
    <row r="174" ht="15" customHeight="1">
      <c r="A174" t="inlineStr">
        <is>
          <t>Mullsjö</t>
        </is>
      </c>
      <c r="B174" s="335" t="n">
        <v>1</v>
      </c>
    </row>
    <row r="175" ht="15" customHeight="1">
      <c r="A175" t="inlineStr">
        <is>
          <t>Munkedal</t>
        </is>
      </c>
      <c r="B175" s="335" t="n">
        <v>0.9</v>
      </c>
    </row>
    <row r="176" ht="15" customHeight="1">
      <c r="A176" t="inlineStr">
        <is>
          <t>Munkfors</t>
        </is>
      </c>
      <c r="B176" s="335" t="n">
        <v>1.1</v>
      </c>
    </row>
    <row r="177" ht="15" customHeight="1">
      <c r="A177" t="inlineStr">
        <is>
          <t>Mölndal</t>
        </is>
      </c>
      <c r="B177" s="335" t="n">
        <v>0.9</v>
      </c>
    </row>
    <row r="178" ht="15" customHeight="1">
      <c r="A178" t="inlineStr">
        <is>
          <t>Mönsterås</t>
        </is>
      </c>
      <c r="B178" s="335" t="n">
        <v>0.9</v>
      </c>
    </row>
    <row r="179" ht="15" customHeight="1">
      <c r="A179" t="inlineStr">
        <is>
          <t>Mörbylånga</t>
        </is>
      </c>
      <c r="B179" s="335" t="n">
        <v>0.8</v>
      </c>
    </row>
    <row r="180" ht="15" customHeight="1">
      <c r="A180" t="inlineStr">
        <is>
          <t>Nacka</t>
        </is>
      </c>
      <c r="B180" s="335" t="n">
        <v>1</v>
      </c>
    </row>
    <row r="181" ht="15" customHeight="1">
      <c r="A181" t="inlineStr">
        <is>
          <t>Nora</t>
        </is>
      </c>
      <c r="B181" s="335" t="n">
        <v>1.1</v>
      </c>
    </row>
    <row r="182" ht="15" customHeight="1">
      <c r="A182" t="inlineStr">
        <is>
          <t>Norberg</t>
        </is>
      </c>
      <c r="B182" s="335" t="n">
        <v>1.1</v>
      </c>
    </row>
    <row r="183" ht="15" customHeight="1">
      <c r="A183" t="inlineStr">
        <is>
          <t>Nordanstig</t>
        </is>
      </c>
      <c r="B183" s="335" t="n">
        <v>1.2</v>
      </c>
    </row>
    <row r="184" ht="15" customHeight="1">
      <c r="A184" t="inlineStr">
        <is>
          <t>Nordmaling</t>
        </is>
      </c>
      <c r="B184" s="335" t="n">
        <v>1.3</v>
      </c>
    </row>
    <row r="185" ht="15" customHeight="1">
      <c r="A185" t="inlineStr">
        <is>
          <t>Norrköping</t>
        </is>
      </c>
      <c r="B185" s="335" t="n">
        <v>0.9</v>
      </c>
    </row>
    <row r="186" ht="15" customHeight="1">
      <c r="A186" t="inlineStr">
        <is>
          <t>Norrtälje</t>
        </is>
      </c>
      <c r="B186" s="335" t="n">
        <v>1</v>
      </c>
    </row>
    <row r="187" ht="15" customHeight="1">
      <c r="A187" t="inlineStr">
        <is>
          <t>Norsjö</t>
        </is>
      </c>
      <c r="B187" s="335" t="n">
        <v>1.6</v>
      </c>
    </row>
    <row r="188" ht="15" customHeight="1">
      <c r="A188" t="inlineStr">
        <is>
          <t>Nybro</t>
        </is>
      </c>
      <c r="B188" s="335" t="n">
        <v>0.9</v>
      </c>
    </row>
    <row r="189" ht="15" customHeight="1">
      <c r="A189" t="inlineStr">
        <is>
          <t>Nykvarn</t>
        </is>
      </c>
      <c r="B189" s="335" t="n">
        <v>1</v>
      </c>
    </row>
    <row r="190" ht="15" customHeight="1">
      <c r="A190" t="inlineStr">
        <is>
          <t>Nyköping</t>
        </is>
      </c>
      <c r="B190" s="335" t="n">
        <v>1</v>
      </c>
    </row>
    <row r="191" ht="15" customHeight="1">
      <c r="A191" t="inlineStr">
        <is>
          <t>Nynäshamn</t>
        </is>
      </c>
      <c r="B191" s="335" t="n">
        <v>0.9</v>
      </c>
    </row>
    <row r="192" ht="15" customHeight="1">
      <c r="A192" t="inlineStr">
        <is>
          <t>Nässjö</t>
        </is>
      </c>
      <c r="B192" s="335" t="n">
        <v>1</v>
      </c>
    </row>
    <row r="193" ht="15" customHeight="1">
      <c r="A193" t="inlineStr">
        <is>
          <t>Ockelbo</t>
        </is>
      </c>
      <c r="B193" s="335" t="n">
        <v>1.1</v>
      </c>
    </row>
    <row r="194" ht="15" customHeight="1">
      <c r="A194" t="inlineStr">
        <is>
          <t>Olofström</t>
        </is>
      </c>
      <c r="B194" s="335" t="n">
        <v>0.9</v>
      </c>
    </row>
    <row r="195" ht="15" customHeight="1">
      <c r="A195" t="inlineStr">
        <is>
          <t>Orsa</t>
        </is>
      </c>
      <c r="B195" s="335" t="n">
        <v>1.2</v>
      </c>
    </row>
    <row r="196" ht="15" customHeight="1">
      <c r="A196" t="inlineStr">
        <is>
          <t>Orust</t>
        </is>
      </c>
      <c r="B196" s="335" t="n">
        <v>0.9</v>
      </c>
    </row>
    <row r="197" ht="15" customHeight="1">
      <c r="A197" t="inlineStr">
        <is>
          <t>Osby</t>
        </is>
      </c>
      <c r="B197" s="335" t="n">
        <v>0.9</v>
      </c>
    </row>
    <row r="198" ht="15" customHeight="1">
      <c r="A198" t="inlineStr">
        <is>
          <t>Oskarshamn</t>
        </is>
      </c>
      <c r="B198" s="335" t="n">
        <v>0.9</v>
      </c>
    </row>
    <row r="199" ht="15" customHeight="1">
      <c r="A199" t="inlineStr">
        <is>
          <t>Ovanåker</t>
        </is>
      </c>
      <c r="B199" s="335" t="n">
        <v>1.2</v>
      </c>
    </row>
    <row r="200" ht="15" customHeight="1">
      <c r="A200" t="inlineStr">
        <is>
          <t>Oxelösund</t>
        </is>
      </c>
      <c r="B200" s="335" t="n">
        <v>0.9</v>
      </c>
    </row>
    <row r="201" ht="15" customHeight="1">
      <c r="A201" t="inlineStr">
        <is>
          <t>Pajala</t>
        </is>
      </c>
      <c r="B201" s="335" t="n">
        <v>1.7</v>
      </c>
    </row>
    <row r="202" ht="15" customHeight="1">
      <c r="A202" t="inlineStr">
        <is>
          <t>Partille</t>
        </is>
      </c>
      <c r="B202" s="335" t="n">
        <v>0.9</v>
      </c>
    </row>
    <row r="203" ht="15" customHeight="1">
      <c r="A203" t="inlineStr">
        <is>
          <t>Perstorp</t>
        </is>
      </c>
      <c r="B203" s="335" t="n">
        <v>0.9</v>
      </c>
    </row>
    <row r="204" ht="15" customHeight="1">
      <c r="A204" t="inlineStr">
        <is>
          <t>Piteå</t>
        </is>
      </c>
      <c r="B204" s="335" t="n">
        <v>1.4</v>
      </c>
    </row>
    <row r="205" ht="15" customHeight="1">
      <c r="A205" t="inlineStr">
        <is>
          <t>Ragunda</t>
        </is>
      </c>
      <c r="B205" s="335" t="n">
        <v>1.4</v>
      </c>
    </row>
    <row r="206" ht="15" customHeight="1">
      <c r="A206" t="inlineStr">
        <is>
          <t>Robertsfors</t>
        </is>
      </c>
      <c r="B206" s="335" t="n">
        <v>1.3</v>
      </c>
    </row>
    <row r="207" ht="15" customHeight="1">
      <c r="A207" t="inlineStr">
        <is>
          <t>Ronneby</t>
        </is>
      </c>
      <c r="B207" s="335" t="n">
        <v>0.8</v>
      </c>
    </row>
    <row r="208" ht="15" customHeight="1">
      <c r="A208" t="inlineStr">
        <is>
          <t>Rättvik</t>
        </is>
      </c>
      <c r="B208" s="335" t="n">
        <v>1.2</v>
      </c>
    </row>
    <row r="209" ht="15" customHeight="1">
      <c r="A209" t="inlineStr">
        <is>
          <t>Sala</t>
        </is>
      </c>
      <c r="B209" s="335" t="n">
        <v>1.1</v>
      </c>
    </row>
    <row r="210" ht="15" customHeight="1">
      <c r="A210" t="inlineStr">
        <is>
          <t>Salem</t>
        </is>
      </c>
      <c r="B210" s="335" t="n">
        <v>1</v>
      </c>
    </row>
    <row r="211" ht="15" customHeight="1">
      <c r="A211" t="inlineStr">
        <is>
          <t>Sandviken</t>
        </is>
      </c>
      <c r="B211" s="335" t="n">
        <v>1.1</v>
      </c>
    </row>
    <row r="212" ht="15" customHeight="1">
      <c r="A212" t="inlineStr">
        <is>
          <t>Sigtuna</t>
        </is>
      </c>
      <c r="B212" s="335" t="n">
        <v>1</v>
      </c>
    </row>
    <row r="213" ht="15" customHeight="1">
      <c r="A213" t="inlineStr">
        <is>
          <t>Simrishamn</t>
        </is>
      </c>
      <c r="B213" s="335" t="n">
        <v>0.8</v>
      </c>
    </row>
    <row r="214" ht="15" customHeight="1">
      <c r="A214" t="inlineStr">
        <is>
          <t>Sjöbo</t>
        </is>
      </c>
      <c r="B214" s="335" t="n">
        <v>0.8</v>
      </c>
    </row>
    <row r="215" ht="15" customHeight="1">
      <c r="A215" t="inlineStr">
        <is>
          <t>Skara</t>
        </is>
      </c>
      <c r="B215" s="335" t="n">
        <v>1</v>
      </c>
    </row>
    <row r="216" ht="15" customHeight="1">
      <c r="A216" t="inlineStr">
        <is>
          <t>Skellefteå</t>
        </is>
      </c>
      <c r="B216" s="335" t="n">
        <v>1.4</v>
      </c>
    </row>
    <row r="217" ht="15" customHeight="1">
      <c r="A217" t="inlineStr">
        <is>
          <t>Skinnskatteberg</t>
        </is>
      </c>
      <c r="B217" s="335" t="n">
        <v>1.1</v>
      </c>
    </row>
    <row r="218" ht="15" customHeight="1">
      <c r="A218" t="inlineStr">
        <is>
          <t>Skurup</t>
        </is>
      </c>
      <c r="B218" s="335" t="n">
        <v>0.8</v>
      </c>
    </row>
    <row r="219" ht="15" customHeight="1">
      <c r="A219" t="inlineStr">
        <is>
          <t>Skövde</t>
        </is>
      </c>
      <c r="B219" s="335" t="n">
        <v>1</v>
      </c>
    </row>
    <row r="220" ht="15" customHeight="1">
      <c r="A220" t="inlineStr">
        <is>
          <t>Smedjebacken</t>
        </is>
      </c>
      <c r="B220" s="335" t="n">
        <v>1.1</v>
      </c>
    </row>
    <row r="221" ht="15" customHeight="1">
      <c r="A221" t="inlineStr">
        <is>
          <t>Sollefteå</t>
        </is>
      </c>
      <c r="B221" s="335" t="n">
        <v>1.4</v>
      </c>
    </row>
    <row r="222" ht="15" customHeight="1">
      <c r="A222" t="inlineStr">
        <is>
          <t>Sollentuna</t>
        </is>
      </c>
      <c r="B222" s="335" t="n">
        <v>1</v>
      </c>
    </row>
    <row r="223" ht="15" customHeight="1">
      <c r="A223" t="inlineStr">
        <is>
          <t>Solna</t>
        </is>
      </c>
      <c r="B223" s="335" t="n">
        <v>0.9</v>
      </c>
    </row>
    <row r="224" ht="15" customHeight="1">
      <c r="A224" t="inlineStr">
        <is>
          <t>Sorsele</t>
        </is>
      </c>
      <c r="B224" s="335" t="n">
        <v>1.7</v>
      </c>
    </row>
    <row r="225" ht="15" customHeight="1">
      <c r="A225" t="inlineStr">
        <is>
          <t>Sotenäs</t>
        </is>
      </c>
      <c r="B225" s="335" t="n">
        <v>0.8</v>
      </c>
    </row>
    <row r="226" ht="15" customHeight="1">
      <c r="A226" t="inlineStr">
        <is>
          <t>Staffanstorp</t>
        </is>
      </c>
      <c r="B226" s="335" t="n">
        <v>0.8</v>
      </c>
    </row>
    <row r="227" ht="15" customHeight="1">
      <c r="A227" t="inlineStr">
        <is>
          <t>Stenungsund</t>
        </is>
      </c>
      <c r="B227" s="335" t="n">
        <v>0.9</v>
      </c>
    </row>
    <row r="228" ht="15" customHeight="1">
      <c r="A228" t="inlineStr">
        <is>
          <t>Stockholm</t>
        </is>
      </c>
      <c r="B228" s="335" t="n">
        <v>1</v>
      </c>
    </row>
    <row r="229" ht="15" customHeight="1">
      <c r="A229" t="inlineStr">
        <is>
          <t>Storfors</t>
        </is>
      </c>
      <c r="B229" s="335" t="n">
        <v>1.1</v>
      </c>
    </row>
    <row r="230" ht="15" customHeight="1">
      <c r="A230" t="inlineStr">
        <is>
          <t>Storuman</t>
        </is>
      </c>
      <c r="B230" s="335" t="n">
        <v>1.6</v>
      </c>
    </row>
    <row r="231" ht="15" customHeight="1">
      <c r="A231" t="inlineStr">
        <is>
          <t>Strängnäs</t>
        </is>
      </c>
      <c r="B231" s="335" t="n">
        <v>1</v>
      </c>
    </row>
    <row r="232" ht="15" customHeight="1">
      <c r="A232" t="inlineStr">
        <is>
          <t>Strömstad</t>
        </is>
      </c>
      <c r="B232" s="335" t="n">
        <v>0.9</v>
      </c>
    </row>
    <row r="233" ht="15" customHeight="1">
      <c r="A233" t="inlineStr">
        <is>
          <t>Strömsund</t>
        </is>
      </c>
      <c r="B233" s="335" t="n">
        <v>1.4</v>
      </c>
    </row>
    <row r="234" ht="15" customHeight="1">
      <c r="A234" t="inlineStr">
        <is>
          <t>Sundbyberg</t>
        </is>
      </c>
      <c r="B234" s="335" t="n">
        <v>0.9</v>
      </c>
    </row>
    <row r="235" ht="15" customHeight="1">
      <c r="A235" t="inlineStr">
        <is>
          <t>Sundsvall</t>
        </is>
      </c>
      <c r="B235" s="335" t="n">
        <v>1.2</v>
      </c>
    </row>
    <row r="236" ht="15" customHeight="1">
      <c r="A236" t="inlineStr">
        <is>
          <t>Sunne</t>
        </is>
      </c>
      <c r="B236" s="335" t="n">
        <v>1.1</v>
      </c>
    </row>
    <row r="237" ht="15" customHeight="1">
      <c r="A237" t="inlineStr">
        <is>
          <t>Surahammar</t>
        </is>
      </c>
      <c r="B237" s="335" t="n">
        <v>1.1</v>
      </c>
    </row>
    <row r="238" ht="15" customHeight="1">
      <c r="A238" t="inlineStr">
        <is>
          <t>Svalöv</t>
        </is>
      </c>
      <c r="B238" s="335" t="n">
        <v>0.8</v>
      </c>
    </row>
    <row r="239" ht="15" customHeight="1">
      <c r="A239" t="inlineStr">
        <is>
          <t>Svedala</t>
        </is>
      </c>
      <c r="B239" s="335" t="n">
        <v>0.8</v>
      </c>
    </row>
    <row r="240" ht="15" customHeight="1">
      <c r="A240" t="inlineStr">
        <is>
          <t>Svenljunga</t>
        </is>
      </c>
      <c r="B240" s="335" t="n">
        <v>1</v>
      </c>
    </row>
    <row r="241" ht="15" customHeight="1">
      <c r="A241" t="inlineStr">
        <is>
          <t>Säffle</t>
        </is>
      </c>
      <c r="B241" s="335" t="n">
        <v>1</v>
      </c>
    </row>
    <row r="242" ht="15" customHeight="1">
      <c r="A242" t="inlineStr">
        <is>
          <t>Säter</t>
        </is>
      </c>
      <c r="B242" s="335" t="n">
        <v>1.1</v>
      </c>
    </row>
    <row r="243" ht="15" customHeight="1">
      <c r="A243" t="inlineStr">
        <is>
          <t>Sävsjö</t>
        </is>
      </c>
      <c r="B243" s="335" t="n">
        <v>1</v>
      </c>
    </row>
    <row r="244" ht="15" customHeight="1">
      <c r="A244" t="inlineStr">
        <is>
          <t>Söderhamn</t>
        </is>
      </c>
      <c r="B244" s="335" t="n">
        <v>1.1</v>
      </c>
    </row>
    <row r="245" ht="15" customHeight="1">
      <c r="A245" t="inlineStr">
        <is>
          <t>Söderköping</t>
        </is>
      </c>
      <c r="B245" s="335" t="n">
        <v>0.9</v>
      </c>
    </row>
    <row r="246" ht="15" customHeight="1">
      <c r="A246" t="inlineStr">
        <is>
          <t>Södertälje</t>
        </is>
      </c>
      <c r="B246" s="335" t="n">
        <v>1</v>
      </c>
    </row>
    <row r="247" ht="15" customHeight="1">
      <c r="A247" t="inlineStr">
        <is>
          <t>Sölvesborg</t>
        </is>
      </c>
      <c r="B247" s="335" t="n">
        <v>0.8</v>
      </c>
    </row>
    <row r="248" ht="15" customHeight="1">
      <c r="A248" t="inlineStr">
        <is>
          <t>Tanum</t>
        </is>
      </c>
      <c r="B248" s="335" t="n">
        <v>0.9</v>
      </c>
    </row>
    <row r="249" ht="15" customHeight="1">
      <c r="A249" t="inlineStr">
        <is>
          <t>Tibro</t>
        </is>
      </c>
      <c r="B249" s="335" t="n">
        <v>1</v>
      </c>
    </row>
    <row r="250" ht="15" customHeight="1">
      <c r="A250" t="inlineStr">
        <is>
          <t>Tidaholm</t>
        </is>
      </c>
      <c r="B250" s="335" t="n">
        <v>1</v>
      </c>
    </row>
    <row r="251" ht="15" customHeight="1">
      <c r="A251" t="inlineStr">
        <is>
          <t>Tierp</t>
        </is>
      </c>
      <c r="B251" s="335" t="n">
        <v>1.1</v>
      </c>
    </row>
    <row r="252" ht="15" customHeight="1">
      <c r="A252" t="inlineStr">
        <is>
          <t>Timrå</t>
        </is>
      </c>
      <c r="B252" s="335" t="n">
        <v>1.2</v>
      </c>
    </row>
    <row r="253" ht="15" customHeight="1">
      <c r="A253" t="inlineStr">
        <is>
          <t>Tingsryd</t>
        </is>
      </c>
      <c r="B253" s="335" t="n">
        <v>0.9</v>
      </c>
    </row>
    <row r="254" ht="15" customHeight="1">
      <c r="A254" t="inlineStr">
        <is>
          <t>Tjörn</t>
        </is>
      </c>
      <c r="B254" s="335" t="n">
        <v>0.8</v>
      </c>
    </row>
    <row r="255" ht="15" customHeight="1">
      <c r="A255" t="inlineStr">
        <is>
          <t>Tomelilla</t>
        </is>
      </c>
      <c r="B255" s="335" t="n">
        <v>0.8</v>
      </c>
    </row>
    <row r="256" ht="15" customHeight="1">
      <c r="A256" t="inlineStr">
        <is>
          <t>Torsby</t>
        </is>
      </c>
      <c r="B256" s="335" t="n">
        <v>1.1</v>
      </c>
    </row>
    <row r="257" ht="15" customHeight="1">
      <c r="A257" t="inlineStr">
        <is>
          <t>Torsås</t>
        </is>
      </c>
      <c r="B257" s="335" t="n">
        <v>0.9</v>
      </c>
    </row>
    <row r="258" ht="15" customHeight="1">
      <c r="A258" t="inlineStr">
        <is>
          <t>Tranemo</t>
        </is>
      </c>
      <c r="B258" s="335" t="n">
        <v>1</v>
      </c>
    </row>
    <row r="259" ht="15" customHeight="1">
      <c r="A259" t="inlineStr">
        <is>
          <t>Tranås</t>
        </is>
      </c>
      <c r="B259" s="335" t="n">
        <v>1</v>
      </c>
    </row>
    <row r="260" ht="15" customHeight="1">
      <c r="A260" t="inlineStr">
        <is>
          <t>Trelleborg</t>
        </is>
      </c>
      <c r="B260" s="335" t="n">
        <v>0.8</v>
      </c>
    </row>
    <row r="261" ht="15" customHeight="1">
      <c r="A261" t="inlineStr">
        <is>
          <t>Trollhättan</t>
        </is>
      </c>
      <c r="B261" s="335" t="n">
        <v>0.9</v>
      </c>
    </row>
    <row r="262" ht="15" customHeight="1">
      <c r="A262" t="inlineStr">
        <is>
          <t>Trosa</t>
        </is>
      </c>
      <c r="B262" s="335" t="n">
        <v>1</v>
      </c>
    </row>
    <row r="263" ht="15" customHeight="1">
      <c r="A263" t="inlineStr">
        <is>
          <t>Tyresö</t>
        </is>
      </c>
      <c r="B263" s="335" t="n">
        <v>0.9</v>
      </c>
    </row>
    <row r="264" ht="15" customHeight="1">
      <c r="A264" t="inlineStr">
        <is>
          <t>Täby</t>
        </is>
      </c>
      <c r="B264" s="335" t="n">
        <v>1</v>
      </c>
    </row>
    <row r="265" ht="15" customHeight="1">
      <c r="A265" t="inlineStr">
        <is>
          <t>Töreboda</t>
        </is>
      </c>
      <c r="B265" s="335" t="n">
        <v>1</v>
      </c>
    </row>
    <row r="266" ht="15" customHeight="1">
      <c r="A266" t="inlineStr">
        <is>
          <t>Uddevalla</t>
        </is>
      </c>
      <c r="B266" s="335" t="n">
        <v>0.9</v>
      </c>
    </row>
    <row r="267" ht="15" customHeight="1">
      <c r="A267" t="inlineStr">
        <is>
          <t>Ulricehamn</t>
        </is>
      </c>
      <c r="B267" s="335" t="n">
        <v>1</v>
      </c>
    </row>
    <row r="268" ht="15" customHeight="1">
      <c r="A268" t="inlineStr">
        <is>
          <t>Umeå</t>
        </is>
      </c>
      <c r="B268" s="335" t="n">
        <v>1.3</v>
      </c>
    </row>
    <row r="269" ht="15" customHeight="1">
      <c r="A269" t="inlineStr">
        <is>
          <t>Upplands-Bro</t>
        </is>
      </c>
      <c r="B269" s="335" t="n">
        <v>1</v>
      </c>
    </row>
    <row r="270" ht="15" customHeight="1">
      <c r="A270" t="inlineStr">
        <is>
          <t>Upplands-Väsby</t>
        </is>
      </c>
      <c r="B270" s="335" t="n">
        <v>1</v>
      </c>
    </row>
    <row r="271" ht="15" customHeight="1">
      <c r="A271" t="inlineStr">
        <is>
          <t>Uppsala</t>
        </is>
      </c>
      <c r="B271" s="335" t="n">
        <v>1</v>
      </c>
    </row>
    <row r="272" ht="15" customHeight="1">
      <c r="A272" t="inlineStr">
        <is>
          <t>Uppvidinge</t>
        </is>
      </c>
      <c r="B272" s="335" t="n">
        <v>1</v>
      </c>
    </row>
    <row r="273" ht="15" customHeight="1">
      <c r="A273" t="inlineStr">
        <is>
          <t>Vadstena</t>
        </is>
      </c>
      <c r="B273" s="335" t="n">
        <v>0.9</v>
      </c>
    </row>
    <row r="274" ht="15" customHeight="1">
      <c r="A274" t="inlineStr">
        <is>
          <t>Vaggeryd</t>
        </is>
      </c>
      <c r="B274" s="335" t="n">
        <v>1</v>
      </c>
    </row>
    <row r="275" ht="15" customHeight="1">
      <c r="A275" t="inlineStr">
        <is>
          <t>Valdemarsvik</t>
        </is>
      </c>
      <c r="B275" s="335" t="n">
        <v>0.9</v>
      </c>
    </row>
    <row r="276" ht="15" customHeight="1">
      <c r="A276" t="inlineStr">
        <is>
          <t>Vallentuna</t>
        </is>
      </c>
      <c r="B276" s="335" t="n">
        <v>1</v>
      </c>
    </row>
    <row r="277" ht="15" customHeight="1">
      <c r="A277" t="inlineStr">
        <is>
          <t>Vansbro</t>
        </is>
      </c>
      <c r="B277" s="335" t="n">
        <v>1.2</v>
      </c>
    </row>
    <row r="278" ht="15" customHeight="1">
      <c r="A278" t="inlineStr">
        <is>
          <t>Vara</t>
        </is>
      </c>
      <c r="B278" s="335" t="n">
        <v>0.9</v>
      </c>
    </row>
    <row r="279" ht="15" customHeight="1">
      <c r="A279" t="inlineStr">
        <is>
          <t>Varberg</t>
        </is>
      </c>
      <c r="B279" s="335" t="n">
        <v>0.8</v>
      </c>
    </row>
    <row r="280" ht="15" customHeight="1">
      <c r="A280" t="inlineStr">
        <is>
          <t>Vaxholm</t>
        </is>
      </c>
      <c r="B280" s="335" t="n">
        <v>1</v>
      </c>
    </row>
    <row r="281" ht="15" customHeight="1">
      <c r="A281" t="inlineStr">
        <is>
          <t>Vellinge</t>
        </is>
      </c>
      <c r="B281" s="335" t="n">
        <v>0.8</v>
      </c>
    </row>
    <row r="282" ht="15" customHeight="1">
      <c r="A282" t="inlineStr">
        <is>
          <t>Vetlanda</t>
        </is>
      </c>
      <c r="B282" s="335" t="n">
        <v>1</v>
      </c>
    </row>
    <row r="283" ht="15" customHeight="1">
      <c r="A283" t="inlineStr">
        <is>
          <t>Vilhelmina</t>
        </is>
      </c>
      <c r="B283" s="335" t="n">
        <v>1.6</v>
      </c>
    </row>
    <row r="284" ht="15" customHeight="1">
      <c r="A284" t="inlineStr">
        <is>
          <t>Vimmerby</t>
        </is>
      </c>
      <c r="B284" s="335" t="n">
        <v>1</v>
      </c>
    </row>
    <row r="285" ht="15" customHeight="1">
      <c r="A285" t="inlineStr">
        <is>
          <t>Vindeln</t>
        </is>
      </c>
      <c r="B285" s="335" t="n">
        <v>1.5</v>
      </c>
    </row>
    <row r="286" ht="15" customHeight="1">
      <c r="A286" t="inlineStr">
        <is>
          <t>Vingåker</t>
        </is>
      </c>
      <c r="B286" s="335" t="n">
        <v>1</v>
      </c>
    </row>
    <row r="287" ht="15" customHeight="1">
      <c r="A287" t="inlineStr">
        <is>
          <t>Vårgårda</t>
        </is>
      </c>
      <c r="B287" s="335" t="n">
        <v>1</v>
      </c>
    </row>
    <row r="288" ht="15" customHeight="1">
      <c r="A288" t="inlineStr">
        <is>
          <t>Vänersborg</t>
        </is>
      </c>
      <c r="B288" s="335" t="n">
        <v>0.9</v>
      </c>
    </row>
    <row r="289" ht="15" customHeight="1">
      <c r="A289" t="inlineStr">
        <is>
          <t>Vännäs</t>
        </is>
      </c>
      <c r="B289" s="335" t="n">
        <v>1.4</v>
      </c>
    </row>
    <row r="290" ht="15" customHeight="1">
      <c r="A290" t="inlineStr">
        <is>
          <t>Värmdö</t>
        </is>
      </c>
      <c r="B290" s="335" t="n">
        <v>0.9</v>
      </c>
    </row>
    <row r="291" ht="15" customHeight="1">
      <c r="A291" t="inlineStr">
        <is>
          <t>Värnamo</t>
        </is>
      </c>
      <c r="B291" s="335" t="n">
        <v>1</v>
      </c>
    </row>
    <row r="292" ht="15" customHeight="1">
      <c r="A292" t="inlineStr">
        <is>
          <t>Västervik</t>
        </is>
      </c>
      <c r="B292" s="335" t="n">
        <v>0.9</v>
      </c>
    </row>
    <row r="293" ht="15" customHeight="1">
      <c r="A293" t="inlineStr">
        <is>
          <t>Västerås</t>
        </is>
      </c>
      <c r="B293" s="335" t="n">
        <v>1</v>
      </c>
    </row>
    <row r="294" ht="15" customHeight="1">
      <c r="A294" t="inlineStr">
        <is>
          <t>Växjö</t>
        </is>
      </c>
      <c r="B294" s="335" t="n">
        <v>1</v>
      </c>
    </row>
    <row r="295" ht="15" customHeight="1">
      <c r="A295" t="inlineStr">
        <is>
          <t>Ydre</t>
        </is>
      </c>
      <c r="B295" s="335" t="n">
        <v>1</v>
      </c>
    </row>
    <row r="296" ht="15" customHeight="1">
      <c r="A296" t="inlineStr">
        <is>
          <t>Ystad</t>
        </is>
      </c>
      <c r="B296" s="335" t="n">
        <v>0.8</v>
      </c>
    </row>
    <row r="297" ht="15" customHeight="1">
      <c r="A297" t="inlineStr">
        <is>
          <t>Åmål</t>
        </is>
      </c>
      <c r="B297" s="335" t="n">
        <v>1</v>
      </c>
    </row>
    <row r="298" ht="15" customHeight="1">
      <c r="A298" t="inlineStr">
        <is>
          <t>Ånge</t>
        </is>
      </c>
      <c r="B298" s="335" t="n">
        <v>1.4</v>
      </c>
    </row>
    <row r="299" ht="15" customHeight="1">
      <c r="A299" t="inlineStr">
        <is>
          <t>Åre</t>
        </is>
      </c>
      <c r="B299" s="335" t="n">
        <v>1.5</v>
      </c>
    </row>
    <row r="300" ht="15" customHeight="1">
      <c r="A300" t="inlineStr">
        <is>
          <t>Årjäng</t>
        </is>
      </c>
      <c r="B300" s="335" t="n">
        <v>1.1</v>
      </c>
    </row>
    <row r="301" ht="15" customHeight="1">
      <c r="A301" t="inlineStr">
        <is>
          <t>Åsele</t>
        </is>
      </c>
      <c r="B301" s="335" t="n">
        <v>1.5</v>
      </c>
    </row>
    <row r="302" ht="15" customHeight="1">
      <c r="A302" t="inlineStr">
        <is>
          <t>Åstorp</t>
        </is>
      </c>
      <c r="B302" s="335" t="n">
        <v>0.8</v>
      </c>
    </row>
    <row r="303" ht="15" customHeight="1">
      <c r="A303" t="inlineStr">
        <is>
          <t>Åtvidaberg</t>
        </is>
      </c>
      <c r="B303" s="335" t="n">
        <v>1</v>
      </c>
    </row>
    <row r="304" ht="15" customHeight="1">
      <c r="A304" t="inlineStr">
        <is>
          <t>Älmhult</t>
        </is>
      </c>
      <c r="B304" s="335" t="n">
        <v>0.9</v>
      </c>
    </row>
    <row r="305" ht="15" customHeight="1">
      <c r="A305" t="inlineStr">
        <is>
          <t>Älvdalen</t>
        </is>
      </c>
      <c r="B305" s="335" t="n">
        <v>1.3</v>
      </c>
    </row>
    <row r="306" ht="15" customHeight="1">
      <c r="A306" t="inlineStr">
        <is>
          <t>Älvkarleby</t>
        </is>
      </c>
      <c r="B306" s="335" t="n">
        <v>1</v>
      </c>
    </row>
    <row r="307" ht="15" customHeight="1">
      <c r="A307" t="inlineStr">
        <is>
          <t>Älvsbyn</t>
        </is>
      </c>
      <c r="B307" s="335" t="n">
        <v>1.6</v>
      </c>
    </row>
    <row r="308" ht="15" customHeight="1">
      <c r="A308" t="inlineStr">
        <is>
          <t>Ängelholm</t>
        </is>
      </c>
      <c r="B308" s="335" t="n">
        <v>0.8</v>
      </c>
    </row>
    <row r="309" ht="15" customHeight="1">
      <c r="A309" t="inlineStr">
        <is>
          <t>Öckerö</t>
        </is>
      </c>
      <c r="B309" s="335" t="n">
        <v>0.8</v>
      </c>
    </row>
    <row r="310" ht="15" customHeight="1">
      <c r="A310" t="inlineStr">
        <is>
          <t>Ödeshög</t>
        </is>
      </c>
      <c r="B310" s="335" t="n">
        <v>0.9</v>
      </c>
    </row>
    <row r="311" ht="15" customHeight="1">
      <c r="A311" t="inlineStr">
        <is>
          <t>Örebro</t>
        </is>
      </c>
      <c r="B311" s="335" t="n">
        <v>1</v>
      </c>
    </row>
    <row r="312" ht="15" customHeight="1">
      <c r="A312" t="inlineStr">
        <is>
          <t>Örkelljunga</t>
        </is>
      </c>
      <c r="B312" s="335" t="n">
        <v>0.9</v>
      </c>
    </row>
    <row r="313" ht="15" customHeight="1">
      <c r="A313" t="inlineStr">
        <is>
          <t>Örnsköldsvik</t>
        </is>
      </c>
      <c r="B313" s="335" t="n">
        <v>1.3</v>
      </c>
    </row>
    <row r="314" ht="15" customHeight="1">
      <c r="A314" t="inlineStr">
        <is>
          <t>Östersund</t>
        </is>
      </c>
      <c r="B314" s="335" t="n">
        <v>1.4</v>
      </c>
    </row>
    <row r="315" ht="15" customHeight="1">
      <c r="A315" t="inlineStr">
        <is>
          <t>Österåker</t>
        </is>
      </c>
      <c r="B315" s="335" t="n">
        <v>1</v>
      </c>
    </row>
    <row r="316" ht="15" customHeight="1">
      <c r="A316" t="inlineStr">
        <is>
          <t>Östhammar</t>
        </is>
      </c>
      <c r="B316" s="335" t="n">
        <v>1</v>
      </c>
    </row>
    <row r="317" ht="15" customHeight="1">
      <c r="A317" t="inlineStr">
        <is>
          <t>Östra Göinge</t>
        </is>
      </c>
      <c r="B317" s="335" t="n">
        <v>0.9</v>
      </c>
    </row>
    <row r="318" ht="15" customHeight="1">
      <c r="A318" t="inlineStr">
        <is>
          <t>Överkalix</t>
        </is>
      </c>
      <c r="B318" s="335" t="n">
        <v>1.6</v>
      </c>
    </row>
    <row r="319" ht="15" customHeight="1">
      <c r="A319" t="inlineStr">
        <is>
          <t>Övertorneå</t>
        </is>
      </c>
      <c r="B319" s="335" t="n">
        <v>1.6</v>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Peter Persson</dc:creator>
  <dc:language xmlns:dc="http://purl.org/dc/elements/1.1/">en-US</dc:language>
  <dcterms:created xmlns:dcterms="http://purl.org/dc/terms/" xmlns:xsi="http://www.w3.org/2001/XMLSchema-instance" xsi:type="dcterms:W3CDTF">2007-11-30T10:25:51Z</dcterms:created>
  <dcterms:modified xmlns:dcterms="http://purl.org/dc/terms/" xmlns:xsi="http://www.w3.org/2001/XMLSchema-instance" xsi:type="dcterms:W3CDTF">2026-10-07T08:43:18Z</dcterms:modified>
  <cp:lastModifiedBy>Peter Persson</cp:lastModifiedBy>
  <cp:revision>0</cp:revision>
  <cp:lastPrinted>2023-11-24T12:43:16Z</cp:lastPrinted>
</cp:coreProperties>
</file>