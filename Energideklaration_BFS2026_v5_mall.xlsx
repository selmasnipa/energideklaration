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comments6.xml" ContentType="application/vnd.openxmlformats-officedocument.spreadsheetml.comments+xml"/>
  <Override PartName="/xl/styles.xml" ContentType="application/vnd.openxmlformats-officedocument.spreadsheetml.styles+xml"/>
  <Override PartName="/xl/comments16.xml" ContentType="application/vnd.openxmlformats-officedocument.spreadsheetml.comments+xml"/>
  <Override PartName="/xl/comments5.xml" ContentType="application/vnd.openxmlformats-officedocument.spreadsheetml.comments+xml"/>
  <Override PartName="/xl/comments15.xml" ContentType="application/vnd.openxmlformats-officedocument.spreadsheetml.comments+xml"/>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drawing2.xml" ContentType="application/vnd.openxmlformats-officedocument.drawing+xml"/>
  <Override PartName="/xl/drawings/vmlDrawing1.vml" ContentType="application/vnd.openxmlformats-officedocument.vmlDrawing"/>
  <Override PartName="/xl/drawings/vmlDrawing18.vml" ContentType="application/vnd.openxmlformats-officedocument.vmlDrawing"/>
  <Override PartName="/xl/drawings/vmlDrawing4.vml" ContentType="application/vnd.openxmlformats-officedocument.vmlDrawing"/>
  <Override PartName="/xl/drawings/vmlDrawing17.vml" ContentType="application/vnd.openxmlformats-officedocument.vmlDrawing"/>
  <Override PartName="/xl/drawings/drawing1.xml" ContentType="application/vnd.openxmlformats-officedocument.drawing+xml"/>
  <Override PartName="/xl/drawings/vmlDrawing16.vml" ContentType="application/vnd.openxmlformats-officedocument.vmlDrawing"/>
  <Override PartName="/xl/drawings/vmlDrawing15.vml" ContentType="application/vnd.openxmlformats-officedocument.vmlDrawing"/>
  <Override PartName="/xl/drawings/vmlDrawing14.vml" ContentType="application/vnd.openxmlformats-officedocument.vmlDrawing"/>
  <Override PartName="/xl/drawings/vmlDrawing13.vml" ContentType="application/vnd.openxmlformats-officedocument.vmlDrawing"/>
  <Override PartName="/xl/drawings/vmlDrawing12.vml" ContentType="application/vnd.openxmlformats-officedocument.vmlDrawing"/>
  <Override PartName="/xl/drawings/_rels/drawing3.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2.xml.rels" ContentType="application/vnd.openxmlformats-package.relationships+xml"/>
  <Override PartName="/xl/drawings/vmlDrawing2.vml" ContentType="application/vnd.openxmlformats-officedocument.vmlDrawing"/>
  <Override PartName="/xl/drawings/drawing3.xml" ContentType="application/vnd.openxmlformats-officedocument.drawing+xml"/>
  <Override PartName="/xl/drawings/vmlDrawing3.vml" ContentType="application/vnd.openxmlformats-officedocument.vmlDrawing"/>
  <Override PartName="/xl/drawings/drawing4.xml" ContentType="application/vnd.openxmlformats-officedocument.drawing+xml"/>
  <Override PartName="/xl/comments24.xml" ContentType="application/vnd.openxmlformats-officedocument.spreadsheetml.comments+xml"/>
  <Override PartName="/xl/comments10.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omments25.xml" ContentType="application/vnd.openxmlformats-officedocument.spreadsheetml.comments+xml"/>
  <Override PartName="/xl/comments23.xml" ContentType="application/vnd.openxmlformats-officedocument.spreadsheetml.comments+xml"/>
  <Override PartName="/xl/comments11.xml" ContentType="application/vnd.openxmlformats-officedocument.spreadsheetml.comments+xml"/>
  <Override PartName="/xl/comments22.xml" ContentType="application/vnd.openxmlformats-officedocument.spreadsheetml.comments+xml"/>
  <Override PartName="/xl/comments17.xml" ContentType="application/vnd.openxmlformats-officedocument.spreadsheetml.comments+xml"/>
  <Override PartName="/xl/comments7.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comments9.xml" ContentType="application/vnd.openxmlformats-officedocument.spreadsheetml.comments+xml"/>
  <Override PartName="/xl/comments19.xml" ContentType="application/vnd.openxmlformats-officedocument.spreadsheetml.comment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23.xml.rels" ContentType="application/vnd.openxmlformats-package.relationships+xml"/>
  <Override PartName="/xl/worksheets/_rels/sheet6.xml.rels" ContentType="application/vnd.openxmlformats-package.relationships+xml"/>
  <Override PartName="/xl/worksheets/_rels/sheet24.xml.rels" ContentType="application/vnd.openxmlformats-package.relationships+xml"/>
  <Override PartName="/xl/worksheets/_rels/sheet10.xml.rels" ContentType="application/vnd.openxmlformats-package.relationships+xml"/>
  <Override PartName="/xl/worksheets/_rels/sheet22.xml.rels" ContentType="application/vnd.openxmlformats-package.relationships+xml"/>
  <Override PartName="/xl/worksheets/_rels/sheet9.xml.rels" ContentType="application/vnd.openxmlformats-package.relationships+xml"/>
  <Override PartName="/xl/worksheets/_rels/sheet25.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comments21.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Instruktion" sheetId="1" state="visible" r:id="rId3"/>
    <sheet name="Sammanfattning" sheetId="2" state="visible" r:id="rId4"/>
    <sheet name="Byggnader" sheetId="3" state="visible" r:id="rId5"/>
    <sheet name="Tidigare deklarationer" sheetId="4" state="visible" r:id="rId6"/>
    <sheet name="Mätdata" sheetId="5" state="visible" r:id="rId7"/>
    <sheet name="Solceller" sheetId="6" state="visible" r:id="rId8"/>
    <sheet name="Besiktningsprotokoll" sheetId="7" state="visible" r:id="rId9"/>
    <sheet name="Bilder" sheetId="8" state="visible" r:id="rId10"/>
    <sheet name="Normalisering" sheetId="9" state="visible" r:id="rId11"/>
    <sheet name="Resultat" sheetId="10" state="visible" r:id="rId12"/>
    <sheet name="Gripen" sheetId="11" state="visible" r:id="rId13"/>
    <sheet name="Beräkningshjälp schabloner" sheetId="12" state="visible" r:id="rId14"/>
    <sheet name="Nyckeltal" sheetId="13" state="visible" r:id="rId15"/>
    <sheet name="Energiprisfaktorer" sheetId="14" state="visible" r:id="rId16"/>
    <sheet name="Installera bergvärme" sheetId="15" state="visible" r:id="rId17"/>
    <sheet name="Injustering av värmesystem" sheetId="16" state="visible" r:id="rId18"/>
    <sheet name="Styrsystem för värme" sheetId="17" state="visible" r:id="rId19"/>
    <sheet name="Tilläggisolering av vindsbjälk" sheetId="18" state="visible" r:id="rId20"/>
    <sheet name="Byte fönster" sheetId="19" state="visible" r:id="rId21"/>
    <sheet name="Tilläggisol fasad" sheetId="20" state="visible" r:id="rId22"/>
    <sheet name="Installation F-återvinning" sheetId="21" state="visible" r:id="rId23"/>
    <sheet name="Installation av solceller" sheetId="22" state="visible" r:id="rId24"/>
    <sheet name="Byte av pump" sheetId="23" state="visible" r:id="rId25"/>
    <sheet name="Byte av fläkt" sheetId="24" state="visible" r:id="rId26"/>
    <sheet name="Övrig åtgärd" sheetId="25" state="visible" r:id="rId27"/>
    <sheet name="Förslagstexter och kalkyl" sheetId="26" state="visible" r:id="rId28"/>
    <sheet name="Regler BFS 2026" sheetId="27" state="visible" r:id="rId29"/>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31" authorId="0">
      <text>
        <r>
          <rPr>
            <sz val="10"/>
            <rFont val="Arial"/>
            <family val="2"/>
          </rPr>
          <t xml:space="preserve">Ingår i Atemp enligt BFS 2026:9 (ytor som värms till mer än 10 °C). Räknas till bostadsdelens kategori.</t>
        </r>
      </text>
    </comment>
    <comment ref="C10" authorId="0">
      <text>
        <r>
          <rPr>
            <sz val="10"/>
            <rFont val="Arial"/>
            <family val="2"/>
          </rPr>
          <t xml:space="preserve">Gripen gör klimatkorrigeringen själv. Värdet används bara för att mallens kontrollberäkning av Etal ska stämma med Gripen. Ange samma energiindex som Gripen visar.</t>
        </r>
      </text>
    </comment>
    <comment ref="C21" authorId="0">
      <text>
        <r>
          <rPr>
            <sz val="10"/>
            <rFont val="Arial"/>
            <family val="2"/>
          </rPr>
          <t xml:space="preserve">Summerad A-temp för bostadsdelen. Beräknas vid sidan om, t.ex. per våningsplan.</t>
        </r>
      </text>
    </comment>
    <comment ref="I39" authorId="0">
      <text>
        <r>
          <rPr>
            <sz val="10"/>
            <rFont val="Arial"/>
            <family val="2"/>
          </rPr>
          <t xml:space="preserve">Ska vara 100 %. Annars fördelas inte hela den gemensamma mätaren.</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41" authorId="0">
      <text>
        <r>
          <rPr>
            <sz val="10"/>
            <rFont val="Arial"/>
            <family val="2"/>
          </rPr>
          <t xml:space="preserve">Ca 55 kWh/m³ motsvarar uppvärmning ca 47 K.</t>
        </r>
      </text>
    </comment>
    <comment ref="B42" authorId="0">
      <text>
        <r>
          <rPr>
            <sz val="10"/>
            <rFont val="Arial"/>
            <family val="2"/>
          </rPr>
          <t xml:space="preserve">1 = VVC-förlusterna ligger kvar i uppvärmningen (som i tidigare mall). Lägre värde = VVC-förlusterna räknas till tappvarmvattnet och skalas vid normalisering.</t>
        </r>
      </text>
    </comment>
    <comment ref="B43" authorId="0">
      <text>
        <r>
          <rPr>
            <sz val="10"/>
            <rFont val="Arial"/>
            <family val="2"/>
          </rPr>
          <t xml:space="preserve">Används bara när ingen vattenmätare är ifylld.</t>
        </r>
      </text>
    </comment>
    <comment ref="B57" authorId="0">
      <text>
        <r>
          <rPr>
            <sz val="10"/>
            <rFont val="Arial"/>
            <family val="2"/>
          </rPr>
          <t xml:space="preserve">Fördelas: förlusterna ingår i uppmätt energi och fördelas med uppvärmningsnyckeln. Räknas bort: förlusterna dras från uppvärmningen innan fördelning.</t>
        </r>
      </text>
    </comment>
    <comment ref="C55" authorId="0">
      <text>
        <r>
          <rPr>
            <sz val="10"/>
            <rFont val="Arial"/>
            <family val="2"/>
          </rPr>
          <t xml:space="preserve">Ska vara 100 % om byggnaderna har tappvarmvatten.</t>
        </r>
      </text>
    </comment>
    <comment ref="C62" authorId="0">
      <text>
        <r>
          <rPr>
            <sz val="10"/>
            <rFont val="Arial"/>
            <family val="2"/>
          </rPr>
          <t xml:space="preserve">Används när värmepumpen saknar egen mätare. Standard är besiktningens beräkning. Skriv över vid behov.</t>
        </r>
      </text>
    </comment>
    <comment ref="D68" authorId="0">
      <text>
        <r>
          <rPr>
            <sz val="10"/>
            <rFont val="Arial"/>
            <family val="2"/>
          </rPr>
          <t xml:space="preserve">Summa fastighetsel från besiktningsprotokollet (D125). Fördelas på byggnaderna efter A-temp, dvs. samma fastighetsel per m² i alla byggnader.</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6" authorId="0">
      <text>
        <r>
          <rPr>
            <sz val="10"/>
            <rFont val="Arial"/>
            <family val="2"/>
          </rPr>
          <t xml:space="preserve">Uppmätt per byggnad om ifyllt. Annars uppmätt totalproduktion fördelad, annars effekt × specifik produktion.</t>
        </r>
      </text>
    </comment>
    <comment ref="A30" authorId="0">
      <text>
        <r>
          <rPr>
            <sz val="10"/>
            <rFont val="Arial"/>
            <family val="2"/>
          </rPr>
          <t xml:space="preserve">Begränsas till byggnadens förbrukning. Överskjutande del räknas inte.</t>
        </r>
      </text>
    </comment>
    <comment ref="B21" authorId="0">
      <text>
        <r>
          <rPr>
            <sz val="10"/>
            <rFont val="Arial"/>
            <family val="2"/>
          </rPr>
          <t xml:space="preserve">Standard 1,0 = fördelning efter årsförbrukning. Högre faktor för förbrukning som sker när solen lyser (t.ex. jämn ventilation), lägre för kvälls- eller vinterförbrukning (t.ex. värmepump). Motivera avvikelser i deklarationen.</t>
        </r>
      </text>
    </comment>
    <comment ref="C5" authorId="0">
      <text>
        <r>
          <rPr>
            <sz val="10"/>
            <rFont val="Arial"/>
            <family val="2"/>
          </rPr>
          <t xml:space="preserve">Används när produktionen inte är uppmätt.</t>
        </r>
      </text>
    </comment>
    <comment ref="C6" authorId="0">
      <text>
        <r>
          <rPr>
            <sz val="10"/>
            <rFont val="Arial"/>
            <family val="2"/>
          </rPr>
          <t xml:space="preserve">Fördelas på byggnaderna efter installerad effekt, eller efter A-temp om effekten saknas.</t>
        </r>
      </text>
    </comment>
    <comment ref="C7" authorId="0">
      <text>
        <r>
          <rPr>
            <sz val="10"/>
            <rFont val="Arial"/>
            <family val="2"/>
          </rPr>
          <t xml:space="preserve">Fördelas på byggnaderna efter andel av produktionen.</t>
        </r>
      </text>
    </comment>
    <comment ref="C8" authorId="0">
      <text>
        <r>
          <rPr>
            <sz val="10"/>
            <rFont val="Arial"/>
            <family val="2"/>
          </rPr>
          <t xml:space="preserve">Gemensamt: byggnaderna delar abonnemang och solelen fördelas efter byggnadernas förbrukning. Per byggnad: varje byggnad använder bara sin egen produktion.</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D141" authorId="0">
      <text>
        <r>
          <rPr>
            <sz val="10"/>
            <rFont val="Arial"/>
            <family val="2"/>
          </rPr>
          <t xml:space="preserve">PeterPersson:
Ange i kg tvätt per dygn
</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106" authorId="0">
      <text>
        <r>
          <rPr>
            <sz val="10"/>
            <rFont val="Arial"/>
            <family val="2"/>
          </rPr>
          <t xml:space="preserve">(Faktisk − kategoritypisk internlast) × A-temp × timmar uppvärmningssäsong. Mer gratisvärme än kategoritypiskt ger uppräknad uppvärmning.</t>
        </r>
      </text>
    </comment>
    <comment ref="A107" authorId="0">
      <text>
        <r>
          <rPr>
            <sz val="10"/>
            <rFont val="Arial"/>
            <family val="2"/>
          </rPr>
          <t xml:space="preserve">1,2 × (faktiskt − kategoritypiskt uteluftsflöde) × A-temp × gradtimmar × (1 − återvinning). Högre flöde än kategoritypiskt ger nedräknad uppvärmning.</t>
        </r>
      </text>
    </comment>
    <comment ref="A136" authorId="0">
      <text>
        <r>
          <rPr>
            <sz val="10"/>
            <rFont val="Arial"/>
            <family val="2"/>
          </rPr>
          <t xml:space="preserve">Fastighetselen antas vara lika per m² i alla byggnader och fördelas efter A-temp.</t>
        </r>
      </text>
    </comment>
    <comment ref="B10" authorId="0">
      <text>
        <r>
          <rPr>
            <sz val="10"/>
            <rFont val="Arial"/>
            <family val="2"/>
          </rPr>
          <t xml:space="preserve">Anpassa efter ort.</t>
        </r>
      </text>
    </comment>
    <comment ref="C15" authorId="0">
      <text>
        <r>
          <rPr>
            <sz val="10"/>
            <rFont val="Arial"/>
            <family val="2"/>
          </rPr>
          <t xml:space="preserve">Uppmätt eller projekterat genomsnittligt uteluftsflöde. Jämför med besiktningsprotokollets beräknade genomsnittsflöde (B78).</t>
        </r>
      </text>
    </comment>
    <comment ref="C16" authorId="0">
      <text>
        <r>
          <rPr>
            <sz val="10"/>
            <rFont val="Arial"/>
            <family val="2"/>
          </rPr>
          <t xml:space="preserve">0 vid F, självdrag eller frånluftsvärmepump (återvinningen syns då i värmepumpens el).</t>
        </r>
      </text>
    </comment>
    <comment ref="C17" authorId="0">
      <text>
        <r>
          <rPr>
            <sz val="10"/>
            <rFont val="Arial"/>
            <family val="2"/>
          </rPr>
          <t xml:space="preserve">Sveby: 1 rok 1,42, 2 rok 1,63, 3 rok 2,18, 4 rok 2,79, 5 rok 3,51. För småhus: personer per hus.</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9" authorId="0">
      <text>
        <r>
          <rPr>
            <sz val="10"/>
            <rFont val="Arial"/>
            <family val="2"/>
          </rPr>
          <t xml:space="preserve">Fastighetsel inom systemgräns minus egenanvänd solel, och minus solel till värmepump.</t>
        </r>
      </text>
    </comment>
    <comment ref="A26" authorId="0">
      <text>
        <r>
          <rPr>
            <sz val="10"/>
            <rFont val="Arial"/>
            <family val="2"/>
          </rPr>
          <t xml:space="preserve">A0 kräver även att installationerna kan reagera på externa signaler, vilket besvaras i Gripen.</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56" authorId="0">
      <text>
        <r>
          <rPr>
            <sz val="10"/>
            <rFont val="Arial"/>
            <family val="2"/>
          </rPr>
          <t xml:space="preserve">Ventilation, pumpar, styrning och fast belysning i allmänna utrymmen och driftsutrymmen. Netto efter egenanvänd solel.</t>
        </r>
      </text>
    </comment>
    <comment ref="B31" authorId="0">
      <text>
        <r>
          <rPr>
            <sz val="10"/>
            <rFont val="Arial"/>
            <family val="2"/>
          </rPr>
          <t xml:space="preserve">Normaliserad för kategoritypisk användning enligt valen i Normalisering, inte klimatkorrigerad. Rader med 0 behöver inte läggas till i Gripen.</t>
        </r>
      </text>
    </comment>
    <comment ref="B59" authorId="0">
      <text>
        <r>
          <rPr>
            <sz val="10"/>
            <rFont val="Arial"/>
            <family val="2"/>
          </rPr>
          <t xml:space="preserve">Elen ovan är redan netto efter egenanvänd solel. Kontrollera att Gripen inte drar av den en gång till.</t>
        </r>
      </text>
    </comment>
    <comment ref="B84" authorId="0">
      <text>
        <r>
          <rPr>
            <sz val="10"/>
            <rFont val="Arial"/>
            <family val="2"/>
          </rPr>
          <t xml:space="preserve">Gäller hela centralen. Vid en central som försörjer flera byggnader, bedöm om effekten ska anges för systemet eller fördelas.</t>
        </r>
      </text>
    </comment>
    <comment ref="D88" authorId="0">
      <text>
        <r>
          <rPr>
            <sz val="10"/>
            <rFont val="Arial"/>
            <family val="2"/>
          </rPr>
          <t xml:space="preserve">Fastighetens besparing fördelad efter byggnadens andel av A-temp.</t>
        </r>
      </text>
    </comment>
    <comment ref="E77" authorId="0">
      <text>
        <r>
          <rPr>
            <sz val="10"/>
            <rFont val="Arial"/>
            <family val="2"/>
          </rPr>
          <t xml:space="preserve">Uppvärmningsparametrarna visas som förändrat värmebehov per m². Tappvarmvattnet som förändrad levererad energi per m².</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Sätt "Ja" för att ta med denna åtgärd i sammanfattningsfliken (investering, energi- och kostnadsbesparing). Sätt "Nej" om åtgärden inte föreslås.</t>
        </r>
      </text>
    </comment>
    <comment ref="C4" authorId="0">
      <text>
        <r>
          <rPr>
            <sz val="10"/>
            <rFont val="Arial"/>
            <family val="2"/>
          </rPr>
          <t xml:space="preserve">Lars Abrahamsson:
Areauppgiften avser ofta 
 A-temp. Area=1 avser normalt 1 kvadratmeter vägg /tak eller 1 hus</t>
        </r>
      </text>
    </comment>
    <comment ref="C9" authorId="0">
      <text>
        <r>
          <rPr>
            <sz val="10"/>
            <rFont val="Arial"/>
            <family val="2"/>
          </rPr>
          <t xml:space="preserve">Lars Abrahamsson:
Det rörliga energipriset är ofta det som påverkas av en energiåtgärd. Om fasta eller sk halvfasta kostnader påverkas kan Edkalkyl behöva modifieras</t>
        </r>
      </text>
    </comment>
    <comment ref="D5" authorId="0">
      <text>
        <r>
          <rPr>
            <sz val="10"/>
            <rFont val="Arial"/>
            <family val="2"/>
          </rPr>
          <t xml:space="preserve">Lars Abrahamsson:
Energiprisutveckling och kalkylränta skall båda vara antingen nominella eller reala. För mer info se under Dokument på hemsidan</t>
        </r>
      </text>
    </comment>
    <comment ref="F5" authorId="0">
      <text>
        <r>
          <rPr>
            <sz val="10"/>
            <rFont val="Arial"/>
            <family val="2"/>
          </rPr>
          <t xml:space="preserve">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text>
        <r>
          <rPr>
            <sz val="10"/>
            <rFont val="Arial"/>
            <family val="2"/>
          </rPr>
          <t xml:space="preserve">Lars:
Investeringskostnaden delat med värdet av årlig besparing</t>
        </r>
      </text>
    </comment>
    <comment ref="F20" authorId="0">
      <text>
        <r>
          <rPr>
            <sz val="10"/>
            <rFont val="Arial"/>
            <family val="2"/>
          </rPr>
          <t xml:space="preserve">Lars Abrahamsson:
Detta är den högsta godtagbara investeringskostnaden om investeringen skall vara lönsam</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Sätt "Ja" för att ta med denna åtgärd i sammanfattningsfliken (investering, energi- och kostnadsbesparing). Sätt "Nej" om åtgärden inte föreslås.</t>
        </r>
      </text>
    </comment>
    <comment ref="C4" authorId="0">
      <text>
        <r>
          <rPr>
            <sz val="10"/>
            <rFont val="Arial"/>
            <family val="2"/>
          </rPr>
          <t xml:space="preserve">Lars Abrahamsson:
Areauppgiften avser ofta 
 A-temp. Area=1 avser normalt 1 kvadratmeter vägg /tak eller 1 hus</t>
        </r>
      </text>
    </comment>
    <comment ref="C9" authorId="0">
      <text>
        <r>
          <rPr>
            <sz val="10"/>
            <rFont val="Arial"/>
            <family val="2"/>
          </rPr>
          <t xml:space="preserve">Lars Abrahamsson:
Det rörliga energipriset är ofta det som påverkas av en energiåtgärd. Om fasta eller sk halvfasta kostnader påverkas kan Edkalkyl behöva modifieras</t>
        </r>
      </text>
    </comment>
    <comment ref="D5" authorId="0">
      <text>
        <r>
          <rPr>
            <sz val="10"/>
            <rFont val="Arial"/>
            <family val="2"/>
          </rPr>
          <t xml:space="preserve">Lars Abrahamsson:
Energiprisutveckling och kalkylränta skall båda vara antingen nominella eller reala. För mer info se under Dokument på hemsidan</t>
        </r>
      </text>
    </comment>
    <comment ref="F5" authorId="0">
      <text>
        <r>
          <rPr>
            <sz val="10"/>
            <rFont val="Arial"/>
            <family val="2"/>
          </rPr>
          <t xml:space="preserve">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text>
        <r>
          <rPr>
            <sz val="10"/>
            <rFont val="Arial"/>
            <family val="2"/>
          </rPr>
          <t xml:space="preserve">Lars:
Investeringskostnaden delat med värdet av årlig besparing</t>
        </r>
      </text>
    </comment>
    <comment ref="F20" authorId="0">
      <text>
        <r>
          <rPr>
            <sz val="10"/>
            <rFont val="Arial"/>
            <family val="2"/>
          </rPr>
          <t xml:space="preserve">Lars Abrahamsson:
Detta är den högsta godtagbara investeringskostnaden om investeringen skall vara lönsam</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Sätt "Ja" för att ta med denna åtgärd i sammanfattningsfliken (investering, energi- och kostnadsbesparing). Sätt "Nej" om åtgärden inte föreslås.</t>
        </r>
      </text>
    </comment>
    <comment ref="C4" authorId="0">
      <text>
        <r>
          <rPr>
            <sz val="10"/>
            <rFont val="Arial"/>
            <family val="2"/>
          </rPr>
          <t xml:space="preserve">Lars Abrahamsson:
Areauppgiften avser ofta 
 A-temp. Area=1 avser normalt 1 kvadratmeter vägg /tak eller 1 hus</t>
        </r>
      </text>
    </comment>
    <comment ref="C9" authorId="0">
      <text>
        <r>
          <rPr>
            <sz val="10"/>
            <rFont val="Arial"/>
            <family val="2"/>
          </rPr>
          <t xml:space="preserve">Lars Abrahamsson:
Det rörliga energipriset är ofta det som påverkas av en energiåtgärd. Om fasta eller sk halvfasta kostnader påverkas kan Edkalkyl behöva modifieras</t>
        </r>
      </text>
    </comment>
    <comment ref="D5" authorId="0">
      <text>
        <r>
          <rPr>
            <sz val="10"/>
            <rFont val="Arial"/>
            <family val="2"/>
          </rPr>
          <t xml:space="preserve">Lars Abrahamsson:
Energiprisutveckling och kalkylränta skall båda vara antingen nominella eller reala. För mer info se under Dokument på hemsidan</t>
        </r>
      </text>
    </comment>
    <comment ref="F5" authorId="0">
      <text>
        <r>
          <rPr>
            <sz val="10"/>
            <rFont val="Arial"/>
            <family val="2"/>
          </rPr>
          <t xml:space="preserve">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text>
        <r>
          <rPr>
            <sz val="10"/>
            <rFont val="Arial"/>
            <family val="2"/>
          </rPr>
          <t xml:space="preserve">Lars:
Investeringskostnaden delat med värdet av årlig besparing</t>
        </r>
      </text>
    </comment>
    <comment ref="F20" authorId="0">
      <text>
        <r>
          <rPr>
            <sz val="10"/>
            <rFont val="Arial"/>
            <family val="2"/>
          </rPr>
          <t xml:space="preserve">Lars Abrahamsson:
Detta är den högsta godtagbara investeringskostnaden om investeringen skall vara lönsam</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Sätt "Ja" för att ta med denna åtgärd i sammanfattningsfliken (investering, energi- och kostnadsbesparing). Sätt "Nej" om åtgärden inte föreslås.</t>
        </r>
      </text>
    </comment>
    <comment ref="C4" authorId="0">
      <text>
        <r>
          <rPr>
            <sz val="10"/>
            <rFont val="Arial"/>
            <family val="2"/>
          </rPr>
          <t xml:space="preserve">Lars Abrahamsson:
Areauppgiften avser ofta 
 A-temp. Area=1 avser normalt 1 kvadratmeter vägg /tak eller 1 hus</t>
        </r>
      </text>
    </comment>
    <comment ref="C9" authorId="0">
      <text>
        <r>
          <rPr>
            <sz val="10"/>
            <rFont val="Arial"/>
            <family val="2"/>
          </rPr>
          <t xml:space="preserve">Lars Abrahamsson:
Det rörliga energipriset är ofta det som påverkas av en energiåtgärd. Om fasta eller sk halvfasta kostnader påverkas kan Edkalkyl behöva modifieras</t>
        </r>
      </text>
    </comment>
    <comment ref="D5" authorId="0">
      <text>
        <r>
          <rPr>
            <sz val="10"/>
            <rFont val="Arial"/>
            <family val="2"/>
          </rPr>
          <t xml:space="preserve">Lars Abrahamsson:
Energiprisutveckling och kalkylränta skall båda vara antingen nominella eller reala. För mer info se under Dokument på hemsidan</t>
        </r>
      </text>
    </comment>
    <comment ref="F5" authorId="0">
      <text>
        <r>
          <rPr>
            <sz val="10"/>
            <rFont val="Arial"/>
            <family val="2"/>
          </rPr>
          <t xml:space="preserve">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text>
        <r>
          <rPr>
            <sz val="10"/>
            <rFont val="Arial"/>
            <family val="2"/>
          </rPr>
          <t xml:space="preserve">Lars:
Investeringskostnaden delat med värdet av årlig besparing</t>
        </r>
      </text>
    </comment>
    <comment ref="F20" authorId="0">
      <text>
        <r>
          <rPr>
            <sz val="10"/>
            <rFont val="Arial"/>
            <family val="2"/>
          </rPr>
          <t xml:space="preserve">Lars Abrahamsson:
Detta är den högsta godtagbara investeringskostnaden om investeringen skall vara lönsam</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Sätt "Ja" för att ta med denna åtgärd i sammanfattningsfliken (investering, energi- och kostnadsbesparing). Sätt "Nej" om åtgärden inte föreslås.</t>
        </r>
      </text>
    </comment>
    <comment ref="C4" authorId="0">
      <text>
        <r>
          <rPr>
            <sz val="10"/>
            <rFont val="Arial"/>
            <family val="2"/>
          </rPr>
          <t xml:space="preserve">Lars Abrahamsson:
Areauppgiften avser ofta 
 A-temp. Area=1 avser normalt 1 kvadratmeter vägg /tak eller 1 hus</t>
        </r>
      </text>
    </comment>
    <comment ref="C9" authorId="0">
      <text>
        <r>
          <rPr>
            <sz val="10"/>
            <rFont val="Arial"/>
            <family val="2"/>
          </rPr>
          <t xml:space="preserve">Lars Abrahamsson:
Det rörliga energipriset är ofta det som påverkas av en energiåtgärd. Om fasta eller sk halvfasta kostnader påverkas kan Edkalkyl behöva modifieras</t>
        </r>
      </text>
    </comment>
    <comment ref="D5" authorId="0">
      <text>
        <r>
          <rPr>
            <sz val="10"/>
            <rFont val="Arial"/>
            <family val="2"/>
          </rPr>
          <t xml:space="preserve">Lars Abrahamsson:
Energiprisutveckling och kalkylränta skall båda vara antingen nominella eller reala. För mer info se under Dokument på hemsidan</t>
        </r>
      </text>
    </comment>
    <comment ref="F5" authorId="0">
      <text>
        <r>
          <rPr>
            <sz val="10"/>
            <rFont val="Arial"/>
            <family val="2"/>
          </rPr>
          <t xml:space="preserve">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text>
        <r>
          <rPr>
            <sz val="10"/>
            <rFont val="Arial"/>
            <family val="2"/>
          </rPr>
          <t xml:space="preserve">Lars:
Investeringskostnaden delat med värdet av årlig besparing</t>
        </r>
      </text>
    </comment>
    <comment ref="F20" authorId="0">
      <text>
        <r>
          <rPr>
            <sz val="10"/>
            <rFont val="Arial"/>
            <family val="2"/>
          </rPr>
          <t xml:space="preserve">Lars Abrahamsson:
Detta är den högsta godtagbara investeringskostnaden om investeringen skall vara lönsam</t>
        </r>
      </text>
    </comment>
    <comment ref="K10" authorId="0">
      <text>
        <r>
          <rPr>
            <sz val="10"/>
            <rFont val="Arial"/>
            <family val="2"/>
          </rPr>
          <t xml:space="preserve">Eget nyckeltal för denna åtgärd (kr/m2 fönsteryta). Inte samma mängdenhet som kr/m2 A-temp i fliken "Nyckeltal" (1 100 kr/m2 A-temp) - jämför inte direkt. Uppdatera mot aktuellt marknadspris.</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Sätt "Ja" för att ta med denna åtgärd i sammanfattningsfliken (investering, energi- och kostnadsbesparing). Sätt "Nej" om åtgärden inte föreslås.</t>
        </r>
      </text>
    </comment>
    <comment ref="C4" authorId="0">
      <text>
        <r>
          <rPr>
            <sz val="10"/>
            <rFont val="Arial"/>
            <family val="2"/>
          </rPr>
          <t xml:space="preserve">Lars Abrahamsson:
Areauppgiften avser ofta 
 A-temp. Area=1 avser normalt 1 kvadratmeter vägg /tak eller 1 hus</t>
        </r>
      </text>
    </comment>
    <comment ref="C9" authorId="0">
      <text>
        <r>
          <rPr>
            <sz val="10"/>
            <rFont val="Arial"/>
            <family val="2"/>
          </rPr>
          <t xml:space="preserve">Lars Abrahamsson:
Det rörliga energipriset är ofta det som påverkas av en energiåtgärd. Om fasta eller sk halvfasta kostnader påverkas kan Edkalkyl behöva modifieras</t>
        </r>
      </text>
    </comment>
    <comment ref="D5" authorId="0">
      <text>
        <r>
          <rPr>
            <sz val="10"/>
            <rFont val="Arial"/>
            <family val="2"/>
          </rPr>
          <t xml:space="preserve">Lars Abrahamsson:
Energiprisutveckling och kalkylränta skall båda vara antingen nominella eller reala. För mer info se under Dokument på hemsidan</t>
        </r>
      </text>
    </comment>
    <comment ref="F5" authorId="0">
      <text>
        <r>
          <rPr>
            <sz val="10"/>
            <rFont val="Arial"/>
            <family val="2"/>
          </rPr>
          <t xml:space="preserve">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text>
        <r>
          <rPr>
            <sz val="10"/>
            <rFont val="Arial"/>
            <family val="2"/>
          </rPr>
          <t xml:space="preserve">Lars:
Investeringskostnaden delat med värdet av årlig besparing</t>
        </r>
      </text>
    </comment>
    <comment ref="F20" authorId="0">
      <text>
        <r>
          <rPr>
            <sz val="10"/>
            <rFont val="Arial"/>
            <family val="2"/>
          </rPr>
          <t xml:space="preserve">Lars Abrahamsson:
Detta är den högsta godtagbara investeringskostnaden om investeringen skall vara lönsam</t>
        </r>
      </text>
    </comment>
    <comment ref="K10" authorId="0">
      <text>
        <r>
          <rPr>
            <sz val="10"/>
            <rFont val="Arial"/>
            <family val="2"/>
          </rPr>
          <t xml:space="preserve">Eget nyckeltal för denna åtgärd (kr/m2 fasadyta exkl fönster). Inte samma mängdenhet som kr/m2 A-temp i fliken "Nyckeltal" (2 400 kr/m2 A-temp) - jämför inte direkt. Uppdatera mot aktuellt marknadspris.</t>
        </r>
      </text>
    </comment>
  </commentList>
</comments>
</file>

<file path=xl/comments21.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Sätt "Ja" för att ta med denna åtgärd i sammanfattningsfliken (investering, energi- och kostnadsbesparing). Sätt "Nej" om åtgärden inte föreslås.</t>
        </r>
      </text>
    </comment>
    <comment ref="C4" authorId="0">
      <text>
        <r>
          <rPr>
            <sz val="10"/>
            <rFont val="Arial"/>
            <family val="2"/>
          </rPr>
          <t xml:space="preserve">Lars Abrahamsson:
Areauppgiften avser ofta 
 A-temp. Area=1 avser normalt 1 kvadratmeter vägg /tak eller 1 hus</t>
        </r>
      </text>
    </comment>
    <comment ref="C9" authorId="0">
      <text>
        <r>
          <rPr>
            <sz val="10"/>
            <rFont val="Arial"/>
            <family val="2"/>
          </rPr>
          <t xml:space="preserve">Lars Abrahamsson:
Det rörliga energipriset är ofta det som påverkas av en energiåtgärd. Om fasta eller sk halvfasta kostnader påverkas kan Edkalkyl behöva modifieras</t>
        </r>
      </text>
    </comment>
    <comment ref="D5" authorId="0">
      <text>
        <r>
          <rPr>
            <sz val="10"/>
            <rFont val="Arial"/>
            <family val="2"/>
          </rPr>
          <t xml:space="preserve">Lars Abrahamsson:
Energiprisutveckling och kalkylränta skall båda vara antingen nominella eller reala. För mer info se under Dokument på hemsidan</t>
        </r>
      </text>
    </comment>
    <comment ref="F5" authorId="0">
      <text>
        <r>
          <rPr>
            <sz val="10"/>
            <rFont val="Arial"/>
            <family val="2"/>
          </rPr>
          <t xml:space="preserve">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text>
        <r>
          <rPr>
            <sz val="10"/>
            <rFont val="Arial"/>
            <family val="2"/>
          </rPr>
          <t xml:space="preserve">Lars:
Investeringskostnaden delat med värdet av årlig besparing</t>
        </r>
      </text>
    </comment>
    <comment ref="F20" authorId="0">
      <text>
        <r>
          <rPr>
            <sz val="10"/>
            <rFont val="Arial"/>
            <family val="2"/>
          </rPr>
          <t xml:space="preserve">Lars Abrahamsson:
Detta är den högsta godtagbara investeringskostnaden om investeringen skall vara lönsam</t>
        </r>
      </text>
    </comment>
  </commentList>
</comments>
</file>

<file path=xl/comments22.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Sätt "Ja" för att ta med denna åtgärd i sammanfattningsfliken (investering, energi- och kostnadsbesparing). Sätt "Nej" om åtgärden inte föreslås.</t>
        </r>
      </text>
    </comment>
    <comment ref="C4" authorId="0">
      <text>
        <r>
          <rPr>
            <sz val="10"/>
            <rFont val="Arial"/>
            <family val="2"/>
          </rPr>
          <t xml:space="preserve">Lars Abrahamsson:
Areauppgiften avser ofta 
 A-temp. Area=1 avser normalt 1 kvadratmeter vägg /tak eller 1 hus</t>
        </r>
      </text>
    </comment>
    <comment ref="C9" authorId="0">
      <text>
        <r>
          <rPr>
            <sz val="10"/>
            <rFont val="Arial"/>
            <family val="2"/>
          </rPr>
          <t xml:space="preserve">Lars Abrahamsson:
Det rörliga energipriset är ofta det som påverkas av en energiåtgärd. Om fasta eller sk halvfasta kostnader påverkas kan Edkalkyl behöva modifieras</t>
        </r>
      </text>
    </comment>
    <comment ref="D5" authorId="0">
      <text>
        <r>
          <rPr>
            <sz val="10"/>
            <rFont val="Arial"/>
            <family val="2"/>
          </rPr>
          <t xml:space="preserve">Lars Abrahamsson:
Energiprisutveckling och kalkylränta skall båda vara antingen nominella eller reala. För mer info se under Dokument på hemsidan</t>
        </r>
      </text>
    </comment>
    <comment ref="F5" authorId="0">
      <text>
        <r>
          <rPr>
            <sz val="10"/>
            <rFont val="Arial"/>
            <family val="2"/>
          </rPr>
          <t xml:space="preserve">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text>
        <r>
          <rPr>
            <sz val="10"/>
            <rFont val="Arial"/>
            <family val="2"/>
          </rPr>
          <t xml:space="preserve">Lars:
Investeringskostnaden delat med värdet av årlig besparing</t>
        </r>
      </text>
    </comment>
    <comment ref="F20" authorId="0">
      <text>
        <r>
          <rPr>
            <sz val="10"/>
            <rFont val="Arial"/>
            <family val="2"/>
          </rPr>
          <t xml:space="preserve">Lars Abrahamsson:
Detta är den högsta godtagbara investeringskostnaden om investeringen skall vara lönsam</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Sätt "Ja" för att ta med denna åtgärd i sammanfattningsfliken (investering, energi- och kostnadsbesparing). Sätt "Nej" om åtgärden inte föreslås.</t>
        </r>
      </text>
    </comment>
    <comment ref="C4" authorId="0">
      <text>
        <r>
          <rPr>
            <sz val="10"/>
            <rFont val="Arial"/>
            <family val="2"/>
          </rPr>
          <t xml:space="preserve">Lars Abrahamsson:
Areauppgiften avser ofta 
 A-temp. Area=1 avser normalt 1 kvadratmeter vägg /tak eller 1 hus</t>
        </r>
      </text>
    </comment>
    <comment ref="C9" authorId="0">
      <text>
        <r>
          <rPr>
            <sz val="10"/>
            <rFont val="Arial"/>
            <family val="2"/>
          </rPr>
          <t xml:space="preserve">Lars Abrahamsson:
Det rörliga energipriset är ofta det som påverkas av en energiåtgärd. Om fasta eller sk halvfasta kostnader påverkas kan Edkalkyl behöva modifieras</t>
        </r>
      </text>
    </comment>
    <comment ref="D5" authorId="0">
      <text>
        <r>
          <rPr>
            <sz val="10"/>
            <rFont val="Arial"/>
            <family val="2"/>
          </rPr>
          <t xml:space="preserve">Lars Abrahamsson:
Energiprisutveckling och kalkylränta skall båda vara antingen nominella eller reala. För mer info se under Dokument på hemsidan</t>
        </r>
      </text>
    </comment>
    <comment ref="F5" authorId="0">
      <text>
        <r>
          <rPr>
            <sz val="10"/>
            <rFont val="Arial"/>
            <family val="2"/>
          </rPr>
          <t xml:space="preserve">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text>
        <r>
          <rPr>
            <sz val="10"/>
            <rFont val="Arial"/>
            <family val="2"/>
          </rPr>
          <t xml:space="preserve">Lars:
Investeringskostnaden delat med värdet av årlig besparing</t>
        </r>
      </text>
    </comment>
    <comment ref="F20" authorId="0">
      <text>
        <r>
          <rPr>
            <sz val="10"/>
            <rFont val="Arial"/>
            <family val="2"/>
          </rPr>
          <t xml:space="preserve">Lars Abrahamsson:
Detta är den högsta godtagbara investeringskostnaden om investeringen skall vara lönsam</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Sätt "Ja" för att ta med denna åtgärd i sammanfattningsfliken (investering, energi- och kostnadsbesparing). Sätt "Nej" om åtgärden inte föreslås.</t>
        </r>
      </text>
    </comment>
    <comment ref="C4" authorId="0">
      <text>
        <r>
          <rPr>
            <sz val="10"/>
            <rFont val="Arial"/>
            <family val="2"/>
          </rPr>
          <t xml:space="preserve">Lars Abrahamsson:
Areauppgiften avser ofta 
 A-temp. Area=1 avser normalt 1 kvadratmeter vägg /tak eller 1 hus</t>
        </r>
      </text>
    </comment>
    <comment ref="C9" authorId="0">
      <text>
        <r>
          <rPr>
            <sz val="10"/>
            <rFont val="Arial"/>
            <family val="2"/>
          </rPr>
          <t xml:space="preserve">Lars Abrahamsson:
Det rörliga energipriset är ofta det som påverkas av en energiåtgärd. Om fasta eller sk halvfasta kostnader påverkas kan Edkalkyl behöva modifieras</t>
        </r>
      </text>
    </comment>
    <comment ref="D5" authorId="0">
      <text>
        <r>
          <rPr>
            <sz val="10"/>
            <rFont val="Arial"/>
            <family val="2"/>
          </rPr>
          <t xml:space="preserve">Lars Abrahamsson:
Energiprisutveckling och kalkylränta skall båda vara antingen nominella eller reala. För mer info se under Dokument på hemsidan</t>
        </r>
      </text>
    </comment>
    <comment ref="F5" authorId="0">
      <text>
        <r>
          <rPr>
            <sz val="10"/>
            <rFont val="Arial"/>
            <family val="2"/>
          </rPr>
          <t xml:space="preserve">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text>
        <r>
          <rPr>
            <sz val="10"/>
            <rFont val="Arial"/>
            <family val="2"/>
          </rPr>
          <t xml:space="preserve">Lars:
Investeringskostnaden delat med värdet av årlig besparing</t>
        </r>
      </text>
    </comment>
    <comment ref="F20" authorId="0">
      <text>
        <r>
          <rPr>
            <sz val="10"/>
            <rFont val="Arial"/>
            <family val="2"/>
          </rPr>
          <t xml:space="preserve">Lars Abrahamsson:
Detta är den högsta godtagbara investeringskostnaden om investeringen skall vara lönsam</t>
        </r>
      </text>
    </comment>
  </commentList>
</comments>
</file>

<file path=xl/comments25.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Skriv åtgärdens namn här. Namnet visas i Sammanfattning och i Gripen-fliken.</t>
        </r>
      </text>
    </comment>
    <comment ref="B2" authorId="0">
      <text>
        <r>
          <rPr>
            <sz val="10"/>
            <rFont val="Arial"/>
            <family val="2"/>
          </rPr>
          <t xml:space="preserve">Sätt "Ja" för att ta med denna åtgärd i sammanfattningsfliken (investering, energi- och kostnadsbesparing). Sätt "Nej" om åtgärden inte föreslås.</t>
        </r>
      </text>
    </comment>
    <comment ref="C4" authorId="0">
      <text>
        <r>
          <rPr>
            <sz val="10"/>
            <rFont val="Arial"/>
            <family val="2"/>
          </rPr>
          <t xml:space="preserve">Lars Abrahamsson:
Areauppgiften avser ofta 
 A-temp. Area=1 avser normalt 1 kvadratmeter vägg /tak eller 1 hus</t>
        </r>
      </text>
    </comment>
    <comment ref="C9" authorId="0">
      <text>
        <r>
          <rPr>
            <sz val="10"/>
            <rFont val="Arial"/>
            <family val="2"/>
          </rPr>
          <t xml:space="preserve">Lars Abrahamsson:
Det rörliga energipriset är ofta det som påverkas av en energiåtgärd. Om fasta eller sk halvfasta kostnader påverkas kan Edkalkyl behöva modifieras</t>
        </r>
      </text>
    </comment>
    <comment ref="D5" authorId="0">
      <text>
        <r>
          <rPr>
            <sz val="10"/>
            <rFont val="Arial"/>
            <family val="2"/>
          </rPr>
          <t xml:space="preserve">Lars Abrahamsson:
Energiprisutveckling och kalkylränta skall båda vara antingen nominella eller reala. För mer info se under Dokument på hemsidan</t>
        </r>
      </text>
    </comment>
    <comment ref="F5" authorId="0">
      <text>
        <r>
          <rPr>
            <sz val="10"/>
            <rFont val="Arial"/>
            <family val="2"/>
          </rPr>
          <t xml:space="preserve">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text>
        <r>
          <rPr>
            <sz val="10"/>
            <rFont val="Arial"/>
            <family val="2"/>
          </rPr>
          <t xml:space="preserve">Lars:
Investeringskostnaden delat med värdet av årlig besparing</t>
        </r>
      </text>
    </comment>
    <comment ref="F20" authorId="0">
      <text>
        <r>
          <rPr>
            <sz val="10"/>
            <rFont val="Arial"/>
            <family val="2"/>
          </rPr>
          <t xml:space="preserve">Lars Abrahamsson:
Detta är den högsta godtagbara investeringskostnaden om investeringen skall vara lönsam</t>
        </r>
      </text>
    </comment>
    <comment ref="K11" authorId="0">
      <text>
        <r>
          <rPr>
            <sz val="10"/>
            <rFont val="Arial"/>
            <family val="2"/>
          </rPr>
          <t xml:space="preserve">Ändrad köpt energi för uppvärmning och varmvatten, prissatt som energislag 1 (C8–C10). Minskning anges med minus.</t>
        </r>
      </text>
    </comment>
    <comment ref="K12" authorId="0">
      <text>
        <r>
          <rPr>
            <sz val="10"/>
            <rFont val="Arial"/>
            <family val="2"/>
          </rPr>
          <t xml:space="preserve">Ändrad köpt el, prissatt som energislag 2 (C11–C13). Minskning anges med minus.</t>
        </r>
      </text>
    </comment>
    <comment ref="K23" authorId="0">
      <text>
        <r>
          <rPr>
            <sz val="10"/>
            <rFont val="Arial"/>
            <family val="2"/>
          </rPr>
          <t xml:space="preserve">Utgångsläget påverkar inte besparingen, bara skillnaden före/efter räknas. Fastighetselen används som referens.</t>
        </r>
      </text>
    </comment>
  </commentList>
</comments>
</file>

<file path=xl/sharedStrings.xml><?xml version="1.0" encoding="utf-8"?>
<sst xmlns="http://schemas.openxmlformats.org/spreadsheetml/2006/main" count="2128" uniqueCount="1120">
  <si>
    <t xml:space="preserve">Arbetsgång energideklaration enligt BFS 2026:9 och 2026:10</t>
  </si>
  <si>
    <t xml:space="preserve">Byggnader: fyll i fastighet, kommun och mätperiod. En kolumn per fysisk byggnad med typ, antal lägenheter, summerad A-temp för bostäder, lokaler per kategori och varmgarage.</t>
  </si>
  <si>
    <t xml:space="preserve">Mätdata: lägg in varje energimätare med energibärare, ändamål och vilken byggnad den försörjer. Välj Alla för gemensamma mätare, t.ex. en fjärrvärmecentral med kulvert. Lägg in vattenmätare på samma sätt.</t>
  </si>
  <si>
    <t xml:space="preserve">Mätdata: ange andel varmvattenproduktion och årsverkningsgrad per värmekälla, kulvertförluster och hur de ska hanteras. Fastighetselen hämtas från besiktningsprotokollets sammanställning och fördelas efter A-temp.</t>
  </si>
  <si>
    <t xml:space="preserve">Byggnader: kontrollera fördelningsnycklarna för gemensamma mätare. Ange manuell andel om A-temp eller antal lägenheter inte speglar verkligheten.</t>
  </si>
  <si>
    <t xml:space="preserve">Besiktningsprotokoll: fyll i som tidigare. Summan av fastighetsel (D125) blir fastighetens fastighetsel inom systemgräns.</t>
  </si>
  <si>
    <t xml:space="preserve">Normalisering: ange faktisk innetemperatur, uteluftsflöde, återvinning och personer per lägenhet per byggnad, och välj Ja/Nej för de fyra normaliseringarna.</t>
  </si>
  <si>
    <t xml:space="preserve">Resultat: kontrollera energiprestandatal och energiklass per byggnad. Ange samma energiindex i Byggnader C10 som Gripen använder för att värdena ska stämma.</t>
  </si>
  <si>
    <t xml:space="preserve">Gripen: välj byggnad i B4 och för över de grå cellerna avsnitt för avsnitt. Upprepa för varje byggnad. Jämför sedan Gripens beräkning med kontrollvärdena.</t>
  </si>
  <si>
    <t xml:space="preserve">Åtgärdsflikarna fungerar som tidigare för hela fastigheten. Fliken Övrig åtgärd används för andra åtgärder: ange namn i A1, investering och ändrad värme- och elförbrukning. Besparingen fördelas per byggnad i fliken Gripen.</t>
  </si>
  <si>
    <t xml:space="preserve">Solceller: ange installerad effekt per byggnad och produktion och såld el, per byggnad eller för hela fastigheten. Egenanvänd solel fördelas automatiskt på förbrukarna efter årsförbrukning. Samtidighetsfaktorn (standard 1,0) kan justeras om det finns skäl.</t>
  </si>
  <si>
    <t xml:space="preserve">Fliken Tidigare deklarationer fylls av webbverktyget som läser in gamla energideklarationer. Kontrollera A-temp, verksamhetsfördelning och byggnadstyp mot de nya kategorierna.</t>
  </si>
  <si>
    <t xml:space="preserve">Sammanfattning – Energideklaration</t>
  </si>
  <si>
    <t xml:space="preserve">Byggnad</t>
  </si>
  <si>
    <t xml:space="preserve">Adress</t>
  </si>
  <si>
    <t xml:space="preserve">Utförd av</t>
  </si>
  <si>
    <t xml:space="preserve">1. Nuvarande energianvändning</t>
  </si>
  <si>
    <t xml:space="preserve">Kategori</t>
  </si>
  <si>
    <t xml:space="preserve">kWh/år</t>
  </si>
  <si>
    <t xml:space="preserve">Andel</t>
  </si>
  <si>
    <t xml:space="preserve">Värme (uppvärmning, normaliserad, ej klimatkorrigerad)</t>
  </si>
  <si>
    <t xml:space="preserve">Varmvatten (normaliserat)</t>
  </si>
  <si>
    <t xml:space="preserve">Fastighetsel inom systemgräns (netto)</t>
  </si>
  <si>
    <t xml:space="preserve">Verksamhetsel</t>
  </si>
  <si>
    <t xml:space="preserve">Summa</t>
  </si>
  <si>
    <t xml:space="preserve">Summor för hela fastigheten. Resultat per byggnad finns i flikarna Resultat och Gripen.</t>
  </si>
  <si>
    <t xml:space="preserve">Energiprestandatal fastigheten (kWh/m²,år)</t>
  </si>
  <si>
    <t xml:space="preserve">Energiklass fastigheten (BFS 2026:10)</t>
  </si>
  <si>
    <t xml:space="preserve">2. Föreslagna energiåtgärder</t>
  </si>
  <si>
    <t xml:space="preserve">Markera "Ja" i respektive åtgärdsflik (cell B2). Aktiverade åtgärder sorteras efter kortast paybacktid. Ej aktiverade åtgärder hamnar sist.</t>
  </si>
  <si>
    <t xml:space="preserve">Hjälptabell i fast ordning (används för sorteringen och fliken Gripen)</t>
  </si>
  <si>
    <t xml:space="preserve">Åtgärd</t>
  </si>
  <si>
    <t xml:space="preserve">Aktiverad</t>
  </si>
  <si>
    <t xml:space="preserve">Investering (kr)</t>
  </si>
  <si>
    <t xml:space="preserve">Energibesparing (kWh/år)</t>
  </si>
  <si>
    <t xml:space="preserve">Kostnadsbesparing (kr/år)</t>
  </si>
  <si>
    <t xml:space="preserve">Paybacktid (år)</t>
  </si>
  <si>
    <t xml:space="preserve">Lönsamhet</t>
  </si>
  <si>
    <t xml:space="preserve">Kommentar</t>
  </si>
  <si>
    <t xml:space="preserve">Sorteringsnyckel</t>
  </si>
  <si>
    <t xml:space="preserve">Utförs i samband med fasadrenovering</t>
  </si>
  <si>
    <t xml:space="preserve">Utförs med framtida underhållsbyte av frånluftsfläktar</t>
  </si>
  <si>
    <t xml:space="preserve">Summa aktiverade åtgärder</t>
  </si>
  <si>
    <t xml:space="preserve">Byggnader och A-temp</t>
  </si>
  <si>
    <t xml:space="preserve">En kolumn per fysisk byggnad, varje byggnad blir en egen energideklaration i Gripen. Lämna oanvända kolumner tomma.</t>
  </si>
  <si>
    <t xml:space="preserve">Fastighet</t>
  </si>
  <si>
    <t xml:space="preserve">Fastighetsbeteckning</t>
  </si>
  <si>
    <t xml:space="preserve">Kommun</t>
  </si>
  <si>
    <t xml:space="preserve">Karlstad</t>
  </si>
  <si>
    <t xml:space="preserve">Geografisk justeringsfaktor Fgeo</t>
  </si>
  <si>
    <t xml:space="preserve">Mätperiod från och med (ÅÅMM)</t>
  </si>
  <si>
    <t xml:space="preserve">Mätperiod till och med (ÅÅMM)</t>
  </si>
  <si>
    <t xml:space="preserve">Energiindex för mätperioden (endast kontroll av Etal)</t>
  </si>
  <si>
    <t xml:space="preserve">Byggnad 1</t>
  </si>
  <si>
    <t xml:space="preserve">Byggnad 2</t>
  </si>
  <si>
    <t xml:space="preserve">Byggnad 3</t>
  </si>
  <si>
    <t xml:space="preserve">Byggnad 4</t>
  </si>
  <si>
    <t xml:space="preserve">Byggnad 5</t>
  </si>
  <si>
    <t xml:space="preserve">Byggnad 6</t>
  </si>
  <si>
    <t xml:space="preserve">Egen beteckning</t>
  </si>
  <si>
    <t xml:space="preserve">Husnummer / byggnads-ID</t>
  </si>
  <si>
    <t xml:space="preserve">Byggnadstyp (bostadsdel)</t>
  </si>
  <si>
    <t xml:space="preserve">Flerbostadshus</t>
  </si>
  <si>
    <t xml:space="preserve">Nybyggnadsår</t>
  </si>
  <si>
    <t xml:space="preserve">Antal lägenheter</t>
  </si>
  <si>
    <t xml:space="preserve">A-temp per byggnad (m²)</t>
  </si>
  <si>
    <t xml:space="preserve">A-temp bostäder inkl. biarea</t>
  </si>
  <si>
    <t xml:space="preserve">A-temp lokaler per kategori enligt BFS 2026:9 (m²)</t>
  </si>
  <si>
    <t xml:space="preserve">Kontor</t>
  </si>
  <si>
    <t xml:space="preserve">Utbildning</t>
  </si>
  <si>
    <t xml:space="preserve">Sjukhus</t>
  </si>
  <si>
    <t xml:space="preserve">Logi och restaurang</t>
  </si>
  <si>
    <t xml:space="preserve">Idrott</t>
  </si>
  <si>
    <t xml:space="preserve">Handel och kultur</t>
  </si>
  <si>
    <t xml:space="preserve">Annan typ av energianvändande byggnad</t>
  </si>
  <si>
    <t xml:space="preserve">Varmgarage (m²)</t>
  </si>
  <si>
    <t xml:space="preserve">A-temp totalt (m²)</t>
  </si>
  <si>
    <t xml:space="preserve">Andel av fastighetens A-temp</t>
  </si>
  <si>
    <t xml:space="preserve">Fördelning av gemensamma mätare</t>
  </si>
  <si>
    <t xml:space="preserve">Används för mätare som försörjer "Alla" byggnader, t.ex. en fjärrvärmecentral med kulvert. Manuell andel ersätter den automatiska.</t>
  </si>
  <si>
    <t xml:space="preserve">Uppvärmning, automatisk andel (A-temp)</t>
  </si>
  <si>
    <t xml:space="preserve">Uppvärmning, manuell andel</t>
  </si>
  <si>
    <t xml:space="preserve">Uppvärmning, använd andel</t>
  </si>
  <si>
    <t xml:space="preserve">Tappvarmvatten, automatisk andel (lägenheter, annars A-temp)</t>
  </si>
  <si>
    <t xml:space="preserve">Tappvarmvatten, manuell andel</t>
  </si>
  <si>
    <t xml:space="preserve">Tappvarmvatten, använd andel</t>
  </si>
  <si>
    <t xml:space="preserve">El, kyla och övrigt (A-temp)</t>
  </si>
  <si>
    <t xml:space="preserve">Hushållsel (A-temp bostäder)</t>
  </si>
  <si>
    <t xml:space="preserve">Egenanvänd solel som minskar energiprestandatalet (från fliken Solceller)</t>
  </si>
  <si>
    <t xml:space="preserve">Till fastighetsenergi</t>
  </si>
  <si>
    <t xml:space="preserve">Till värmepump, elvärme och komfortkyla</t>
  </si>
  <si>
    <t xml:space="preserve">Tidigare energideklaration (för jämförelse)</t>
  </si>
  <si>
    <t xml:space="preserve">Energiprestanda, primärenergital (kWh/m²,år)</t>
  </si>
  <si>
    <t xml:space="preserve">Energiklass</t>
  </si>
  <si>
    <t xml:space="preserve">Tidigare energideklarationer</t>
  </si>
  <si>
    <t xml:space="preserve">Uppgifter inlästa från tidigare energideklarationer. Används som referens och av Gripen-exporten. Energivärdena gäller den tidigare mätperioden.</t>
  </si>
  <si>
    <t xml:space="preserve">Energideklarations-ID</t>
  </si>
  <si>
    <t xml:space="preserve">Blankettversion</t>
  </si>
  <si>
    <t xml:space="preserve">Datum för godkännande</t>
  </si>
  <si>
    <t xml:space="preserve">Län</t>
  </si>
  <si>
    <t xml:space="preserve">Husnummer</t>
  </si>
  <si>
    <t xml:space="preserve">Prefix byggnadsid</t>
  </si>
  <si>
    <t xml:space="preserve">Byggnadsid</t>
  </si>
  <si>
    <t xml:space="preserve">Adresser (adress; postnr; postort | …)</t>
  </si>
  <si>
    <t xml:space="preserve">Typkod</t>
  </si>
  <si>
    <t xml:space="preserve">Byggnadskategori</t>
  </si>
  <si>
    <t xml:space="preserve">Byggnadstyp</t>
  </si>
  <si>
    <t xml:space="preserve">A-temp exkl. garage (m²)</t>
  </si>
  <si>
    <t xml:space="preserve">Avarmgarage (m²)</t>
  </si>
  <si>
    <t xml:space="preserve">Antal uppvärmda källarplan</t>
  </si>
  <si>
    <t xml:space="preserve">Antal våningsplan</t>
  </si>
  <si>
    <t xml:space="preserve">Antal trapphus</t>
  </si>
  <si>
    <t xml:space="preserve">Verksamhetsfördelning</t>
  </si>
  <si>
    <t xml:space="preserve">Projekterat uteluftsflöde (l/s,m²)</t>
  </si>
  <si>
    <t xml:space="preserve">Mätperiod</t>
  </si>
  <si>
    <t xml:space="preserve">Fjärrvärme uppvärmning (kWh)</t>
  </si>
  <si>
    <t xml:space="preserve">Fjärrvärme tappvarmvatten (kWh)</t>
  </si>
  <si>
    <t xml:space="preserve">Övriga värmekällor (kWh)</t>
  </si>
  <si>
    <t xml:space="preserve">Fastighetsel (kWh)</t>
  </si>
  <si>
    <t xml:space="preserve">Hushållsel (kWh)</t>
  </si>
  <si>
    <t xml:space="preserve">Verksamhetsel (kWh)</t>
  </si>
  <si>
    <t xml:space="preserve">Komfortkyla och fjärrkyla (kWh)</t>
  </si>
  <si>
    <t xml:space="preserve">Solceller area (m²)</t>
  </si>
  <si>
    <t xml:space="preserve">Solceller beräknad produktion (kWh/år)</t>
  </si>
  <si>
    <t xml:space="preserve">Normalårskorrigerad energianvändning (kWh)</t>
  </si>
  <si>
    <t xml:space="preserve">Energiprestanda (kWh/m²,år)</t>
  </si>
  <si>
    <t xml:space="preserve">Typ av energiprestanda</t>
  </si>
  <si>
    <t xml:space="preserve">Krav ny byggnad (kWh/m²,år)</t>
  </si>
  <si>
    <t xml:space="preserve">Typ av ventilationssystem</t>
  </si>
  <si>
    <t xml:space="preserve">Krav på OVK</t>
  </si>
  <si>
    <t xml:space="preserve">OVK utförd</t>
  </si>
  <si>
    <t xml:space="preserve">OVK utan anmärkning</t>
  </si>
  <si>
    <t xml:space="preserve">Radon mätt / halt (Bq/m³)</t>
  </si>
  <si>
    <t xml:space="preserve">Nominell effekt (kW) / bedömningsgrund</t>
  </si>
  <si>
    <t xml:space="preserve">Besiktigad på plats</t>
  </si>
  <si>
    <t xml:space="preserve">Inläsningskommentarer</t>
  </si>
  <si>
    <t xml:space="preserve">Köpt energi och vatten</t>
  </si>
  <si>
    <t xml:space="preserve">Ange uppmätt energi för mätperioden, ej normalårskorrigerad. Välj vilken byggnad mätaren försörjer, eller Alla om den är gemensam.</t>
  </si>
  <si>
    <t xml:space="preserve">Energimätare</t>
  </si>
  <si>
    <t xml:space="preserve">Mätare / benämning</t>
  </si>
  <si>
    <t xml:space="preserve">Energibärare</t>
  </si>
  <si>
    <t xml:space="preserve">Ändamål</t>
  </si>
  <si>
    <t xml:space="preserve">Försörjer</t>
  </si>
  <si>
    <t xml:space="preserve">kWh</t>
  </si>
  <si>
    <t xml:space="preserve">Effekt</t>
  </si>
  <si>
    <t xml:space="preserve">YTA</t>
  </si>
  <si>
    <t xml:space="preserve">Årsprod</t>
  </si>
  <si>
    <t xml:space="preserve">Solceller</t>
  </si>
  <si>
    <t xml:space="preserve">HUS1 15A</t>
  </si>
  <si>
    <t xml:space="preserve">HUS2 4</t>
  </si>
  <si>
    <t xml:space="preserve">Förbruklning enligt Ellevio</t>
  </si>
  <si>
    <t xml:space="preserve">HUS A</t>
  </si>
  <si>
    <t xml:space="preserve">HUS B</t>
  </si>
  <si>
    <t xml:space="preserve">Produktion enligt Ellevio</t>
  </si>
  <si>
    <t xml:space="preserve">Husens elförbukning</t>
  </si>
  <si>
    <t xml:space="preserve">Varav hushållsel</t>
  </si>
  <si>
    <t xml:space="preserve">Varav fastighets el</t>
  </si>
  <si>
    <t xml:space="preserve">Varav veksamhetsel</t>
  </si>
  <si>
    <t xml:space="preserve">Solceller och såld el anges i fliken Solceller, inte som mätare här.</t>
  </si>
  <si>
    <t xml:space="preserve">Vattenmätare</t>
  </si>
  <si>
    <t xml:space="preserve">m³</t>
  </si>
  <si>
    <t xml:space="preserve">Summa vatten (m³)</t>
  </si>
  <si>
    <t xml:space="preserve">Tappvarmvatten</t>
  </si>
  <si>
    <t xml:space="preserve">Andel varmvatten av total vattenförbrukning</t>
  </si>
  <si>
    <t xml:space="preserve">Energiinnehåll i varmvatten (kWh/m³)</t>
  </si>
  <si>
    <t xml:space="preserve">Verkningsgrad varmvattensystem inkl. VVC</t>
  </si>
  <si>
    <t xml:space="preserve">Faktiskt energibehov om vattenmätning saknas (kWh/m²,år)</t>
  </si>
  <si>
    <t xml:space="preserve">Värmeproduktion</t>
  </si>
  <si>
    <t xml:space="preserve">Värmekälla</t>
  </si>
  <si>
    <t xml:space="preserve">Köpt energi kWh/år</t>
  </si>
  <si>
    <t xml:space="preserve">Andel av varmvattenproduktion</t>
  </si>
  <si>
    <t xml:space="preserve">Årsverkningsgrad</t>
  </si>
  <si>
    <t xml:space="preserve">Viktningsfaktor</t>
  </si>
  <si>
    <t xml:space="preserve">Energikälla i Gripen</t>
  </si>
  <si>
    <t xml:space="preserve">Fjärrvärme</t>
  </si>
  <si>
    <t xml:space="preserve">Värmepump (el)</t>
  </si>
  <si>
    <t xml:space="preserve">Värmepump – välj typ</t>
  </si>
  <si>
    <t xml:space="preserve">Elvärme</t>
  </si>
  <si>
    <t xml:space="preserve">El – välj typ</t>
  </si>
  <si>
    <t xml:space="preserve">Olja</t>
  </si>
  <si>
    <t xml:space="preserve">Gas</t>
  </si>
  <si>
    <t xml:space="preserve">Pellets/flis/briketter</t>
  </si>
  <si>
    <t xml:space="preserve">Flis/pellets/briketter</t>
  </si>
  <si>
    <t xml:space="preserve">Ved</t>
  </si>
  <si>
    <t xml:space="preserve">Övrigt biobränsle</t>
  </si>
  <si>
    <t xml:space="preserve">Kulvertförluster (kWh/år)</t>
  </si>
  <si>
    <t xml:space="preserve">Kulvertförluster hanteras</t>
  </si>
  <si>
    <t xml:space="preserve">Fördelas på byggnaderna</t>
  </si>
  <si>
    <t xml:space="preserve">Fördelning av el</t>
  </si>
  <si>
    <t xml:space="preserve">Egen mätare kWh</t>
  </si>
  <si>
    <t xml:space="preserve">Enligt besiktning om egen mätare saknas, kWh</t>
  </si>
  <si>
    <t xml:space="preserve">Totalt kWh</t>
  </si>
  <si>
    <t xml:space="preserve">Fastighetselen har ingen egen mätare. Den hämtas från besiktningsprotokollets sammanställning (rad 68).</t>
  </si>
  <si>
    <t xml:space="preserve">Värmepump</t>
  </si>
  <si>
    <t xml:space="preserve">El för komfortkyla</t>
  </si>
  <si>
    <t xml:space="preserve">Verksamhetsel (tvätt, motorvärmare, utebelysning m.m.)</t>
  </si>
  <si>
    <t xml:space="preserve">Hushållsel</t>
  </si>
  <si>
    <t xml:space="preserve">El utanför systemgräns (hiss, värmekablar m.m.)</t>
  </si>
  <si>
    <t xml:space="preserve">Fastighetsel inom systemgräns enligt besiktningsprotokollet (ventilation, pumpar, belysning)</t>
  </si>
  <si>
    <t xml:space="preserve">Fjärrkyla (kWh/år)</t>
  </si>
  <si>
    <t xml:space="preserve">El totalt alla mätare (kWh/år)</t>
  </si>
  <si>
    <t xml:space="preserve">Solceller och egenanvänd solel</t>
  </si>
  <si>
    <t xml:space="preserve">Egenanvänd solel fördelas på förbrukarna efter årsförbrukning × samtidighetsfaktor. Bara delen till fastighetsel, värmepump, elvärme och komfortkyla minskar energiprestandatalet (BFS 2026:9 1 kap. 8 §).</t>
  </si>
  <si>
    <t xml:space="preserve">Gemensamt för fastigheten</t>
  </si>
  <si>
    <t xml:space="preserve">Specifik produktion (kWh/kWp,år)</t>
  </si>
  <si>
    <t xml:space="preserve">Uppmätt total produktion, om produktion per byggnad saknas (kWh/år)</t>
  </si>
  <si>
    <t xml:space="preserve">Såld el, gemensam exportmätare (kWh/år)</t>
  </si>
  <si>
    <t xml:space="preserve">Egenanvänd solel fördelas</t>
  </si>
  <si>
    <t xml:space="preserve">Produktion per byggnad</t>
  </si>
  <si>
    <t xml:space="preserve">Installerad effekt (kWp)</t>
  </si>
  <si>
    <t xml:space="preserve">Uppmätt produktion per byggnad (kWh/år)</t>
  </si>
  <si>
    <t xml:space="preserve">Såld el per byggnad (kWh/år)</t>
  </si>
  <si>
    <t xml:space="preserve">Produktion (kWh/år)</t>
  </si>
  <si>
    <t xml:space="preserve">Såld el (kWh/år)</t>
  </si>
  <si>
    <t xml:space="preserve">Egenanvänd solel, egen produktion (kWh/år)</t>
  </si>
  <si>
    <t xml:space="preserve">Elanvändning som kan täckas av solel (kWh/år)</t>
  </si>
  <si>
    <t xml:space="preserve">Samtidighets-faktor</t>
  </si>
  <si>
    <t xml:space="preserve">El utanför systemgräns (hiss m.m.)</t>
  </si>
  <si>
    <t xml:space="preserve">Fastighetsel inom systemgräns</t>
  </si>
  <si>
    <t xml:space="preserve">Elvärme och el för komfortkyla</t>
  </si>
  <si>
    <t xml:space="preserve">Summa förbrukning</t>
  </si>
  <si>
    <t xml:space="preserve">Summa förbrukning × samtidighetsfaktor</t>
  </si>
  <si>
    <t xml:space="preserve">Egenanvänd solel att fördela (kWh/år)</t>
  </si>
  <si>
    <t xml:space="preserve">Fördelning av egenanvänd solel (kWh/år)</t>
  </si>
  <si>
    <t xml:space="preserve">Summa fördelad</t>
  </si>
  <si>
    <t xml:space="preserve">Solel som minskar energiprestandatalet (kWh/år)</t>
  </si>
  <si>
    <t xml:space="preserve">Minskning av energiprestandatalet (kWh/m²,år)</t>
  </si>
  <si>
    <t xml:space="preserve">Besiktningsprotokoll energideklaration</t>
  </si>
  <si>
    <t xml:space="preserve">Indata</t>
  </si>
  <si>
    <t xml:space="preserve">Kund</t>
  </si>
  <si>
    <t xml:space="preserve">Utförare</t>
  </si>
  <si>
    <t xml:space="preserve">Peter Persson</t>
  </si>
  <si>
    <t xml:space="preserve">Företag</t>
  </si>
  <si>
    <t xml:space="preserve">HSB Värmland</t>
  </si>
  <si>
    <t xml:space="preserve">Telefon</t>
  </si>
  <si>
    <t xml:space="preserve">0708-192035</t>
  </si>
  <si>
    <t xml:space="preserve">Uppmätt yta A-temp m2</t>
  </si>
  <si>
    <t xml:space="preserve">Mail</t>
  </si>
  <si>
    <t xml:space="preserve">peter.persson@hsb.se</t>
  </si>
  <si>
    <t xml:space="preserve">Energi enligt besiktning</t>
  </si>
  <si>
    <t xml:space="preserve">Fastighetsel (Belysning, elmotorer mm.</t>
  </si>
  <si>
    <t xml:space="preserve">Beräknat värde av övrig el (Tvättstugor, motorvärmare utebelysning)</t>
  </si>
  <si>
    <t xml:space="preserve">El värmepump</t>
  </si>
  <si>
    <t xml:space="preserve">El komfortkyla</t>
  </si>
  <si>
    <t xml:space="preserve">Övrigt</t>
  </si>
  <si>
    <t xml:space="preserve">1 Klimatskärm</t>
  </si>
  <si>
    <t xml:space="preserve">Klimatskärm</t>
  </si>
  <si>
    <t xml:space="preserve">U-värde</t>
  </si>
  <si>
    <t xml:space="preserve">Ytterväggar 1</t>
  </si>
  <si>
    <t xml:space="preserve">Ytterväggar källare</t>
  </si>
  <si>
    <t xml:space="preserve">  </t>
  </si>
  <si>
    <t xml:space="preserve">Takbjälklag</t>
  </si>
  <si>
    <t xml:space="preserve">Fönster</t>
  </si>
  <si>
    <t xml:space="preserve">2 Klimat</t>
  </si>
  <si>
    <t xml:space="preserve">Klimat</t>
  </si>
  <si>
    <t xml:space="preserve">Mätningar</t>
  </si>
  <si>
    <t xml:space="preserve">Rumstemperatur</t>
  </si>
  <si>
    <t xml:space="preserve">21-22</t>
  </si>
  <si>
    <t xml:space="preserve">Bedömt</t>
  </si>
  <si>
    <t xml:space="preserve">3 Värmeproduktion/Inspektionsprotokoll</t>
  </si>
  <si>
    <t xml:space="preserve">Beräkning effekt via fjärrvärme</t>
  </si>
  <si>
    <t xml:space="preserve">Värmeproduktion beskrivning</t>
  </si>
  <si>
    <t xml:space="preserve">Utetemp</t>
  </si>
  <si>
    <t xml:space="preserve">Nominell effekt kW</t>
  </si>
  <si>
    <t xml:space="preserve">Faktor 1</t>
  </si>
  <si>
    <t xml:space="preserve">Effekt W/m2</t>
  </si>
  <si>
    <t xml:space="preserve">Faktor 2</t>
  </si>
  <si>
    <t xml:space="preserve">Bedömningsgrund</t>
  </si>
  <si>
    <t xml:space="preserve">VV%</t>
  </si>
  <si>
    <t xml:space="preserve">Effekt tot</t>
  </si>
  <si>
    <t xml:space="preserve">4 Värmedistribution/Inspektionsprotokoll</t>
  </si>
  <si>
    <t xml:space="preserve">Tryckuppsättning pump Mvp</t>
  </si>
  <si>
    <t xml:space="preserve">Stamventiler</t>
  </si>
  <si>
    <t xml:space="preserve">Radiatorventiler</t>
  </si>
  <si>
    <t xml:space="preserve">Termostater</t>
  </si>
  <si>
    <t xml:space="preserve">Rörsystem/Radiatorer</t>
  </si>
  <si>
    <t xml:space="preserve">Isolering</t>
  </si>
  <si>
    <t xml:space="preserve">Injustering bedömning</t>
  </si>
  <si>
    <t xml:space="preserve">Dimensionering</t>
  </si>
  <si>
    <t xml:space="preserve">Kommentarer</t>
  </si>
  <si>
    <t xml:space="preserve">5 Styr och övervakningssystem/Inspektionsprotokoll</t>
  </si>
  <si>
    <t xml:space="preserve">System</t>
  </si>
  <si>
    <t xml:space="preserve">Typ</t>
  </si>
  <si>
    <t xml:space="preserve">Funktion</t>
  </si>
  <si>
    <t xml:space="preserve">År</t>
  </si>
  <si>
    <t xml:space="preserve">Kommentar/inställning</t>
  </si>
  <si>
    <t xml:space="preserve">Värme</t>
  </si>
  <si>
    <t xml:space="preserve">Varmvatten</t>
  </si>
  <si>
    <t xml:space="preserve">Ventilation</t>
  </si>
  <si>
    <t xml:space="preserve">6 Ventilationssystem</t>
  </si>
  <si>
    <t xml:space="preserve">Beräkning eftervärme vent</t>
  </si>
  <si>
    <t xml:space="preserve">Betjänar</t>
  </si>
  <si>
    <t xml:space="preserve">Typ (S,F,FTX FX)</t>
  </si>
  <si>
    <t xml:space="preserve">Drifttid %</t>
  </si>
  <si>
    <t xml:space="preserve">Märkeffekt</t>
  </si>
  <si>
    <t xml:space="preserve">Gradtimmar</t>
  </si>
  <si>
    <t xml:space="preserve">OVK besiktigad G eller ej EG</t>
  </si>
  <si>
    <t xml:space="preserve">G</t>
  </si>
  <si>
    <t xml:space="preserve">Flöde M3/s</t>
  </si>
  <si>
    <t xml:space="preserve">Drifttider h/år</t>
  </si>
  <si>
    <t xml:space="preserve">Återvinning %</t>
  </si>
  <si>
    <t xml:space="preserve">% Drifttid/år</t>
  </si>
  <si>
    <t xml:space="preserve">Luftflöde m3/s</t>
  </si>
  <si>
    <t xml:space="preserve">Årsenergi kWh/år</t>
  </si>
  <si>
    <t xml:space="preserve">SFP-tal</t>
  </si>
  <si>
    <t xml:space="preserve">A-temp vent m2</t>
  </si>
  <si>
    <t xml:space="preserve">Genomsnittsflöde l/s m2</t>
  </si>
  <si>
    <t xml:space="preserve">Kommentarer/noteringar</t>
  </si>
  <si>
    <t xml:space="preserve">7 Värmepump/Kyla</t>
  </si>
  <si>
    <t xml:space="preserve">Vp 1</t>
  </si>
  <si>
    <t xml:space="preserve">Vp 2</t>
  </si>
  <si>
    <t xml:space="preserve">Vp 3</t>
  </si>
  <si>
    <t xml:space="preserve">Fabrikat</t>
  </si>
  <si>
    <t xml:space="preserve">Märkeffekt </t>
  </si>
  <si>
    <t xml:space="preserve">Beräkning årsenergi VP</t>
  </si>
  <si>
    <t xml:space="preserve">Beräkning årsenergi kyla</t>
  </si>
  <si>
    <t xml:space="preserve">Värmeeffekt</t>
  </si>
  <si>
    <t xml:space="preserve">Ineffekt kW</t>
  </si>
  <si>
    <t xml:space="preserve">Total nominell VP effekt</t>
  </si>
  <si>
    <t xml:space="preserve">Drifttid </t>
  </si>
  <si>
    <t xml:space="preserve">Drifttid</t>
  </si>
  <si>
    <t xml:space="preserve">Kylmaskin</t>
  </si>
  <si>
    <t xml:space="preserve">KM1</t>
  </si>
  <si>
    <t xml:space="preserve">KM2</t>
  </si>
  <si>
    <t xml:space="preserve">KM3</t>
  </si>
  <si>
    <t xml:space="preserve">Årsenergi VP</t>
  </si>
  <si>
    <t xml:space="preserve">Årsenergi kyla</t>
  </si>
  <si>
    <t xml:space="preserve">Kyleffekt</t>
  </si>
  <si>
    <t xml:space="preserve">Total nominell kyleffekt</t>
  </si>
  <si>
    <t xml:space="preserve">8 Tappvarmvattensystem</t>
  </si>
  <si>
    <t xml:space="preserve">Beskrivning</t>
  </si>
  <si>
    <t xml:space="preserve">Temp grad C</t>
  </si>
  <si>
    <t xml:space="preserve">Temperatur UC</t>
  </si>
  <si>
    <t xml:space="preserve">Temperatur VVC</t>
  </si>
  <si>
    <t xml:space="preserve">Temperatur tappställe</t>
  </si>
  <si>
    <t xml:space="preserve">9 Elinstallationer</t>
  </si>
  <si>
    <t xml:space="preserve">Verksamhetsel (ej i energideklaration)</t>
  </si>
  <si>
    <t xml:space="preserve">Effekt kW</t>
  </si>
  <si>
    <t xml:space="preserve">Drifttid/år</t>
  </si>
  <si>
    <t xml:space="preserve">Årlig elanvändning</t>
  </si>
  <si>
    <t xml:space="preserve">Motorvärmare</t>
  </si>
  <si>
    <t xml:space="preserve">Utebelysning</t>
  </si>
  <si>
    <t xml:space="preserve">Totalt</t>
  </si>
  <si>
    <t xml:space="preserve">10 Fastighetsel</t>
  </si>
  <si>
    <t xml:space="preserve">Elmotorer/pumpar fläktar invändig allmän belysning</t>
  </si>
  <si>
    <t xml:space="preserve">Elmotorer/pumpar fläktar</t>
  </si>
  <si>
    <t xml:space="preserve">Drifttid h</t>
  </si>
  <si>
    <t xml:space="preserve">Energi/år</t>
  </si>
  <si>
    <t xml:space="preserve">Radiatorpump</t>
  </si>
  <si>
    <t xml:space="preserve">VVC pump</t>
  </si>
  <si>
    <t xml:space="preserve">FF 1</t>
  </si>
  <si>
    <t xml:space="preserve">FTX lokal</t>
  </si>
  <si>
    <t xml:space="preserve">Trapphusbelysning</t>
  </si>
  <si>
    <t xml:space="preserve">Övrig belysning</t>
  </si>
  <si>
    <t xml:space="preserve">Totalt fastighetsel</t>
  </si>
  <si>
    <t xml:space="preserve">11 Elvärme</t>
  </si>
  <si>
    <t xml:space="preserve">Totalt elvärme</t>
  </si>
  <si>
    <t xml:space="preserve">12 Tvättstugor schablon bedömning av energianvändning</t>
  </si>
  <si>
    <t xml:space="preserve">Bedömt tvättningar/dygn/mask</t>
  </si>
  <si>
    <t xml:space="preserve">Bedömt kg/tvätt</t>
  </si>
  <si>
    <t xml:space="preserve">Bedömt tvättdagar/år</t>
  </si>
  <si>
    <t xml:space="preserve">Kg/dygn att fördela tork</t>
  </si>
  <si>
    <t xml:space="preserve">Kontroll: tilldelad torkkapacitet (kg/dygn)</t>
  </si>
  <si>
    <t xml:space="preserve">Diff mot tvättmängd (bör vara 0)</t>
  </si>
  <si>
    <t xml:space="preserve">Tvätt</t>
  </si>
  <si>
    <t xml:space="preserve">Modell</t>
  </si>
  <si>
    <t xml:space="preserve">Antal</t>
  </si>
  <si>
    <t xml:space="preserve">Ber kWh/år</t>
  </si>
  <si>
    <t xml:space="preserve">Tvättmaskin 1</t>
  </si>
  <si>
    <t xml:space="preserve">Tvättmaskin 2</t>
  </si>
  <si>
    <t xml:space="preserve">Tvättmaskin 3</t>
  </si>
  <si>
    <t xml:space="preserve">Tvättmaskin 4</t>
  </si>
  <si>
    <t xml:space="preserve">Tvättmaskiner förbrukning</t>
  </si>
  <si>
    <t xml:space="preserve">Energi/tvätt kWh</t>
  </si>
  <si>
    <t xml:space="preserve">Torktumlare förbrukning</t>
  </si>
  <si>
    <t xml:space="preserve">Energi/kg tork kWh</t>
  </si>
  <si>
    <t xml:space="preserve">Torkskåp förbrukning</t>
  </si>
  <si>
    <t xml:space="preserve">Avfuktare/torkrum förbrukning</t>
  </si>
  <si>
    <t xml:space="preserve">Tork</t>
  </si>
  <si>
    <t xml:space="preserve">Kg/dygn</t>
  </si>
  <si>
    <t xml:space="preserve">Ny maskin</t>
  </si>
  <si>
    <t xml:space="preserve">Ny tumlare</t>
  </si>
  <si>
    <t xml:space="preserve">Med inbyggd värmepump</t>
  </si>
  <si>
    <t xml:space="preserve">Termotork 6s</t>
  </si>
  <si>
    <t xml:space="preserve">Torktumlare 1</t>
  </si>
  <si>
    <t xml:space="preserve">Äldre maskin</t>
  </si>
  <si>
    <t xml:space="preserve">Äldre tumlare</t>
  </si>
  <si>
    <t xml:space="preserve">Nytt elvärmeskåp</t>
  </si>
  <si>
    <t xml:space="preserve">TA 2002 avfuktare</t>
  </si>
  <si>
    <t xml:space="preserve">Torktumlare 2</t>
  </si>
  <si>
    <t xml:space="preserve">Värmepumpstumlare</t>
  </si>
  <si>
    <t xml:space="preserve">Gammalt elvärmeskåp</t>
  </si>
  <si>
    <t xml:space="preserve">Torkskåp</t>
  </si>
  <si>
    <t xml:space="preserve">Torkrum</t>
  </si>
  <si>
    <t xml:space="preserve">7W</t>
  </si>
  <si>
    <t xml:space="preserve">Vindsisolering 2016</t>
  </si>
  <si>
    <t xml:space="preserve">Fördelning och normalisering per byggnad</t>
  </si>
  <si>
    <t xml:space="preserve">Uppvärmningen normaliseras till kategoritypisk användning men inte till normalår. Klimatkorrigeringen görs i Gripen.</t>
  </si>
  <si>
    <t xml:space="preserve">Schabloner</t>
  </si>
  <si>
    <t xml:space="preserve">Korrigering per grad avvikande innetemperatur (andel)</t>
  </si>
  <si>
    <t xml:space="preserve">Andel av el som blir tillgodogjord värme</t>
  </si>
  <si>
    <t xml:space="preserve">Personvärme per person (W)</t>
  </si>
  <si>
    <t xml:space="preserve">Närvarotid (h/dygn)</t>
  </si>
  <si>
    <t xml:space="preserve">Timmar uppvärmningssäsong (h)</t>
  </si>
  <si>
    <t xml:space="preserve">Gradtimmar för ventilationsberäkning (°Ch)</t>
  </si>
  <si>
    <t xml:space="preserve">Faktisk användning och val per byggnad</t>
  </si>
  <si>
    <t xml:space="preserve">Faktisk innetemperatur (°C)</t>
  </si>
  <si>
    <t xml:space="preserve">Faktiskt uteluftsflöde (l/s,m²)</t>
  </si>
  <si>
    <t xml:space="preserve">Värmeåtervinning ventilation (årsverkningsgrad)</t>
  </si>
  <si>
    <t xml:space="preserve">Personer per lägenhet</t>
  </si>
  <si>
    <t xml:space="preserve">Verksamhetsel inomhus som avger värme (kWh/år)</t>
  </si>
  <si>
    <t xml:space="preserve">Normalisering innetemperatur (Ja/Nej)</t>
  </si>
  <si>
    <t xml:space="preserve">Ja</t>
  </si>
  <si>
    <t xml:space="preserve">Normalisering uteluftsflöde (Ja/Nej)</t>
  </si>
  <si>
    <t xml:space="preserve">Normalisering internlast (Ja/Nej)</t>
  </si>
  <si>
    <t xml:space="preserve">Normalisering tappvarmvatten (Ja/Nej)</t>
  </si>
  <si>
    <t xml:space="preserve">Areor och kategoritypiska värden</t>
  </si>
  <si>
    <t xml:space="preserve">A-temp (m²)</t>
  </si>
  <si>
    <t xml:space="preserve">En- och tvåbostadshus &lt; 90 m²</t>
  </si>
  <si>
    <t xml:space="preserve">En- och tvåbostadshus 90–130 m²</t>
  </si>
  <si>
    <t xml:space="preserve">En- och tvåbostadshus ≥ 130 m²</t>
  </si>
  <si>
    <t xml:space="preserve">Kontrollsumma (m²)</t>
  </si>
  <si>
    <t xml:space="preserve">Kategoritypisk innetemperatur (°C)</t>
  </si>
  <si>
    <t xml:space="preserve">Kategoritypiskt uteluftsflöde (l/s,m²)</t>
  </si>
  <si>
    <t xml:space="preserve">Kategoritypisk internlast (W/m²)</t>
  </si>
  <si>
    <t xml:space="preserve">Kategoritypiskt energibehov tappvarmvatten (kWh/m²,år)</t>
  </si>
  <si>
    <t xml:space="preserve">Faktisk internlast och tappvarmvatten</t>
  </si>
  <si>
    <t xml:space="preserve">Hushållsel (kWh/år)</t>
  </si>
  <si>
    <t xml:space="preserve">Personvärme (W/m²)</t>
  </si>
  <si>
    <t xml:space="preserve">Internlast från el (W/m²)</t>
  </si>
  <si>
    <t xml:space="preserve">Genomsnittlig internlast (W/m²)</t>
  </si>
  <si>
    <t xml:space="preserve">Vatten (m³)</t>
  </si>
  <si>
    <t xml:space="preserve">Faktiskt energibehov tappvarmvatten (kWh/år)</t>
  </si>
  <si>
    <t xml:space="preserve">Faktiskt energibehov tappvarmvatten (kWh/m²,år)</t>
  </si>
  <si>
    <t xml:space="preserve">Levererad värme till tappvarmvatten (kWh/år)</t>
  </si>
  <si>
    <t xml:space="preserve">Köpt energi per värmekälla (uppvärmning och tappvarmvatten)</t>
  </si>
  <si>
    <t xml:space="preserve">Köpt energi tappvarmvatten</t>
  </si>
  <si>
    <t xml:space="preserve">Köpt energi uppvärmning</t>
  </si>
  <si>
    <t xml:space="preserve">Producerad värme för uppvärmning (köpt × verkningsgrad)</t>
  </si>
  <si>
    <t xml:space="preserve">Normaliseringarnas påverkan på värmebehovet (kWh/år)</t>
  </si>
  <si>
    <t xml:space="preserve">Innetemperatur</t>
  </si>
  <si>
    <t xml:space="preserve">Internlast</t>
  </si>
  <si>
    <t xml:space="preserve">Uteluftsflöde</t>
  </si>
  <si>
    <t xml:space="preserve">Normaliserad energi uppvärmning, ej klimatkorrigerad (till Gripen)</t>
  </si>
  <si>
    <t xml:space="preserve">Normaliserad energi tappvarmvatten (till Gripen)</t>
  </si>
  <si>
    <t xml:space="preserve">El och övrig energi per byggnad (kWh/år)</t>
  </si>
  <si>
    <t xml:space="preserve">Fördelningsnyckel fastighetsel (andel av A-temp)</t>
  </si>
  <si>
    <t xml:space="preserve">Egenanvänd solel till fastighetsenergi</t>
  </si>
  <si>
    <t xml:space="preserve">Övrig energi som ingår i energiprestanda (el, netto)</t>
  </si>
  <si>
    <t xml:space="preserve">Fjärrkyla</t>
  </si>
  <si>
    <t xml:space="preserve">Egenanvänd solel till värmepump, elvärme och komfortkyla</t>
  </si>
  <si>
    <t xml:space="preserve">El utanför systemgräns</t>
  </si>
  <si>
    <t xml:space="preserve">Energiprestandatal och energiklass</t>
  </si>
  <si>
    <t xml:space="preserve">Kontrollberäkning av det Gripen räknar fram. Uppvärmningen klimatkorrigeras med energiindex i Byggnader C10.</t>
  </si>
  <si>
    <t xml:space="preserve">Uppvärmning, klimatkorrigerad (kWh/år)</t>
  </si>
  <si>
    <t xml:space="preserve">Tappvarmvatten (kWh/år)</t>
  </si>
  <si>
    <t xml:space="preserve">Övrig energi som ingår, el (kWh/år)</t>
  </si>
  <si>
    <t xml:space="preserve">Komfortkyla och fjärrkyla (kWh/år)</t>
  </si>
  <si>
    <t xml:space="preserve">Byggnadens energianvändning (kWh/år)</t>
  </si>
  <si>
    <t xml:space="preserve">Byggnadens viktade energianvändning (kWh/år)</t>
  </si>
  <si>
    <t xml:space="preserve">Energiprestandatal Etal (kWh/m²,år)</t>
  </si>
  <si>
    <t xml:space="preserve">Energianvändning, oviktad (kWh/m²,år)</t>
  </si>
  <si>
    <t xml:space="preserve">Högsta Etal per energiklass (kWh/m²,år)</t>
  </si>
  <si>
    <t xml:space="preserve">Klass A</t>
  </si>
  <si>
    <t xml:space="preserve">Klass B</t>
  </si>
  <si>
    <t xml:space="preserve">Klass C</t>
  </si>
  <si>
    <t xml:space="preserve">Klass D</t>
  </si>
  <si>
    <t xml:space="preserve">Klass E</t>
  </si>
  <si>
    <t xml:space="preserve">Klass F</t>
  </si>
  <si>
    <t xml:space="preserve">Energiklass BFS 2026:10</t>
  </si>
  <si>
    <t xml:space="preserve">Fossila bränslen förbränns på plats</t>
  </si>
  <si>
    <t xml:space="preserve">Energiprestandakriterium nollutsläppsbyggnad (befintlig)</t>
  </si>
  <si>
    <t xml:space="preserve">Högsta Etal nya nollutsläppsbyggnader (= gräns klass A)</t>
  </si>
  <si>
    <t xml:space="preserve">Högsta Etal befintliga nollutsläppsbyggnader (= gräns klass B)</t>
  </si>
  <si>
    <t xml:space="preserve">Krav ny nära-nollenergibyggnad, Etal (BFS 2026:9 tabell 1)</t>
  </si>
  <si>
    <t xml:space="preserve">Jämförelse med tidigare deklaration</t>
  </si>
  <si>
    <t xml:space="preserve">Tidigare primärenergital (kWh/m²,år)</t>
  </si>
  <si>
    <t xml:space="preserve">Tidigare energiklass</t>
  </si>
  <si>
    <t xml:space="preserve">Skillnad Etal − tidigare primärenergital</t>
  </si>
  <si>
    <t xml:space="preserve">Inmatning i Gripen</t>
  </si>
  <si>
    <t xml:space="preserve">Välj byggnad. Avsnitten följer Gripens formulär. Grå celler förs över till Gripen.</t>
  </si>
  <si>
    <t xml:space="preserve">Kolumnindex (hjälpcell)</t>
  </si>
  <si>
    <t xml:space="preserve">Egen beteckning / adress</t>
  </si>
  <si>
    <t xml:space="preserve">Egenskaper</t>
  </si>
  <si>
    <t xml:space="preserve">Atemp (m²)</t>
  </si>
  <si>
    <t xml:space="preserve">Procent av Atemp</t>
  </si>
  <si>
    <t xml:space="preserve">En- och tvåbostadshus</t>
  </si>
  <si>
    <t xml:space="preserve">Energianvändning</t>
  </si>
  <si>
    <t xml:space="preserve">Mätperiod från och med</t>
  </si>
  <si>
    <t xml:space="preserve">Mätperiod till och med</t>
  </si>
  <si>
    <t xml:space="preserve">Ort (energi-index)</t>
  </si>
  <si>
    <t xml:space="preserve">För uppvärmning</t>
  </si>
  <si>
    <t xml:space="preserve">Energikälla</t>
  </si>
  <si>
    <t xml:space="preserve">Normaliserad energi kWh/år</t>
  </si>
  <si>
    <t xml:space="preserve">För tappvarmvatten</t>
  </si>
  <si>
    <t xml:space="preserve">Komfortkyla och övrig energi som ingår i energiprestanda</t>
  </si>
  <si>
    <t xml:space="preserve">Övrig energi som ingår i energiprestanda (el)</t>
  </si>
  <si>
    <t xml:space="preserve">Förnybar energi producerad på plats</t>
  </si>
  <si>
    <t xml:space="preserve">Egenanvänd solel som minskar energiprestandatalet (kWh/år)</t>
  </si>
  <si>
    <t xml:space="preserve">Solceller: installerad effekt (kWp) / produktion (kWh/år)</t>
  </si>
  <si>
    <t xml:space="preserve">Övrig energi som inte ingår i energiprestanda</t>
  </si>
  <si>
    <t xml:space="preserve">El utanför systemgräns (t.ex. hiss)</t>
  </si>
  <si>
    <t xml:space="preserve">Kontroll mot Gripens beräkning</t>
  </si>
  <si>
    <t xml:space="preserve">Jämför efter Beräkna i Gripen. Kräver samma energiindex i Byggnader C10 som Gripen använder.</t>
  </si>
  <si>
    <t xml:space="preserve">Energiprestandatal (kWh/m²,år)</t>
  </si>
  <si>
    <t xml:space="preserve">Högsta Etal nya nollutsläppsbyggnader</t>
  </si>
  <si>
    <t xml:space="preserve">Högsta Etal befintliga nollutsläppsbyggnader</t>
  </si>
  <si>
    <t xml:space="preserve">Energibehov för uppvärmning och kyla, ej klimatkorrigerat (kWh/år)</t>
  </si>
  <si>
    <t xml:space="preserve">Underlag för normalisering av energivärde</t>
  </si>
  <si>
    <t xml:space="preserve">Parameter</t>
  </si>
  <si>
    <t xml:space="preserve">Faktisk användning/drift</t>
  </si>
  <si>
    <t xml:space="preserve">Kategoritypisk enligt BFS 2026:9</t>
  </si>
  <si>
    <t xml:space="preserve">Har normalisering utförts?</t>
  </si>
  <si>
    <t xml:space="preserve">Påverkan kWh/m²,år</t>
  </si>
  <si>
    <t xml:space="preserve">Kommentar (förslag, redigera fritt)</t>
  </si>
  <si>
    <t xml:space="preserve">Innetemperatur uppvärmningssäsong (°C)</t>
  </si>
  <si>
    <t xml:space="preserve">Årsmedelflöde uteluft (l/s,m² Atemp)</t>
  </si>
  <si>
    <t xml:space="preserve">Genomsnittlig internlast (W/m² Atemp)</t>
  </si>
  <si>
    <t xml:space="preserve">Energibehov för tappvarmvatten (kWh/m² Atemp,år)</t>
  </si>
  <si>
    <t xml:space="preserve">Kontroller och inspektioner, nominell effekt</t>
  </si>
  <si>
    <t xml:space="preserve">Leveransdata för fjärrvärme, hela värmecentralen (kW)</t>
  </si>
  <si>
    <t xml:space="preserve">Övrigt: W/m² × A-temp för denna byggnad (kW)</t>
  </si>
  <si>
    <t xml:space="preserve">Rekommenderade åtgärder (aktiverade i åtgärdsflikarna)</t>
  </si>
  <si>
    <t xml:space="preserve">Besparing hela fastigheten kWh/år</t>
  </si>
  <si>
    <t xml:space="preserve">Besparing denna byggnad kWh/år</t>
  </si>
  <si>
    <t xml:space="preserve">Besparingskostnad kr/kWh</t>
  </si>
  <si>
    <t xml:space="preserve">Kriterier för nollutsläppsbyggnad (A0)</t>
  </si>
  <si>
    <t xml:space="preserve">Energiprestandakriterium (befintlig byggnad)</t>
  </si>
  <si>
    <t xml:space="preserve">Beräkning U-värde</t>
  </si>
  <si>
    <t xml:space="preserve">U-bef</t>
  </si>
  <si>
    <t xml:space="preserve">R-värde tilläggsisolering</t>
  </si>
  <si>
    <t xml:space="preserve">Nytt U-värde</t>
  </si>
  <si>
    <t xml:space="preserve">Beräkning bjälklagsförluster</t>
  </si>
  <si>
    <t xml:space="preserve">Antal våningar</t>
  </si>
  <si>
    <t xml:space="preserve">Antal bjälklag</t>
  </si>
  <si>
    <t xml:space="preserve">%fönsteryta</t>
  </si>
  <si>
    <t xml:space="preserve">U-värde vägg</t>
  </si>
  <si>
    <t xml:space="preserve">U-värde bjälklag</t>
  </si>
  <si>
    <t xml:space="preserve">Invändig bredd</t>
  </si>
  <si>
    <t xml:space="preserve">Invändig längd</t>
  </si>
  <si>
    <t xml:space="preserve">Förluster bjälklag kWh/m2 väggyta</t>
  </si>
  <si>
    <t xml:space="preserve">Beräkning U-värde besparing</t>
  </si>
  <si>
    <t xml:space="preserve">Energianvändning/m2</t>
  </si>
  <si>
    <t xml:space="preserve">Gradtimmar Före</t>
  </si>
  <si>
    <t xml:space="preserve">Gradtimmar Efter</t>
  </si>
  <si>
    <t xml:space="preserve">Yta m2</t>
  </si>
  <si>
    <t xml:space="preserve">U-värde bef</t>
  </si>
  <si>
    <t xml:space="preserve">U-värde nytt</t>
  </si>
  <si>
    <t xml:space="preserve">Energibesparing/år</t>
  </si>
  <si>
    <t xml:space="preserve">Beräkning injustering värmesystem/sänkning rumstemperatur</t>
  </si>
  <si>
    <t xml:space="preserve">Genomsnittstemperatur bef</t>
  </si>
  <si>
    <t xml:space="preserve">Genomsnittstemperatur ny</t>
  </si>
  <si>
    <t xml:space="preserve">Beräknad besparing/sänkt grad %</t>
  </si>
  <si>
    <t xml:space="preserve">Energiförbrukning värme befintligt kWh/m2</t>
  </si>
  <si>
    <t xml:space="preserve">Energiförbrukning värme ny kWh/m2</t>
  </si>
  <si>
    <t xml:space="preserve">Besparing kwh/m2</t>
  </si>
  <si>
    <t xml:space="preserve">Beräkning Tryck/tempstyrning vent</t>
  </si>
  <si>
    <t xml:space="preserve">Luftflöde befintligt/m2</t>
  </si>
  <si>
    <t xml:space="preserve">Minskning vid -20</t>
  </si>
  <si>
    <t xml:space="preserve">Minskning vid -10</t>
  </si>
  <si>
    <t xml:space="preserve">Minkning vid 0</t>
  </si>
  <si>
    <t xml:space="preserve">Beräkning installation av frånluftsvärmepump</t>
  </si>
  <si>
    <t xml:space="preserve">Befintligt dimensionerat luftflöde L/s m2</t>
  </si>
  <si>
    <t xml:space="preserve">Totalt luftflöde M3/s</t>
  </si>
  <si>
    <t xml:space="preserve">Avluftstemperatur</t>
  </si>
  <si>
    <t xml:space="preserve">Frånluftstemperatur</t>
  </si>
  <si>
    <t xml:space="preserve">Potentiell återvunnen energimängd</t>
  </si>
  <si>
    <t xml:space="preserve">Beräknad värmefaktor</t>
  </si>
  <si>
    <t xml:space="preserve">Driftenergi värmepump</t>
  </si>
  <si>
    <t xml:space="preserve">Extra driveffekt frånluftsfläktar kW</t>
  </si>
  <si>
    <t xml:space="preserve">Extra driftenergi fläktar</t>
  </si>
  <si>
    <t xml:space="preserve">Beräkning installation av solvärme</t>
  </si>
  <si>
    <t xml:space="preserve">Varmvatten sommarmånad</t>
  </si>
  <si>
    <t xml:space="preserve">Solfångararea</t>
  </si>
  <si>
    <t xml:space="preserve">Förväntad energi kwh/m2</t>
  </si>
  <si>
    <t xml:space="preserve">Energiproduktion</t>
  </si>
  <si>
    <t xml:space="preserve">Drivenergi pump el kWh</t>
  </si>
  <si>
    <t xml:space="preserve">Drivenergi styr el kWh</t>
  </si>
  <si>
    <t xml:space="preserve">Förluster bjälklag</t>
  </si>
  <si>
    <t xml:space="preserve">Kulvertförluster</t>
  </si>
  <si>
    <t xml:space="preserve">Nya kWh/m år</t>
  </si>
  <si>
    <t xml:space="preserve">Gamla kWh/m år Före 1975</t>
  </si>
  <si>
    <t xml:space="preserve">DN 50</t>
  </si>
  <si>
    <t xml:space="preserve">DN 65</t>
  </si>
  <si>
    <t xml:space="preserve">DN 80</t>
  </si>
  <si>
    <t xml:space="preserve">DN 100</t>
  </si>
  <si>
    <t xml:space="preserve">kr/m2 A-temp</t>
  </si>
  <si>
    <t xml:space="preserve">kr/lgh</t>
  </si>
  <si>
    <t xml:space="preserve">kr/m2</t>
  </si>
  <si>
    <t xml:space="preserve">kr</t>
  </si>
  <si>
    <t xml:space="preserve">kr/kW</t>
  </si>
  <si>
    <t xml:space="preserve">Fasadisolering och ny puts</t>
  </si>
  <si>
    <t xml:space="preserve">5-10 cm skiva och ny puts</t>
  </si>
  <si>
    <t xml:space="preserve">Fönsterbyte</t>
  </si>
  <si>
    <t xml:space="preserve">Avser plast billigaste alternativet</t>
  </si>
  <si>
    <t xml:space="preserve">FX återvinning utbyte</t>
  </si>
  <si>
    <t xml:space="preserve">Det finns sedan tidigare FX</t>
  </si>
  <si>
    <t xml:space="preserve">FX återvinning från scratch</t>
  </si>
  <si>
    <t xml:space="preserve">Avser total med nya batterier sugkamm och FX mot rad</t>
  </si>
  <si>
    <t xml:space="preserve">FTX lgh aggregat</t>
  </si>
  <si>
    <t xml:space="preserve">Nytt krydhylla aggregat med kanalsystem</t>
  </si>
  <si>
    <t xml:space="preserve">Ventilbyte och injustering värme</t>
  </si>
  <si>
    <t xml:space="preserve">Total injsutering nya ventiler med avgas och filter</t>
  </si>
  <si>
    <t xml:space="preserve">Installation solceller</t>
  </si>
  <si>
    <t xml:space="preserve">OBS: Värdet i F9 är kr/m2 solcellsyta, INTE kr/kW som kolumnrubriken (F2) anger för övriga rader.</t>
  </si>
  <si>
    <t xml:space="preserve">Installation IMD el</t>
  </si>
  <si>
    <t xml:space="preserve">ny elmätare kopplad till IMD</t>
  </si>
  <si>
    <t xml:space="preserve">Installation IMD VV</t>
  </si>
  <si>
    <t xml:space="preserve">två nya VV-mätare</t>
  </si>
  <si>
    <t xml:space="preserve">Tilläggisolering av vindsbjälklag 300 mm lösull</t>
  </si>
  <si>
    <t xml:space="preserve">Enkelt vindsbjälklag </t>
  </si>
  <si>
    <t xml:space="preserve">Styrsystem för värme</t>
  </si>
  <si>
    <t xml:space="preserve">En st DUC i UC med tempgiv/lgh</t>
  </si>
  <si>
    <t xml:space="preserve">OBS: Manuell referenstabell</t>
  </si>
  <si>
    <t xml:space="preserve">Dessa nyckeltal är INTE kopplade till beräkningarna i åtgärdsflikarna. Flera åtgärdsflikar (t.ex. "Tilläggisol fasad" och "Byte fönster") har egna, mer detaljerade nyckeltal i kr/m2 fasadyta respektive fönsteryta - en annan enhet än kr/m2 A-temp här. Jämför manuellt vid behov och uppdatera båda ställena om marknadspriser ändras.</t>
  </si>
  <si>
    <t xml:space="preserve">El</t>
  </si>
  <si>
    <t xml:space="preserve">Pris</t>
  </si>
  <si>
    <t xml:space="preserve">Prishöjning/år bedömd</t>
  </si>
  <si>
    <t xml:space="preserve">Kalkylränta</t>
  </si>
  <si>
    <t xml:space="preserve">UH kostnad årlig höjning</t>
  </si>
  <si>
    <t xml:space="preserve">Bergvärme</t>
  </si>
  <si>
    <t xml:space="preserve">För känslighetsanalys tryck + ovan</t>
  </si>
  <si>
    <t xml:space="preserve">Ta med i sammanfattning?</t>
  </si>
  <si>
    <t xml:space="preserve">Nej</t>
  </si>
  <si>
    <t xml:space="preserve">Lönsamhetsgränser</t>
  </si>
  <si>
    <t xml:space="preserve">Kvantitet</t>
  </si>
  <si>
    <t xml:space="preserve">Enhet</t>
  </si>
  <si>
    <t xml:space="preserve">Känslighetsanalys</t>
  </si>
  <si>
    <t xml:space="preserve">Mängduppgift                           </t>
  </si>
  <si>
    <t xml:space="preserve">m2 At</t>
  </si>
  <si>
    <t xml:space="preserve">Kalkylränta </t>
  </si>
  <si>
    <t xml:space="preserve">nominell</t>
  </si>
  <si>
    <t xml:space="preserve">Internränta</t>
  </si>
  <si>
    <t xml:space="preserve">Kalkylperiod                                        </t>
  </si>
  <si>
    <t xml:space="preserve">år</t>
  </si>
  <si>
    <t xml:space="preserve">Pay-off utan ränta</t>
  </si>
  <si>
    <t xml:space="preserve">Unerhållskostnad prisutveckling per år</t>
  </si>
  <si>
    <t xml:space="preserve">Investeringskalkyl</t>
  </si>
  <si>
    <t xml:space="preserve">Energislag </t>
  </si>
  <si>
    <t xml:space="preserve">Energipris rörligt            </t>
  </si>
  <si>
    <t xml:space="preserve">kr per kWh</t>
  </si>
  <si>
    <t xml:space="preserve">Nyckeltal invest kr/kW</t>
  </si>
  <si>
    <t xml:space="preserve">Energiprisutveckling per år</t>
  </si>
  <si>
    <t xml:space="preserve">Investeringskostnad</t>
  </si>
  <si>
    <t xml:space="preserve">Energislag 2</t>
  </si>
  <si>
    <t xml:space="preserve">Beräkningar</t>
  </si>
  <si>
    <t xml:space="preserve">Energislag 3</t>
  </si>
  <si>
    <t xml:space="preserve">Egen kalkyl förklaring</t>
  </si>
  <si>
    <t xml:space="preserve">Installation av frånluftsåtervinning med värmepump. Befintligt frånluftssystem förses med återvinningsbatterier som kyler av frånluften från byggnaden. Värmen återvinns via värmepumpar och återförs byggnadens värmesystem.</t>
  </si>
  <si>
    <t xml:space="preserve">&lt;&lt;&lt;Om fler energislag: tryck +</t>
  </si>
  <si>
    <t xml:space="preserve">Egen kalkyl beräkning</t>
  </si>
  <si>
    <t xml:space="preserve">Före åtgärd</t>
  </si>
  <si>
    <t xml:space="preserve">Efter åtgärd</t>
  </si>
  <si>
    <t xml:space="preserve">Dimensionering nominell av värme</t>
  </si>
  <si>
    <t xml:space="preserve">Investeringskostnad                                 kr </t>
  </si>
  <si>
    <t xml:space="preserve">Investeringsgräns</t>
  </si>
  <si>
    <t xml:space="preserve">VP-effekt</t>
  </si>
  <si>
    <t xml:space="preserve">Underhållskostnad                                  kr per år</t>
  </si>
  <si>
    <t xml:space="preserve">Antaget COP</t>
  </si>
  <si>
    <t xml:space="preserve">Underhållskostnad, periodisk år 0          kr  </t>
  </si>
  <si>
    <t xml:space="preserve">Underhållskostnad, periodisk år 10        kr  </t>
  </si>
  <si>
    <t xml:space="preserve">Underhållskostnad, periodisk år 20        kr  </t>
  </si>
  <si>
    <t xml:space="preserve">&lt;&lt;&lt;Om fler uh-kostnader: tryck +</t>
  </si>
  <si>
    <t xml:space="preserve">Aktivt djup borrhål meter</t>
  </si>
  <si>
    <t xml:space="preserve">VP eleffekt</t>
  </si>
  <si>
    <t xml:space="preserve">Energianvändning                            kWh per mängdenhet och år</t>
  </si>
  <si>
    <t xml:space="preserve">VP kyleffekt</t>
  </si>
  <si>
    <t xml:space="preserve">Energikostnad                                  kr per år</t>
  </si>
  <si>
    <t xml:space="preserve">Energianvändning 2                         kWh per mängdenhet och år</t>
  </si>
  <si>
    <t xml:space="preserve">Årsprod kWh</t>
  </si>
  <si>
    <t xml:space="preserve">Energikostnad 2                                kr per år</t>
  </si>
  <si>
    <t xml:space="preserve">Årskons kWh</t>
  </si>
  <si>
    <t xml:space="preserve">Energianvändning 3                         kWh per mängdenhet och år</t>
  </si>
  <si>
    <t xml:space="preserve">Energikostnad 3                               kr per år</t>
  </si>
  <si>
    <t xml:space="preserve">Summa energikostnad                    kr per år</t>
  </si>
  <si>
    <t xml:space="preserve">Summa energianvändning             kWh per år</t>
  </si>
  <si>
    <t xml:space="preserve">Energikostnad medelvärde             kr per kWh</t>
  </si>
  <si>
    <t xml:space="preserve">Summa nuvärde, investering och underhåll</t>
  </si>
  <si>
    <t xml:space="preserve">Summa nuvärde, energikostnader</t>
  </si>
  <si>
    <t xml:space="preserve">Summa nuvärde, alla kostnader</t>
  </si>
  <si>
    <t xml:space="preserve">Differens:</t>
  </si>
  <si>
    <t xml:space="preserve">Besparingskostnad                         kr per kWh</t>
  </si>
  <si>
    <t xml:space="preserve">Energikostnad (mv )                        kr per kWh</t>
  </si>
  <si>
    <t xml:space="preserve">Minskad användning av CO2           ton per år</t>
  </si>
  <si>
    <t xml:space="preserve">Ej beräknat</t>
  </si>
  <si>
    <t xml:space="preserve">Injustering av värmesystem</t>
  </si>
  <si>
    <t xml:space="preserve">Beräknad besparing</t>
  </si>
  <si>
    <t xml:space="preserve">Injustering av värmesystemet för att uppnå en jämnare temperatur i byggnaden. Flöden till värmestammar och radiatorer injusteras för att avge rätt värmeeffekt. Värmebesparing uppnås genom en lägre genomsnittstemperatur och mindre vädring</t>
  </si>
  <si>
    <t xml:space="preserve">Antal lgh</t>
  </si>
  <si>
    <t xml:space="preserve">Rad/lgh</t>
  </si>
  <si>
    <t xml:space="preserve">Pris/rad</t>
  </si>
  <si>
    <t xml:space="preserve">Byte styrsystem för värme</t>
  </si>
  <si>
    <t xml:space="preserve">Byte av styr och reglerutrustning för värmesystem. Befintligt styrsystem har endast utegivare för utstyrning av värme. Genom att sätta in en ny styrdator som även mäter inomhustemperatur kan värmeöverskottet som uppstår vid viss väderlek och årstid automatiskt besparas.</t>
  </si>
  <si>
    <t xml:space="preserve">Tilläggisolering av vindbjälklaget</t>
  </si>
  <si>
    <t xml:space="preserve">Nyckeltal investering/m2</t>
  </si>
  <si>
    <t xml:space="preserve">Beräknad besparing kWh/år</t>
  </si>
  <si>
    <t xml:space="preserve">Befintlig isolering är xx cm tjock. Det finns bra förutsättningar att tilläggisolera vindsbjälklaget med ytterliggare xx cm lösull. Därigenom kan man minska värmeläckaget genom vinden.</t>
  </si>
  <si>
    <t xml:space="preserve">Takyta</t>
  </si>
  <si>
    <t xml:space="preserve">Bef U</t>
  </si>
  <si>
    <t xml:space="preserve">Nytt U</t>
  </si>
  <si>
    <t xml:space="preserve">K-D 17 gränstemp</t>
  </si>
  <si>
    <t xml:space="preserve">Bef energi genom tak kWh/år</t>
  </si>
  <si>
    <t xml:space="preserve">Ny energi genom tak kWh/år</t>
  </si>
  <si>
    <t xml:space="preserve">Energibesparing</t>
  </si>
  <si>
    <t xml:space="preserve">Byte av fönster</t>
  </si>
  <si>
    <t xml:space="preserve">Nyckeltal kr/m2 fönster</t>
  </si>
  <si>
    <t xml:space="preserve">Fasadyta exkl fönster</t>
  </si>
  <si>
    <t xml:space="preserve">Fönster %</t>
  </si>
  <si>
    <t xml:space="preserve">Bef energi fönster kWh/år</t>
  </si>
  <si>
    <t xml:space="preserve">Ny energi fönster kWh/år</t>
  </si>
  <si>
    <t xml:space="preserve">Tilläggisolering av fasader</t>
  </si>
  <si>
    <t xml:space="preserve">Nyckeltal kr/m2 fasad</t>
  </si>
  <si>
    <t xml:space="preserve">Tilläggisolera fasaden med</t>
  </si>
  <si>
    <t xml:space="preserve">Bef energi fasad kWh/år</t>
  </si>
  <si>
    <t xml:space="preserve">Ny energi fasad kWh/år</t>
  </si>
  <si>
    <t xml:space="preserve">Installation av frånluftsåtervinning</t>
  </si>
  <si>
    <t xml:space="preserve">Avkylning grader</t>
  </si>
  <si>
    <t xml:space="preserve">Kyleffekt kW</t>
  </si>
  <si>
    <t xml:space="preserve">Scop VP antagen</t>
  </si>
  <si>
    <t xml:space="preserve">Komp effekt</t>
  </si>
  <si>
    <t xml:space="preserve">Vp effekt</t>
  </si>
  <si>
    <t xml:space="preserve">Antagen drifttid</t>
  </si>
  <si>
    <t xml:space="preserve">Värmedrift</t>
  </si>
  <si>
    <t xml:space="preserve">5500 h/år</t>
  </si>
  <si>
    <t xml:space="preserve">Värme+VV drift</t>
  </si>
  <si>
    <t xml:space="preserve">7000 h/år</t>
  </si>
  <si>
    <t xml:space="preserve">Minskad värme/år kWh</t>
  </si>
  <si>
    <t xml:space="preserve">Ökad el/år kWh</t>
  </si>
  <si>
    <t xml:space="preserve">Installation av solceller på taket</t>
  </si>
  <si>
    <t xml:space="preserve">Installera solceller på taket</t>
  </si>
  <si>
    <t xml:space="preserve">Solcellsyta</t>
  </si>
  <si>
    <t xml:space="preserve">Beräknad m2 produktion</t>
  </si>
  <si>
    <t xml:space="preserve">130 lågt 180 högt beronde på läge lutning verkningsgrad paneler</t>
  </si>
  <si>
    <t xml:space="preserve">Produktion</t>
  </si>
  <si>
    <t xml:space="preserve">Varav fastighetsel tillgodo %</t>
  </si>
  <si>
    <t xml:space="preserve">Byte av pump till tryckstyrd med bättre effektivitet</t>
  </si>
  <si>
    <t xml:space="preserve">Byte av cirkulationspumpar till nya tryckreglerade med bättre energieffektivitet.</t>
  </si>
  <si>
    <t xml:space="preserve">Effekt befintliga pumpar kW</t>
  </si>
  <si>
    <t xml:space="preserve">Drifttid h per år</t>
  </si>
  <si>
    <t xml:space="preserve">Bef energiförbrukning kWh/år</t>
  </si>
  <si>
    <t xml:space="preserve">Effekt nya pumpar kW</t>
  </si>
  <si>
    <t xml:space="preserve">Drifttid per år</t>
  </si>
  <si>
    <t xml:space="preserve">Ny energiförbrukning</t>
  </si>
  <si>
    <t xml:space="preserve">Årlig energibesparing</t>
  </si>
  <si>
    <t xml:space="preserve">Byte av fläktar till tryckstyrd med bättre effektivitet</t>
  </si>
  <si>
    <t xml:space="preserve">Byte av fläktar till nya tryckreglerade med bättre energieffektivitet och utetempkompensering.</t>
  </si>
  <si>
    <t xml:space="preserve">Effekt befintliga fläktar kW</t>
  </si>
  <si>
    <t xml:space="preserve">SFP tal</t>
  </si>
  <si>
    <t xml:space="preserve">Effekt nya fläktar kW</t>
  </si>
  <si>
    <t xml:space="preserve">Övrig åtgärd</t>
  </si>
  <si>
    <t xml:space="preserve">Befintlig energiförbrukning ventilation uppvärmning</t>
  </si>
  <si>
    <t xml:space="preserve">Ny energiförbrukning ventilation uppvärmning</t>
  </si>
  <si>
    <t xml:space="preserve">Underlag för beräkning</t>
  </si>
  <si>
    <t xml:space="preserve">Ökad el till FTX</t>
  </si>
  <si>
    <t xml:space="preserve">Investeringskostnad (kr)</t>
  </si>
  <si>
    <t xml:space="preserve">Ändrad värmeförbrukning (kWh/år)</t>
  </si>
  <si>
    <t xml:space="preserve">Ändrad elförbrukning (kWh/år)</t>
  </si>
  <si>
    <t xml:space="preserve">Ökning anges positivt och minskning negativt. Exempel bergvärme: värme −100 000, el +30 000.</t>
  </si>
  <si>
    <t xml:space="preserve">Beskrivning av åtgärden</t>
  </si>
  <si>
    <t xml:space="preserve">Beskriv åtgärden och hur besparingen är beräknad.</t>
  </si>
  <si>
    <t xml:space="preserve">Nuvarande värmeförbrukning (kWh/år)</t>
  </si>
  <si>
    <t xml:space="preserve">Värmeförbrukning efter åtgärd (kWh/år)</t>
  </si>
  <si>
    <t xml:space="preserve">Nuvarande el, fastighetsel (kWh/år)</t>
  </si>
  <si>
    <t xml:space="preserve">El efter åtgärd (kWh/år)</t>
  </si>
  <si>
    <t xml:space="preserve">Årlig energibesparing (kWh/år)</t>
  </si>
  <si>
    <t xml:space="preserve">Besiktning</t>
  </si>
  <si>
    <t xml:space="preserve">Byggnaden har besiktigats i syfte att kartlägga byggnadens fastighetsenergi samt för att kontrollera eventuellt möjliga kostnadseffektiva åtgärder</t>
  </si>
  <si>
    <t xml:space="preserve">Installation av solceller för produktion av el till byggnadens gemensamma elanvändning.</t>
  </si>
  <si>
    <t xml:space="preserve">Alternativ 1</t>
  </si>
  <si>
    <t xml:space="preserve">Alternativ 2</t>
  </si>
  <si>
    <t xml:space="preserve">Beräkningsmetodik</t>
  </si>
  <si>
    <t xml:space="preserve">Formel</t>
  </si>
  <si>
    <t xml:space="preserve">Vattenspar</t>
  </si>
  <si>
    <t xml:space="preserve">Installation av vattenbesparande utrustning. Befintliga blandare och duschar förses med nya perlatorer och munstycken som ger ett högre vattentryck och mindre vattenmängd. Åtgärden minskar energiåtgången och effekt för varmvatten samt minskar kostnaden för kallvatten. Samtidigt kan man med fördel inventera och åtgärda eventuella vattenläckor.</t>
  </si>
  <si>
    <t xml:space="preserve">Antag 5-15% beroende på status eller ev mätning av flödet</t>
  </si>
  <si>
    <t xml:space="preserve">Frånluftvärmepump</t>
  </si>
  <si>
    <t xml:space="preserve">Installation av frånluftsåtervinning med värmepump. Befintliga frånluftsfläktar demonteras och ersätts med värmepumpsaggregat som har inbyggda fläktar med en bättre eleffektivitet. Värmen återvinns i aggregaten återförs byggnadens värmesystem.</t>
  </si>
  <si>
    <t xml:space="preserve">Frånluftsflödet kyls ned till ca 5 grader. Beräkna förenklat kyleffekten och antag ett Scop på 3-4 eller använd beräkningsprgram</t>
  </si>
  <si>
    <t xml:space="preserve">Styr och regler</t>
  </si>
  <si>
    <t xml:space="preserve">Antag 5-12% beroende på status bef. reglerutrustning och inomhustemperatur</t>
  </si>
  <si>
    <t xml:space="preserve">Byte av fläkt</t>
  </si>
  <si>
    <t xml:space="preserve">Byte av befintliga fläktar till nya med högre eleffektivitet och tryckstyrning</t>
  </si>
  <si>
    <t xml:space="preserve">Mätning av strömstyrka/tryck på bef fläkt. Beräkningsprogram för ny fläkt</t>
  </si>
  <si>
    <t xml:space="preserve">Byte av pump</t>
  </si>
  <si>
    <t xml:space="preserve">Byte av befintliga pumpar till nya med högre eleffektivitet och tryckstyrning</t>
  </si>
  <si>
    <t xml:space="preserve">Mätning av strömstyrka/tryck på bef pump. Beräkningsprogram för ny pump</t>
  </si>
  <si>
    <t xml:space="preserve">Injustering av värmesystemet för att uppnå en jämnare temperatur i byggnaden. Flöden till värmestammar och radiatorer injusteras för att avge rätt värmeeffekt. Värmebesparing uppnås genom en lägre genomsnittstemperatur och mindre vädring. Man behöver byta ut samtliga stamventiler och radiatorventiler för att kunna genomföra denna åtgärd.</t>
  </si>
  <si>
    <t xml:space="preserve">Antag 5-10% beroende husets medeltemp, bedömning av vädring, bedömning av bef injustering och temperaturspridning.</t>
  </si>
  <si>
    <t xml:space="preserve">Tilläggisolering av vindsbjälklag</t>
  </si>
  <si>
    <t xml:space="preserve">Beräkning av bef. transmissionsförlust och ny</t>
  </si>
  <si>
    <t xml:space="preserve">Befintlig konstruktion har ett U-värde (isolervärde) som är dåligt . Det finns bra förutsättningar att tilläggisolera fasaden i samband med renovering med ytterliggare xx cm. Därigenom kan man minska värmeläckaget genom fasaden.</t>
  </si>
  <si>
    <t xml:space="preserve">Installation av bergvärmepump för uppvärmning och varmvatten. Ett eller flera borrhål borras för uttag av värmeenergi ur berggrunden. Värmen upptas av en köldbärarvätska och höjs via värmepumpen till en temperaturnivå som kan användas i byggnadens värmesystem. Åtgärden ersätter helt eller delvis nuvarande uppvärmningskälla och minskar behovet av köpt fjärrvärme/olja, men ökar elanvändningen.</t>
  </si>
  <si>
    <t xml:space="preserve">Beräkning av VP-effekt utifrån byggnadens nominella värmeeffekt och andel täckningsgrad, samt årsenergi utifrån antaget COP och antagen drifttid.</t>
  </si>
  <si>
    <t xml:space="preserve">Byte fönster</t>
  </si>
  <si>
    <t xml:space="preserve">Byte av befintliga fönster till nya energieffektiva fönster med lägre U-värde. Åtgärden minskar transmissionsförlusterna genom klimatskärmen och ger ett bättre inomhusklimat samt minskad risk för drag och kallras.</t>
  </si>
  <si>
    <t xml:space="preserve">Beräkning av befintlig och ny transmissionsförlust utifrån U-värde före/efter och fönsterarea, omräknat med gradtimmar till årsenergi.</t>
  </si>
  <si>
    <t xml:space="preserve">Regelvärden BFS 2026:9 och BFS 2026:10</t>
  </si>
  <si>
    <t xml:space="preserve">Tabellerna används av beräkningsflikarna. Ändra bara om föreskrifterna ändras.</t>
  </si>
  <si>
    <t xml:space="preserve">Viktningsfaktorer per energibärare (BFS 2026:9 bilaga 1 tabell 1)</t>
  </si>
  <si>
    <t xml:space="preserve">Ja/Nej</t>
  </si>
  <si>
    <t xml:space="preserve">Solel fördelas</t>
  </si>
  <si>
    <t xml:space="preserve">Värme och tappvarmvatten</t>
  </si>
  <si>
    <t xml:space="preserve">Alla</t>
  </si>
  <si>
    <t xml:space="preserve">Räknas bort</t>
  </si>
  <si>
    <t xml:space="preserve">Per byggnad</t>
  </si>
  <si>
    <t xml:space="preserve">Förnybara bränslen</t>
  </si>
  <si>
    <t xml:space="preserve">Fossila bränslen</t>
  </si>
  <si>
    <t xml:space="preserve">Komfortkyla</t>
  </si>
  <si>
    <t xml:space="preserve">Kategoritypiska värden (BFS 2026:9 bilaga 1) och gränser A + B·Fgeo (BFS 2026:10 bilaga 1, BFS 2026:9 bilaga 2 tabell 1)</t>
  </si>
  <si>
    <t xml:space="preserve">Innetemp °C</t>
  </si>
  <si>
    <t xml:space="preserve">Uteluft l/s,m²</t>
  </si>
  <si>
    <t xml:space="preserve">Internlast W/m²</t>
  </si>
  <si>
    <t xml:space="preserve">Tappvv kWh/m²</t>
  </si>
  <si>
    <t xml:space="preserve">A: A</t>
  </si>
  <si>
    <t xml:space="preserve">A: B</t>
  </si>
  <si>
    <t xml:space="preserve">B: A</t>
  </si>
  <si>
    <t xml:space="preserve">B: B</t>
  </si>
  <si>
    <t xml:space="preserve">C: A</t>
  </si>
  <si>
    <t xml:space="preserve">C: B</t>
  </si>
  <si>
    <t xml:space="preserve">D: A</t>
  </si>
  <si>
    <t xml:space="preserve">D: B</t>
  </si>
  <si>
    <t xml:space="preserve">E: A</t>
  </si>
  <si>
    <t xml:space="preserve">E: B</t>
  </si>
  <si>
    <t xml:space="preserve">F: A</t>
  </si>
  <si>
    <t xml:space="preserve">F: B</t>
  </si>
  <si>
    <t xml:space="preserve">Ny byggnad: A</t>
  </si>
  <si>
    <t xml:space="preserve">Ny byggnad: B</t>
  </si>
  <si>
    <t xml:space="preserve">En- och tvåbostadshus Atemp &lt; 90 m²</t>
  </si>
  <si>
    <t xml:space="preserve">En- och tvåbostadshus Atemp ≥ 130 m²</t>
  </si>
  <si>
    <t xml:space="preserve">Fgeo per kommun (BFS 2026:9 bilaga 3)</t>
  </si>
  <si>
    <t xml:space="preserve">Fgeo</t>
  </si>
  <si>
    <t xml:space="preserve">Ale</t>
  </si>
  <si>
    <t xml:space="preserve">Alingsås</t>
  </si>
  <si>
    <t xml:space="preserve">Alvesta</t>
  </si>
  <si>
    <t xml:space="preserve">Aneby</t>
  </si>
  <si>
    <t xml:space="preserve">Arboga</t>
  </si>
  <si>
    <t xml:space="preserve">Arjeplog</t>
  </si>
  <si>
    <t xml:space="preserve">Arvidsjaur</t>
  </si>
  <si>
    <t xml:space="preserve">Arvika</t>
  </si>
  <si>
    <t xml:space="preserve">Askersund</t>
  </si>
  <si>
    <t xml:space="preserve">Avesta</t>
  </si>
  <si>
    <t xml:space="preserve">Bengtsfors</t>
  </si>
  <si>
    <t xml:space="preserve">Berg</t>
  </si>
  <si>
    <t xml:space="preserve">Bjurholm</t>
  </si>
  <si>
    <t xml:space="preserve">Bjuv</t>
  </si>
  <si>
    <t xml:space="preserve">Boden</t>
  </si>
  <si>
    <t xml:space="preserve">Bollebygd</t>
  </si>
  <si>
    <t xml:space="preserve">Bollnäs</t>
  </si>
  <si>
    <t xml:space="preserve">Borgholm</t>
  </si>
  <si>
    <t xml:space="preserve">Borlänge</t>
  </si>
  <si>
    <t xml:space="preserve">Borås</t>
  </si>
  <si>
    <t xml:space="preserve">Botkyrka</t>
  </si>
  <si>
    <t xml:space="preserve">Boxholm</t>
  </si>
  <si>
    <t xml:space="preserve">Bromölla</t>
  </si>
  <si>
    <t xml:space="preserve">Bräcke</t>
  </si>
  <si>
    <t xml:space="preserve">Burlöv</t>
  </si>
  <si>
    <t xml:space="preserve">Båstad</t>
  </si>
  <si>
    <t xml:space="preserve">Dals-Ed</t>
  </si>
  <si>
    <t xml:space="preserve">Danderyd</t>
  </si>
  <si>
    <t xml:space="preserve">Degerfors</t>
  </si>
  <si>
    <t xml:space="preserve">Dorotea</t>
  </si>
  <si>
    <t xml:space="preserve">Eda</t>
  </si>
  <si>
    <t xml:space="preserve">Ekerö</t>
  </si>
  <si>
    <t xml:space="preserve">Eksjö</t>
  </si>
  <si>
    <t xml:space="preserve">Emmaboda</t>
  </si>
  <si>
    <t xml:space="preserve">Enköping</t>
  </si>
  <si>
    <t xml:space="preserve">Eskilstuna</t>
  </si>
  <si>
    <t xml:space="preserve">Eslöv</t>
  </si>
  <si>
    <t xml:space="preserve">Essunga</t>
  </si>
  <si>
    <t xml:space="preserve">Fagersta</t>
  </si>
  <si>
    <t xml:space="preserve">Falkenberg</t>
  </si>
  <si>
    <t xml:space="preserve">Falköping</t>
  </si>
  <si>
    <t xml:space="preserve">Falun</t>
  </si>
  <si>
    <t xml:space="preserve">Filipstad</t>
  </si>
  <si>
    <t xml:space="preserve">Finspång</t>
  </si>
  <si>
    <t xml:space="preserve">Flen</t>
  </si>
  <si>
    <t xml:space="preserve">Forshaga</t>
  </si>
  <si>
    <t xml:space="preserve">Färgelanda</t>
  </si>
  <si>
    <t xml:space="preserve">Gagnef</t>
  </si>
  <si>
    <t xml:space="preserve">Gislaved</t>
  </si>
  <si>
    <t xml:space="preserve">Gnesta</t>
  </si>
  <si>
    <t xml:space="preserve">Gnosjö</t>
  </si>
  <si>
    <t xml:space="preserve">Gotland</t>
  </si>
  <si>
    <t xml:space="preserve">Grums</t>
  </si>
  <si>
    <t xml:space="preserve">Grästorp</t>
  </si>
  <si>
    <t xml:space="preserve">Gullspång</t>
  </si>
  <si>
    <t xml:space="preserve">Gällivare</t>
  </si>
  <si>
    <t xml:space="preserve">Gävle</t>
  </si>
  <si>
    <t xml:space="preserve">Göteborg</t>
  </si>
  <si>
    <t xml:space="preserve">Götene</t>
  </si>
  <si>
    <t xml:space="preserve">Habo</t>
  </si>
  <si>
    <t xml:space="preserve">Hagfors</t>
  </si>
  <si>
    <t xml:space="preserve">Hallsberg</t>
  </si>
  <si>
    <t xml:space="preserve">Hallstahammar</t>
  </si>
  <si>
    <t xml:space="preserve">Halmstad</t>
  </si>
  <si>
    <t xml:space="preserve">Hammarö</t>
  </si>
  <si>
    <t xml:space="preserve">Haninge</t>
  </si>
  <si>
    <t xml:space="preserve">Haparanda</t>
  </si>
  <si>
    <t xml:space="preserve">Heby</t>
  </si>
  <si>
    <t xml:space="preserve">Hedemora</t>
  </si>
  <si>
    <t xml:space="preserve">Helsingborg</t>
  </si>
  <si>
    <t xml:space="preserve">Herrljunga</t>
  </si>
  <si>
    <t xml:space="preserve">Hjo</t>
  </si>
  <si>
    <t xml:space="preserve">Hofors</t>
  </si>
  <si>
    <t xml:space="preserve">Huddinge</t>
  </si>
  <si>
    <t xml:space="preserve">Hudiksvall</t>
  </si>
  <si>
    <t xml:space="preserve">Hultsfred</t>
  </si>
  <si>
    <t xml:space="preserve">Hylte</t>
  </si>
  <si>
    <t xml:space="preserve">Håbo</t>
  </si>
  <si>
    <t xml:space="preserve">Hällefors</t>
  </si>
  <si>
    <t xml:space="preserve">Härjedalen</t>
  </si>
  <si>
    <t xml:space="preserve">Härnösand</t>
  </si>
  <si>
    <t xml:space="preserve">Härryda</t>
  </si>
  <si>
    <t xml:space="preserve">Hässleholm</t>
  </si>
  <si>
    <t xml:space="preserve">Höganäs</t>
  </si>
  <si>
    <t xml:space="preserve">Högsby</t>
  </si>
  <si>
    <t xml:space="preserve">Hörby</t>
  </si>
  <si>
    <t xml:space="preserve">Höör</t>
  </si>
  <si>
    <t xml:space="preserve">Jokkmokk</t>
  </si>
  <si>
    <t xml:space="preserve">Järfälla</t>
  </si>
  <si>
    <t xml:space="preserve">Jönköping</t>
  </si>
  <si>
    <t xml:space="preserve">Kalix</t>
  </si>
  <si>
    <t xml:space="preserve">Kalmar</t>
  </si>
  <si>
    <t xml:space="preserve">Karlsborg</t>
  </si>
  <si>
    <t xml:space="preserve">Karlshamn</t>
  </si>
  <si>
    <t xml:space="preserve">Karlskoga</t>
  </si>
  <si>
    <t xml:space="preserve">Karlskrona</t>
  </si>
  <si>
    <t xml:space="preserve">Katrineholm</t>
  </si>
  <si>
    <t xml:space="preserve">Kil</t>
  </si>
  <si>
    <t xml:space="preserve">Kinda</t>
  </si>
  <si>
    <t xml:space="preserve">Kiruna</t>
  </si>
  <si>
    <t xml:space="preserve">Klippan</t>
  </si>
  <si>
    <t xml:space="preserve">Knivsta</t>
  </si>
  <si>
    <t xml:space="preserve">Kramfors</t>
  </si>
  <si>
    <t xml:space="preserve">Kristianstad</t>
  </si>
  <si>
    <t xml:space="preserve">Kristinehamn</t>
  </si>
  <si>
    <t xml:space="preserve">Krokom</t>
  </si>
  <si>
    <t xml:space="preserve">Kumla</t>
  </si>
  <si>
    <t xml:space="preserve">Kungsbacka</t>
  </si>
  <si>
    <t xml:space="preserve">Kungsör</t>
  </si>
  <si>
    <t xml:space="preserve">Kungälv</t>
  </si>
  <si>
    <t xml:space="preserve">Kävlinge</t>
  </si>
  <si>
    <t xml:space="preserve">Köping</t>
  </si>
  <si>
    <t xml:space="preserve">Laholm</t>
  </si>
  <si>
    <t xml:space="preserve">Landskrona</t>
  </si>
  <si>
    <t xml:space="preserve">Laxå</t>
  </si>
  <si>
    <t xml:space="preserve">Lekeberg</t>
  </si>
  <si>
    <t xml:space="preserve">Leksand</t>
  </si>
  <si>
    <t xml:space="preserve">Lerum</t>
  </si>
  <si>
    <t xml:space="preserve">Lessebo</t>
  </si>
  <si>
    <t xml:space="preserve">Lidingö</t>
  </si>
  <si>
    <t xml:space="preserve">Lidköping</t>
  </si>
  <si>
    <t xml:space="preserve">Lilla Edet</t>
  </si>
  <si>
    <t xml:space="preserve">Lindesberg</t>
  </si>
  <si>
    <t xml:space="preserve">Linköping</t>
  </si>
  <si>
    <t xml:space="preserve">Ljungby</t>
  </si>
  <si>
    <t xml:space="preserve">Ljusdal</t>
  </si>
  <si>
    <t xml:space="preserve">Ljusnarsberg</t>
  </si>
  <si>
    <t xml:space="preserve">Lomma</t>
  </si>
  <si>
    <t xml:space="preserve">Ludvika</t>
  </si>
  <si>
    <t xml:space="preserve">Luleå</t>
  </si>
  <si>
    <t xml:space="preserve">Lund</t>
  </si>
  <si>
    <t xml:space="preserve">Lycksele</t>
  </si>
  <si>
    <t xml:space="preserve">Lysekil</t>
  </si>
  <si>
    <t xml:space="preserve">Malmö</t>
  </si>
  <si>
    <t xml:space="preserve">Malung-Sälen</t>
  </si>
  <si>
    <t xml:space="preserve">Malå</t>
  </si>
  <si>
    <t xml:space="preserve">Mariestad</t>
  </si>
  <si>
    <t xml:space="preserve">Mark</t>
  </si>
  <si>
    <t xml:space="preserve">Markaryd</t>
  </si>
  <si>
    <t xml:space="preserve">Mellerud</t>
  </si>
  <si>
    <t xml:space="preserve">Mjölby</t>
  </si>
  <si>
    <t xml:space="preserve">Mora</t>
  </si>
  <si>
    <t xml:space="preserve">Motala</t>
  </si>
  <si>
    <t xml:space="preserve">Mullsjö</t>
  </si>
  <si>
    <t xml:space="preserve">Munkedal</t>
  </si>
  <si>
    <t xml:space="preserve">Munkfors</t>
  </si>
  <si>
    <t xml:space="preserve">Mölndal</t>
  </si>
  <si>
    <t xml:space="preserve">Mönsterås</t>
  </si>
  <si>
    <t xml:space="preserve">Mörbylånga</t>
  </si>
  <si>
    <t xml:space="preserve">Nacka</t>
  </si>
  <si>
    <t xml:space="preserve">Nora</t>
  </si>
  <si>
    <t xml:space="preserve">Norberg</t>
  </si>
  <si>
    <t xml:space="preserve">Nordanstig</t>
  </si>
  <si>
    <t xml:space="preserve">Nordmaling</t>
  </si>
  <si>
    <t xml:space="preserve">Norrköping</t>
  </si>
  <si>
    <t xml:space="preserve">Norrtälje</t>
  </si>
  <si>
    <t xml:space="preserve">Norsjö</t>
  </si>
  <si>
    <t xml:space="preserve">Nybro</t>
  </si>
  <si>
    <t xml:space="preserve">Nykvarn</t>
  </si>
  <si>
    <t xml:space="preserve">Nyköping</t>
  </si>
  <si>
    <t xml:space="preserve">Nynäshamn</t>
  </si>
  <si>
    <t xml:space="preserve">Nässjö</t>
  </si>
  <si>
    <t xml:space="preserve">Ockelbo</t>
  </si>
  <si>
    <t xml:space="preserve">Olofström</t>
  </si>
  <si>
    <t xml:space="preserve">Orsa</t>
  </si>
  <si>
    <t xml:space="preserve">Orust</t>
  </si>
  <si>
    <t xml:space="preserve">Osby</t>
  </si>
  <si>
    <t xml:space="preserve">Oskarshamn</t>
  </si>
  <si>
    <t xml:space="preserve">Ovanåker</t>
  </si>
  <si>
    <t xml:space="preserve">Oxelösund</t>
  </si>
  <si>
    <t xml:space="preserve">Pajala</t>
  </si>
  <si>
    <t xml:space="preserve">Partille</t>
  </si>
  <si>
    <t xml:space="preserve">Perstorp</t>
  </si>
  <si>
    <t xml:space="preserve">Piteå</t>
  </si>
  <si>
    <t xml:space="preserve">Ragunda</t>
  </si>
  <si>
    <t xml:space="preserve">Robertsfors</t>
  </si>
  <si>
    <t xml:space="preserve">Ronneby</t>
  </si>
  <si>
    <t xml:space="preserve">Rättvik</t>
  </si>
  <si>
    <t xml:space="preserve">Sala</t>
  </si>
  <si>
    <t xml:space="preserve">Salem</t>
  </si>
  <si>
    <t xml:space="preserve">Sandviken</t>
  </si>
  <si>
    <t xml:space="preserve">Sigtuna</t>
  </si>
  <si>
    <t xml:space="preserve">Simrishamn</t>
  </si>
  <si>
    <t xml:space="preserve">Sjöbo</t>
  </si>
  <si>
    <t xml:space="preserve">Skara</t>
  </si>
  <si>
    <t xml:space="preserve">Skellefteå</t>
  </si>
  <si>
    <t xml:space="preserve">Skinnskatteberg</t>
  </si>
  <si>
    <t xml:space="preserve">Skurup</t>
  </si>
  <si>
    <t xml:space="preserve">Skövde</t>
  </si>
  <si>
    <t xml:space="preserve">Smedjebacken</t>
  </si>
  <si>
    <t xml:space="preserve">Sollefteå</t>
  </si>
  <si>
    <t xml:space="preserve">Sollentuna</t>
  </si>
  <si>
    <t xml:space="preserve">Solna</t>
  </si>
  <si>
    <t xml:space="preserve">Sorsele</t>
  </si>
  <si>
    <t xml:space="preserve">Sotenäs</t>
  </si>
  <si>
    <t xml:space="preserve">Staffanstorp</t>
  </si>
  <si>
    <t xml:space="preserve">Stenungsund</t>
  </si>
  <si>
    <t xml:space="preserve">Stockholm</t>
  </si>
  <si>
    <t xml:space="preserve">Storfors</t>
  </si>
  <si>
    <t xml:space="preserve">Storuman</t>
  </si>
  <si>
    <t xml:space="preserve">Strängnäs</t>
  </si>
  <si>
    <t xml:space="preserve">Strömstad</t>
  </si>
  <si>
    <t xml:space="preserve">Strömsund</t>
  </si>
  <si>
    <t xml:space="preserve">Sundbyberg</t>
  </si>
  <si>
    <t xml:space="preserve">Sundsvall</t>
  </si>
  <si>
    <t xml:space="preserve">Sunne</t>
  </si>
  <si>
    <t xml:space="preserve">Surahammar</t>
  </si>
  <si>
    <t xml:space="preserve">Svalöv</t>
  </si>
  <si>
    <t xml:space="preserve">Svedala</t>
  </si>
  <si>
    <t xml:space="preserve">Svenljunga</t>
  </si>
  <si>
    <t xml:space="preserve">Säffle</t>
  </si>
  <si>
    <t xml:space="preserve">Säter</t>
  </si>
  <si>
    <t xml:space="preserve">Sävsjö</t>
  </si>
  <si>
    <t xml:space="preserve">Söderhamn</t>
  </si>
  <si>
    <t xml:space="preserve">Söderköping</t>
  </si>
  <si>
    <t xml:space="preserve">Södertälje</t>
  </si>
  <si>
    <t xml:space="preserve">Sölvesborg</t>
  </si>
  <si>
    <t xml:space="preserve">Tanum</t>
  </si>
  <si>
    <t xml:space="preserve">Tibro</t>
  </si>
  <si>
    <t xml:space="preserve">Tidaholm</t>
  </si>
  <si>
    <t xml:space="preserve">Tierp</t>
  </si>
  <si>
    <t xml:space="preserve">Timrå</t>
  </si>
  <si>
    <t xml:space="preserve">Tingsryd</t>
  </si>
  <si>
    <t xml:space="preserve">Tjörn</t>
  </si>
  <si>
    <t xml:space="preserve">Tomelilla</t>
  </si>
  <si>
    <t xml:space="preserve">Torsby</t>
  </si>
  <si>
    <t xml:space="preserve">Torsås</t>
  </si>
  <si>
    <t xml:space="preserve">Tranemo</t>
  </si>
  <si>
    <t xml:space="preserve">Tranås</t>
  </si>
  <si>
    <t xml:space="preserve">Trelleborg</t>
  </si>
  <si>
    <t xml:space="preserve">Trollhättan</t>
  </si>
  <si>
    <t xml:space="preserve">Trosa</t>
  </si>
  <si>
    <t xml:space="preserve">Tyresö</t>
  </si>
  <si>
    <t xml:space="preserve">Täby</t>
  </si>
  <si>
    <t xml:space="preserve">Töreboda</t>
  </si>
  <si>
    <t xml:space="preserve">Uddevalla</t>
  </si>
  <si>
    <t xml:space="preserve">Ulricehamn</t>
  </si>
  <si>
    <t xml:space="preserve">Umeå</t>
  </si>
  <si>
    <t xml:space="preserve">Upplands-Bro</t>
  </si>
  <si>
    <t xml:space="preserve">Upplands-Väsby</t>
  </si>
  <si>
    <t xml:space="preserve">Uppsala</t>
  </si>
  <si>
    <t xml:space="preserve">Uppvidinge</t>
  </si>
  <si>
    <t xml:space="preserve">Vadstena</t>
  </si>
  <si>
    <t xml:space="preserve">Vaggeryd</t>
  </si>
  <si>
    <t xml:space="preserve">Valdemarsvik</t>
  </si>
  <si>
    <t xml:space="preserve">Vallentuna</t>
  </si>
  <si>
    <t xml:space="preserve">Vansbro</t>
  </si>
  <si>
    <t xml:space="preserve">Vara</t>
  </si>
  <si>
    <t xml:space="preserve">Varberg</t>
  </si>
  <si>
    <t xml:space="preserve">Vaxholm</t>
  </si>
  <si>
    <t xml:space="preserve">Vellinge</t>
  </si>
  <si>
    <t xml:space="preserve">Vetlanda</t>
  </si>
  <si>
    <t xml:space="preserve">Vilhelmina</t>
  </si>
  <si>
    <t xml:space="preserve">Vimmerby</t>
  </si>
  <si>
    <t xml:space="preserve">Vindeln</t>
  </si>
  <si>
    <t xml:space="preserve">Vingåker</t>
  </si>
  <si>
    <t xml:space="preserve">Vårgårda</t>
  </si>
  <si>
    <t xml:space="preserve">Vänersborg</t>
  </si>
  <si>
    <t xml:space="preserve">Vännäs</t>
  </si>
  <si>
    <t xml:space="preserve">Värmdö</t>
  </si>
  <si>
    <t xml:space="preserve">Värnamo</t>
  </si>
  <si>
    <t xml:space="preserve">Västervik</t>
  </si>
  <si>
    <t xml:space="preserve">Västerås</t>
  </si>
  <si>
    <t xml:space="preserve">Växjö</t>
  </si>
  <si>
    <t xml:space="preserve">Ydre</t>
  </si>
  <si>
    <t xml:space="preserve">Ystad</t>
  </si>
  <si>
    <t xml:space="preserve">Åmål</t>
  </si>
  <si>
    <t xml:space="preserve">Ånge</t>
  </si>
  <si>
    <t xml:space="preserve">Åre</t>
  </si>
  <si>
    <t xml:space="preserve">Årjäng</t>
  </si>
  <si>
    <t xml:space="preserve">Åsele</t>
  </si>
  <si>
    <t xml:space="preserve">Åstorp</t>
  </si>
  <si>
    <t xml:space="preserve">Åtvidaberg</t>
  </si>
  <si>
    <t xml:space="preserve">Älmhult</t>
  </si>
  <si>
    <t xml:space="preserve">Älvdalen</t>
  </si>
  <si>
    <t xml:space="preserve">Älvkarleby</t>
  </si>
  <si>
    <t xml:space="preserve">Älvsbyn</t>
  </si>
  <si>
    <t xml:space="preserve">Ängelholm</t>
  </si>
  <si>
    <t xml:space="preserve">Öckerö</t>
  </si>
  <si>
    <t xml:space="preserve">Ödeshög</t>
  </si>
  <si>
    <t xml:space="preserve">Örebro</t>
  </si>
  <si>
    <t xml:space="preserve">Örkelljunga</t>
  </si>
  <si>
    <t xml:space="preserve">Örnsköldsvik</t>
  </si>
  <si>
    <t xml:space="preserve">Östersund</t>
  </si>
  <si>
    <t xml:space="preserve">Österåker</t>
  </si>
  <si>
    <t xml:space="preserve">Östhammar</t>
  </si>
  <si>
    <t xml:space="preserve">Östra Göinge</t>
  </si>
  <si>
    <t xml:space="preserve">Överkalix</t>
  </si>
  <si>
    <t xml:space="preserve">Övertorneå</t>
  </si>
</sst>
</file>

<file path=xl/styles.xml><?xml version="1.0" encoding="utf-8"?>
<styleSheet xmlns="http://schemas.openxmlformats.org/spreadsheetml/2006/main">
  <numFmts count="16">
    <numFmt numFmtId="164" formatCode="General"/>
    <numFmt numFmtId="165" formatCode="0%"/>
    <numFmt numFmtId="166" formatCode="#,##0&quot; kWh&quot;"/>
    <numFmt numFmtId="167" formatCode="0"/>
    <numFmt numFmtId="168" formatCode="#,##0&quot; kr&quot;"/>
    <numFmt numFmtId="169" formatCode="0.0"/>
    <numFmt numFmtId="170" formatCode="0.000000"/>
    <numFmt numFmtId="171" formatCode="@"/>
    <numFmt numFmtId="172" formatCode="0.000"/>
    <numFmt numFmtId="173" formatCode="#,##0"/>
    <numFmt numFmtId="174" formatCode="0.0%"/>
    <numFmt numFmtId="175" formatCode="0.00"/>
    <numFmt numFmtId="176" formatCode="General"/>
    <numFmt numFmtId="177" formatCode="#,##0.0"/>
    <numFmt numFmtId="178" formatCode="#,##0.00"/>
    <numFmt numFmtId="179" formatCode="#,##0_ ;[RED]\-#,##0\ "/>
  </numFmts>
  <fonts count="40">
    <font>
      <sz val="11"/>
      <name val="Times New Roman"/>
      <family val="0"/>
      <charset val="1"/>
    </font>
    <font>
      <sz val="10"/>
      <name val="Arial"/>
      <family val="0"/>
    </font>
    <font>
      <sz val="10"/>
      <name val="Arial"/>
      <family val="0"/>
    </font>
    <font>
      <sz val="10"/>
      <name val="Arial"/>
      <family val="0"/>
    </font>
    <font>
      <sz val="10"/>
      <name val="Arial"/>
      <family val="2"/>
      <charset val="1"/>
    </font>
    <font>
      <b val="true"/>
      <sz val="18"/>
      <name val="Times New Roman"/>
      <family val="0"/>
      <charset val="1"/>
    </font>
    <font>
      <b val="true"/>
      <sz val="9"/>
      <name val="Times New Roman"/>
      <family val="0"/>
      <charset val="1"/>
    </font>
    <font>
      <sz val="10"/>
      <name val="Times New Roman"/>
      <family val="0"/>
      <charset val="1"/>
    </font>
    <font>
      <b val="true"/>
      <sz val="16"/>
      <name val="Cambria"/>
      <family val="0"/>
      <charset val="1"/>
    </font>
    <font>
      <sz val="11"/>
      <name val="Cambria"/>
      <family val="0"/>
      <charset val="1"/>
    </font>
    <font>
      <b val="true"/>
      <sz val="13"/>
      <name val="Cambria"/>
      <family val="0"/>
      <charset val="1"/>
    </font>
    <font>
      <b val="true"/>
      <sz val="11"/>
      <color rgb="FFFFFFFF"/>
      <name val="Cambria"/>
      <family val="0"/>
      <charset val="1"/>
    </font>
    <font>
      <b val="true"/>
      <sz val="11"/>
      <name val="Cambria"/>
      <family val="0"/>
      <charset val="1"/>
    </font>
    <font>
      <i val="true"/>
      <sz val="9"/>
      <name val="Cambria"/>
      <family val="0"/>
      <charset val="1"/>
    </font>
    <font>
      <sz val="9"/>
      <name val="Times New Roman"/>
      <family val="0"/>
      <charset val="1"/>
    </font>
    <font>
      <sz val="9"/>
      <name val="Calibri"/>
      <family val="0"/>
      <charset val="1"/>
    </font>
    <font>
      <i val="true"/>
      <sz val="9"/>
      <color rgb="FF595959"/>
      <name val="Times New Roman"/>
      <family val="0"/>
      <charset val="1"/>
    </font>
    <font>
      <b val="true"/>
      <sz val="11"/>
      <name val="Times New Roman"/>
      <family val="0"/>
      <charset val="1"/>
    </font>
    <font>
      <sz val="9"/>
      <color rgb="FF3F3F76"/>
      <name val="Calibri"/>
      <family val="0"/>
      <charset val="1"/>
    </font>
    <font>
      <b val="true"/>
      <sz val="9"/>
      <color rgb="FFFA7D00"/>
      <name val="Calibri"/>
      <family val="0"/>
      <charset val="1"/>
    </font>
    <font>
      <sz val="9"/>
      <color rgb="FF008000"/>
      <name val="Calibri"/>
      <family val="0"/>
      <charset val="1"/>
    </font>
    <font>
      <sz val="10"/>
      <name val="Arial"/>
      <family val="2"/>
    </font>
    <font>
      <sz val="9"/>
      <name val="Times New Roman"/>
      <family val="1"/>
      <charset val="1"/>
    </font>
    <font>
      <b val="true"/>
      <sz val="20"/>
      <name val="Times New Roman"/>
      <family val="1"/>
      <charset val="1"/>
    </font>
    <font>
      <b val="true"/>
      <sz val="9"/>
      <color rgb="FFFFFFFF"/>
      <name val="Times New Roman"/>
      <family val="1"/>
      <charset val="1"/>
    </font>
    <font>
      <b val="true"/>
      <sz val="9"/>
      <name val="Times New Roman"/>
      <family val="1"/>
      <charset val="1"/>
    </font>
    <font>
      <sz val="9"/>
      <color rgb="FF0000FF"/>
      <name val="Times New Roman"/>
      <family val="1"/>
      <charset val="1"/>
    </font>
    <font>
      <sz val="9"/>
      <color rgb="FF3F3F76"/>
      <name val="Calibri"/>
      <family val="2"/>
      <charset val="1"/>
    </font>
    <font>
      <b val="true"/>
      <sz val="9"/>
      <color rgb="FFFA7D00"/>
      <name val="Calibri"/>
      <family val="2"/>
      <charset val="1"/>
    </font>
    <font>
      <sz val="9"/>
      <color theme="1"/>
      <name val="Calibri"/>
      <family val="2"/>
      <charset val="1"/>
    </font>
    <font>
      <b val="true"/>
      <sz val="11"/>
      <name val="Times New Roman"/>
      <family val="1"/>
      <charset val="1"/>
    </font>
    <font>
      <b val="true"/>
      <i val="true"/>
      <sz val="11"/>
      <name val="Cambria"/>
      <family val="0"/>
      <charset val="1"/>
    </font>
    <font>
      <sz val="11"/>
      <name val="Times New Roman"/>
      <family val="1"/>
      <charset val="1"/>
    </font>
    <font>
      <b val="true"/>
      <sz val="16"/>
      <name val="Arial"/>
      <family val="2"/>
      <charset val="1"/>
    </font>
    <font>
      <b val="true"/>
      <sz val="10"/>
      <name val="Arial"/>
      <family val="2"/>
      <charset val="1"/>
    </font>
    <font>
      <b val="true"/>
      <sz val="18"/>
      <name val="Arial"/>
      <family val="2"/>
      <charset val="1"/>
    </font>
    <font>
      <b val="true"/>
      <sz val="12"/>
      <name val="Arial"/>
      <family val="2"/>
      <charset val="1"/>
    </font>
    <font>
      <b val="true"/>
      <sz val="8"/>
      <name val="Arial"/>
      <family val="2"/>
      <charset val="1"/>
    </font>
    <font>
      <sz val="11"/>
      <color rgb="FF3F3F76"/>
      <name val="Calibri"/>
      <family val="2"/>
      <charset val="1"/>
    </font>
    <font>
      <b val="true"/>
      <sz val="11"/>
      <color rgb="FFFA7D00"/>
      <name val="Calibri"/>
      <family val="2"/>
      <charset val="1"/>
    </font>
  </fonts>
  <fills count="21">
    <fill>
      <patternFill patternType="none"/>
    </fill>
    <fill>
      <patternFill patternType="gray125"/>
    </fill>
    <fill>
      <patternFill patternType="solid">
        <fgColor rgb="FF1F4E78"/>
        <bgColor rgb="FF3F3F76"/>
      </patternFill>
    </fill>
    <fill>
      <patternFill patternType="solid">
        <fgColor rgb="FFDCE6F1"/>
        <bgColor rgb="FFDCE6F2"/>
      </patternFill>
    </fill>
    <fill>
      <patternFill patternType="solid">
        <fgColor rgb="FFFFCC99"/>
        <bgColor rgb="FFFCD5B5"/>
      </patternFill>
    </fill>
    <fill>
      <patternFill patternType="solid">
        <fgColor rgb="FFF2F2F2"/>
        <bgColor rgb="FFEBF1DE"/>
      </patternFill>
    </fill>
    <fill>
      <patternFill patternType="solid">
        <fgColor rgb="FF333399"/>
        <bgColor rgb="FF3F3F76"/>
      </patternFill>
    </fill>
    <fill>
      <patternFill patternType="solid">
        <fgColor theme="5" tint="0.7998"/>
        <bgColor rgb="FFFCD5B5"/>
      </patternFill>
    </fill>
    <fill>
      <patternFill patternType="solid">
        <fgColor theme="4" tint="0.7998"/>
        <bgColor rgb="FFDCE6F1"/>
      </patternFill>
    </fill>
    <fill>
      <patternFill patternType="solid">
        <fgColor rgb="FFFFFF99"/>
        <bgColor rgb="FFEBF1DE"/>
      </patternFill>
    </fill>
    <fill>
      <patternFill patternType="solid">
        <fgColor rgb="FFFF99CC"/>
        <bgColor rgb="FFCC99FF"/>
      </patternFill>
    </fill>
    <fill>
      <patternFill patternType="solid">
        <fgColor theme="9" tint="0.5996"/>
        <bgColor rgb="FFFFCC99"/>
      </patternFill>
    </fill>
    <fill>
      <patternFill patternType="solid">
        <fgColor rgb="FFFFFF00"/>
        <bgColor rgb="FFFFC000"/>
      </patternFill>
    </fill>
    <fill>
      <patternFill patternType="solid">
        <fgColor rgb="FFC0C0C0"/>
        <bgColor rgb="FFC4BD97"/>
      </patternFill>
    </fill>
    <fill>
      <patternFill patternType="solid">
        <fgColor rgb="FFCCFFCC"/>
        <bgColor rgb="FFEBF1DE"/>
      </patternFill>
    </fill>
    <fill>
      <patternFill patternType="solid">
        <fgColor theme="6" tint="0.7998"/>
        <bgColor rgb="FFF2F2F2"/>
      </patternFill>
    </fill>
    <fill>
      <patternFill patternType="solid">
        <fgColor rgb="FFCC99FF"/>
        <bgColor rgb="FFFF99CC"/>
      </patternFill>
    </fill>
    <fill>
      <patternFill patternType="solid">
        <fgColor theme="3" tint="0.7998"/>
        <bgColor rgb="FFDCE6F1"/>
      </patternFill>
    </fill>
    <fill>
      <patternFill patternType="solid">
        <fgColor rgb="FFFFC000"/>
        <bgColor rgb="FFFF9900"/>
      </patternFill>
    </fill>
    <fill>
      <patternFill patternType="solid">
        <fgColor theme="0"/>
        <bgColor rgb="FFF2F2F2"/>
      </patternFill>
    </fill>
    <fill>
      <patternFill patternType="solid">
        <fgColor theme="2" tint="-0.25"/>
        <bgColor rgb="FFC0C0C0"/>
      </patternFill>
    </fill>
  </fills>
  <borders count="54">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medium"/>
      <right style="medium"/>
      <top style="medium"/>
      <bottom style="medium"/>
      <diagonal/>
    </border>
    <border diagonalUp="false" diagonalDown="false">
      <left style="medium"/>
      <right style="medium"/>
      <top style="medium"/>
      <bottom/>
      <diagonal/>
    </border>
    <border diagonalUp="false" diagonalDown="false">
      <left style="medium"/>
      <right/>
      <top style="medium"/>
      <bottom/>
      <diagonal/>
    </border>
    <border diagonalUp="false" diagonalDown="false">
      <left style="thin"/>
      <right/>
      <top style="medium"/>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right style="medium"/>
      <top style="medium"/>
      <bottom/>
      <diagonal/>
    </border>
    <border diagonalUp="false" diagonalDown="false">
      <left style="medium"/>
      <right/>
      <top/>
      <bottom/>
      <diagonal/>
    </border>
    <border diagonalUp="false" diagonalDown="false">
      <left style="thin"/>
      <right/>
      <top style="thin"/>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right style="medium"/>
      <top/>
      <bottom/>
      <diagonal/>
    </border>
    <border diagonalUp="false" diagonalDown="false">
      <left style="thin"/>
      <right/>
      <top style="thin"/>
      <bottom/>
      <diagonal/>
    </border>
    <border diagonalUp="false" diagonalDown="false">
      <left style="medium"/>
      <right style="thin"/>
      <top style="thin"/>
      <bottom style="medium"/>
      <diagonal/>
    </border>
    <border diagonalUp="false" diagonalDown="false">
      <left/>
      <right style="medium"/>
      <top/>
      <bottom style="medium"/>
      <diagonal/>
    </border>
    <border diagonalUp="false" diagonalDown="false">
      <left style="thin"/>
      <right style="medium"/>
      <top style="medium"/>
      <bottom style="thin"/>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medium"/>
      <top/>
      <bottom/>
      <diagonal/>
    </border>
    <border diagonalUp="false" diagonalDown="false">
      <left style="medium"/>
      <right/>
      <top/>
      <bottom style="double"/>
      <diagonal/>
    </border>
    <border diagonalUp="false" diagonalDown="false">
      <left/>
      <right/>
      <top/>
      <bottom style="double"/>
      <diagonal/>
    </border>
    <border diagonalUp="false" diagonalDown="false">
      <left/>
      <right style="medium"/>
      <top/>
      <bottom style="double"/>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medium"/>
      <bottom style="double"/>
      <diagonal/>
    </border>
    <border diagonalUp="false" diagonalDown="false">
      <left/>
      <right style="medium"/>
      <top style="medium"/>
      <bottom style="double"/>
      <diagonal/>
    </border>
    <border diagonalUp="false" diagonalDown="false">
      <left style="thin">
        <color rgb="FF7F7F7F"/>
      </left>
      <right style="medium"/>
      <top style="thin">
        <color rgb="FF7F7F7F"/>
      </top>
      <bottom style="thin">
        <color rgb="FF7F7F7F"/>
      </bottom>
      <diagonal/>
    </border>
    <border diagonalUp="false" diagonalDown="false">
      <left style="thin"/>
      <right style="medium"/>
      <top/>
      <bottom/>
      <diagonal/>
    </border>
    <border diagonalUp="false" diagonalDown="false">
      <left style="thin"/>
      <right style="medium"/>
      <top/>
      <bottom style="medium"/>
      <diagonal/>
    </border>
    <border diagonalUp="false" diagonalDown="false">
      <left style="thin">
        <color rgb="FF7F7F7F"/>
      </left>
      <right style="medium"/>
      <top style="thin">
        <color rgb="FF7F7F7F"/>
      </top>
      <bottom style="mediu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style="thin"/>
      <top/>
      <bottom style="thin"/>
      <diagonal/>
    </border>
    <border diagonalUp="false" diagonalDown="false">
      <left style="medium"/>
      <right style="medium"/>
      <top/>
      <bottom style="medium"/>
      <diagonal/>
    </border>
    <border diagonalUp="false" diagonalDown="false">
      <left style="medium"/>
      <right/>
      <top style="medium"/>
      <bottom style="medium"/>
      <diagonal/>
    </border>
    <border diagonalUp="false" diagonalDown="false">
      <left style="thin"/>
      <right style="medium"/>
      <top style="medium"/>
      <bottom style="medium"/>
      <diagonal/>
    </border>
    <border diagonalUp="false" diagonalDown="false">
      <left style="medium"/>
      <right/>
      <top style="thin"/>
      <bottom style="thin"/>
      <diagonal/>
    </border>
    <border diagonalUp="false" diagonalDown="false">
      <left/>
      <right/>
      <top style="thin"/>
      <bottom style="thin"/>
      <diagonal/>
    </border>
    <border diagonalUp="false" diagonalDown="false">
      <left/>
      <right style="medium"/>
      <top style="thin"/>
      <bottom style="thin"/>
      <diagonal/>
    </border>
    <border diagonalUp="false" diagonalDown="false">
      <left style="thin"/>
      <right/>
      <top/>
      <bottom style="thin"/>
      <diagonal/>
    </border>
    <border diagonalUp="false" diagonalDown="false">
      <left/>
      <right/>
      <top/>
      <bottom style="medium"/>
      <diagonal/>
    </border>
    <border diagonalUp="false" diagonalDown="false">
      <left style="medium"/>
      <right style="thin"/>
      <top style="thin"/>
      <bottom/>
      <diagonal/>
    </border>
    <border diagonalUp="false" diagonalDown="false">
      <left style="medium"/>
      <right style="thin"/>
      <top/>
      <bottom style="double"/>
      <diagonal/>
    </border>
    <border diagonalUp="false" diagonalDown="false">
      <left/>
      <right/>
      <top style="medium"/>
      <bottom style="double"/>
      <diagonal/>
    </border>
    <border diagonalUp="false" diagonalDown="false">
      <left style="medium"/>
      <right style="thin"/>
      <top/>
      <bottom/>
      <diagonal/>
    </border>
    <border diagonalUp="false" diagonalDown="false">
      <left/>
      <right/>
      <top style="medium"/>
      <bottom/>
      <diagonal/>
    </border>
    <border diagonalUp="false" diagonalDown="false">
      <left/>
      <right/>
      <top/>
      <bottom style="thin"/>
      <diagonal/>
    </border>
    <border diagonalUp="false" diagonalDown="false">
      <left/>
      <right style="medium"/>
      <top style="medium"/>
      <bottom style="medium"/>
      <diagonal/>
    </border>
    <border diagonalUp="false" diagonalDown="false">
      <left/>
      <right/>
      <top style="medium"/>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cellStyleXfs>
  <cellXfs count="29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general" vertical="bottom" textRotation="0" wrapText="false" indent="0" shrinkToFit="false"/>
      <protection locked="true" hidden="false"/>
    </xf>
    <xf numFmtId="166" fontId="12" fillId="3" borderId="1" xfId="0" applyFont="true" applyBorder="true" applyAlignment="true" applyProtection="false">
      <alignment horizontal="general" vertical="bottom" textRotation="0" wrapText="false" indent="0" shrinkToFit="false"/>
      <protection locked="true" hidden="false"/>
    </xf>
    <xf numFmtId="165" fontId="12" fillId="3"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bottom" textRotation="0" wrapText="true" indent="0" shrinkToFit="false"/>
      <protection locked="true" hidden="false"/>
    </xf>
    <xf numFmtId="164" fontId="11" fillId="2"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8" fontId="0" fillId="0" borderId="1" xfId="0" applyFont="false" applyBorder="true" applyAlignment="true" applyProtection="false">
      <alignment horizontal="general" vertical="bottom" textRotation="0" wrapText="false" indent="0" shrinkToFit="false"/>
      <protection locked="true" hidden="false"/>
    </xf>
    <xf numFmtId="169" fontId="0" fillId="0" borderId="1" xfId="0" applyFont="fals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8" fontId="15" fillId="0" borderId="0" xfId="0" applyFont="true" applyBorder="false" applyAlignment="true" applyProtection="false">
      <alignment horizontal="general" vertical="bottom" textRotation="0" wrapText="false" indent="0" shrinkToFit="false"/>
      <protection locked="true" hidden="false"/>
    </xf>
    <xf numFmtId="166" fontId="15" fillId="0" borderId="0" xfId="0" applyFont="true" applyBorder="false" applyAlignment="true" applyProtection="false">
      <alignment horizontal="general" vertical="bottom" textRotation="0" wrapText="false" indent="0" shrinkToFit="false"/>
      <protection locked="true" hidden="false"/>
    </xf>
    <xf numFmtId="169" fontId="15"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8" fontId="12" fillId="3" borderId="1"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4" borderId="2" xfId="0" applyFont="true" applyBorder="true" applyAlignment="true" applyProtection="false">
      <alignment horizontal="general" vertical="bottom" textRotation="0" wrapText="false" indent="0" shrinkToFit="false"/>
      <protection locked="true" hidden="false"/>
    </xf>
    <xf numFmtId="169" fontId="19" fillId="5" borderId="2" xfId="0" applyFont="true" applyBorder="true" applyAlignment="true" applyProtection="false">
      <alignment horizontal="general" vertical="bottom" textRotation="0" wrapText="false" indent="0" shrinkToFit="false"/>
      <protection locked="true" hidden="false"/>
    </xf>
    <xf numFmtId="171" fontId="18" fillId="4" borderId="2" xfId="0" applyFont="true" applyBorder="true" applyAlignment="true" applyProtection="false">
      <alignment horizontal="general" vertical="bottom" textRotation="0" wrapText="false" indent="0" shrinkToFit="false"/>
      <protection locked="true" hidden="false"/>
    </xf>
    <xf numFmtId="172" fontId="18" fillId="4" borderId="2" xfId="0" applyFont="true" applyBorder="true" applyAlignment="tru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bottom" textRotation="0" wrapText="false" indent="0" shrinkToFit="false"/>
      <protection locked="true" hidden="false"/>
    </xf>
    <xf numFmtId="167" fontId="18" fillId="4" borderId="2" xfId="0" applyFont="true" applyBorder="true" applyAlignment="true" applyProtection="false">
      <alignment horizontal="general" vertical="bottom" textRotation="0" wrapText="false" indent="0" shrinkToFit="false"/>
      <protection locked="true" hidden="false"/>
    </xf>
    <xf numFmtId="167" fontId="19" fillId="5" borderId="2" xfId="0" applyFont="true" applyBorder="true" applyAlignment="true" applyProtection="false">
      <alignment horizontal="general" vertical="bottom" textRotation="0" wrapText="false" indent="0" shrinkToFit="false"/>
      <protection locked="true" hidden="false"/>
    </xf>
    <xf numFmtId="173" fontId="18" fillId="4" borderId="2" xfId="0" applyFont="true" applyBorder="true" applyAlignment="true" applyProtection="false">
      <alignment horizontal="general" vertical="bottom" textRotation="0" wrapText="false" indent="0" shrinkToFit="false"/>
      <protection locked="true" hidden="false"/>
    </xf>
    <xf numFmtId="173" fontId="19" fillId="5" borderId="2" xfId="0" applyFont="true" applyBorder="true" applyAlignment="true" applyProtection="false">
      <alignment horizontal="general" vertical="bottom" textRotation="0" wrapText="false" indent="0" shrinkToFit="false"/>
      <protection locked="true" hidden="false"/>
    </xf>
    <xf numFmtId="174" fontId="19" fillId="5" borderId="2" xfId="0" applyFont="true" applyBorder="true" applyAlignment="true" applyProtection="false">
      <alignment horizontal="general" vertical="bottom" textRotation="0" wrapText="false" indent="0" shrinkToFit="false"/>
      <protection locked="true" hidden="false"/>
    </xf>
    <xf numFmtId="174" fontId="18" fillId="4" borderId="2" xfId="0" applyFont="true" applyBorder="true" applyAlignment="true" applyProtection="false">
      <alignment horizontal="general" vertical="bottom" textRotation="0" wrapText="false" indent="0" shrinkToFit="false"/>
      <protection locked="true" hidden="false"/>
    </xf>
    <xf numFmtId="173" fontId="20" fillId="4" borderId="2"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2" xfId="0" applyFont="true" applyBorder="true" applyAlignment="true" applyProtection="false">
      <alignment horizontal="general" vertical="top" textRotation="0" wrapText="tru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5" fontId="18" fillId="4" borderId="2" xfId="0" applyFont="true" applyBorder="true" applyAlignment="true" applyProtection="false">
      <alignment horizontal="general" vertical="bottom" textRotation="0" wrapText="false" indent="0" shrinkToFit="false"/>
      <protection locked="true" hidden="false"/>
    </xf>
    <xf numFmtId="165" fontId="18" fillId="4" borderId="2" xfId="0" applyFont="true" applyBorder="true" applyAlignment="true" applyProtection="false">
      <alignment horizontal="general" vertical="bottom" textRotation="0" wrapText="false" indent="0" shrinkToFit="false"/>
      <protection locked="true" hidden="false"/>
    </xf>
    <xf numFmtId="165" fontId="19" fillId="5" borderId="2"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73" fontId="19" fillId="0" borderId="0" xfId="0" applyFont="true" applyBorder="false" applyAlignment="true" applyProtection="false">
      <alignment horizontal="general" vertical="bottom" textRotation="0" wrapText="false" indent="0" shrinkToFit="false"/>
      <protection locked="true" hidden="false"/>
    </xf>
    <xf numFmtId="173" fontId="20" fillId="0" borderId="0" xfId="0" applyFont="true" applyBorder="false" applyAlignment="true" applyProtection="false">
      <alignment horizontal="general" vertical="bottom" textRotation="0" wrapText="false" indent="0" shrinkToFit="false"/>
      <protection locked="true" hidden="false"/>
    </xf>
    <xf numFmtId="173" fontId="20" fillId="5" borderId="2" xfId="0" applyFont="true" applyBorder="true" applyAlignment="true" applyProtection="false">
      <alignment horizontal="general" vertical="bottom" textRotation="0" wrapText="false" indent="0" shrinkToFit="false"/>
      <protection locked="true" hidden="false"/>
    </xf>
    <xf numFmtId="164" fontId="19" fillId="5" borderId="2" xfId="0" applyFont="true" applyBorder="true" applyAlignment="true" applyProtection="false">
      <alignment horizontal="general" vertical="bottom" textRotation="0" wrapText="false" indent="0" shrinkToFit="false"/>
      <protection locked="true" hidden="false"/>
    </xf>
    <xf numFmtId="169" fontId="18" fillId="4" borderId="2"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0" borderId="3" xfId="0" applyFont="true" applyBorder="true" applyAlignment="true" applyProtection="false">
      <alignment horizontal="center" vertical="bottom" textRotation="0" wrapText="false" indent="0" shrinkToFit="false"/>
      <protection locked="true" hidden="false"/>
    </xf>
    <xf numFmtId="164" fontId="24" fillId="6" borderId="4" xfId="0" applyFont="true" applyBorder="true" applyAlignment="true" applyProtection="false">
      <alignment horizontal="general" vertical="bottom" textRotation="0" wrapText="false" indent="0" shrinkToFit="false"/>
      <protection locked="true" hidden="false"/>
    </xf>
    <xf numFmtId="164" fontId="25" fillId="0" borderId="5" xfId="0" applyFont="true" applyBorder="true" applyAlignment="true" applyProtection="false">
      <alignment horizontal="general" vertical="bottom" textRotation="0" wrapText="false" indent="0" shrinkToFit="false"/>
      <protection locked="true" hidden="false"/>
    </xf>
    <xf numFmtId="164" fontId="22" fillId="0" borderId="6" xfId="0" applyFont="true" applyBorder="true" applyAlignment="true" applyProtection="false">
      <alignment horizontal="general" vertical="bottom" textRotation="0" wrapText="false" indent="0" shrinkToFit="false"/>
      <protection locked="true" hidden="false"/>
    </xf>
    <xf numFmtId="164" fontId="25" fillId="0" borderId="7" xfId="0" applyFont="true" applyBorder="true" applyAlignment="true" applyProtection="false">
      <alignment horizontal="general" vertical="bottom" textRotation="0" wrapText="false" indent="0" shrinkToFit="false"/>
      <protection locked="true" hidden="false"/>
    </xf>
    <xf numFmtId="164" fontId="22" fillId="0" borderId="8" xfId="0" applyFont="true" applyBorder="true" applyAlignment="true" applyProtection="false">
      <alignment horizontal="general" vertical="bottom" textRotation="0" wrapText="false" indent="0" shrinkToFit="false"/>
      <protection locked="true" hidden="false"/>
    </xf>
    <xf numFmtId="164" fontId="22" fillId="0" borderId="9" xfId="0" applyFont="true" applyBorder="true" applyAlignment="true" applyProtection="false">
      <alignment horizontal="general" vertical="bottom" textRotation="0" wrapText="false" indent="0" shrinkToFit="false"/>
      <protection locked="true" hidden="false"/>
    </xf>
    <xf numFmtId="164" fontId="25" fillId="0" borderId="10" xfId="0" applyFont="true" applyBorder="true" applyAlignment="true" applyProtection="false">
      <alignment horizontal="general" vertical="bottom" textRotation="0" wrapText="false" indent="0" shrinkToFit="false"/>
      <protection locked="true" hidden="false"/>
    </xf>
    <xf numFmtId="164" fontId="22" fillId="0" borderId="11" xfId="0" applyFont="true" applyBorder="true" applyAlignment="true" applyProtection="false">
      <alignment horizontal="general" vertical="bottom" textRotation="0" wrapText="false" indent="0" shrinkToFit="false"/>
      <protection locked="true" hidden="false"/>
    </xf>
    <xf numFmtId="164" fontId="25" fillId="0" borderId="12" xfId="0" applyFont="true" applyBorder="true" applyAlignment="true" applyProtection="false">
      <alignment horizontal="general" vertical="bottom" textRotation="0" wrapText="false" indent="0" shrinkToFit="false"/>
      <protection locked="true" hidden="false"/>
    </xf>
    <xf numFmtId="164" fontId="22" fillId="0" borderId="13" xfId="0" applyFont="true" applyBorder="true" applyAlignment="true" applyProtection="false">
      <alignment horizontal="general" vertical="bottom" textRotation="0" wrapText="false" indent="0" shrinkToFit="false"/>
      <protection locked="true" hidden="false"/>
    </xf>
    <xf numFmtId="164" fontId="22" fillId="0" borderId="14" xfId="0" applyFont="true" applyBorder="true" applyAlignment="true" applyProtection="false">
      <alignment horizontal="general" vertical="bottom" textRotation="0" wrapText="false" indent="0" shrinkToFit="false"/>
      <protection locked="true" hidden="false"/>
    </xf>
    <xf numFmtId="173" fontId="22" fillId="0" borderId="15" xfId="0" applyFont="true" applyBorder="true" applyAlignment="true" applyProtection="false">
      <alignment horizontal="general" vertical="bottom" textRotation="0" wrapText="false" indent="0" shrinkToFit="false"/>
      <protection locked="true" hidden="false"/>
    </xf>
    <xf numFmtId="164" fontId="25" fillId="0" borderId="16" xfId="0" applyFont="true" applyBorder="true" applyAlignment="true" applyProtection="false">
      <alignment horizontal="general" vertical="bottom" textRotation="0" wrapText="false" indent="0" shrinkToFit="false"/>
      <protection locked="true" hidden="false"/>
    </xf>
    <xf numFmtId="164" fontId="26" fillId="0" borderId="13" xfId="0" applyFont="true" applyBorder="true" applyAlignment="true" applyProtection="false">
      <alignment horizontal="general" vertical="bottom" textRotation="0" wrapText="false" indent="0" shrinkToFit="false"/>
      <protection locked="true" hidden="false"/>
    </xf>
    <xf numFmtId="164" fontId="22" fillId="0" borderId="17" xfId="0" applyFont="true" applyBorder="true" applyAlignment="true" applyProtection="false">
      <alignment horizontal="center" vertical="bottom" textRotation="0" wrapText="false" indent="0" shrinkToFit="false"/>
      <protection locked="true" hidden="false"/>
    </xf>
    <xf numFmtId="164" fontId="22" fillId="0" borderId="8" xfId="0" applyFont="true" applyBorder="true" applyAlignment="true" applyProtection="false">
      <alignment horizontal="general" vertical="bottom" textRotation="0" wrapText="true" indent="0" shrinkToFit="false"/>
      <protection locked="true" hidden="false"/>
    </xf>
    <xf numFmtId="164" fontId="22" fillId="0" borderId="18" xfId="0" applyFont="true" applyBorder="true" applyAlignment="true" applyProtection="false">
      <alignment horizontal="general" vertical="bottom" textRotation="0" wrapText="true" indent="0" shrinkToFit="false"/>
      <protection locked="true" hidden="false"/>
    </xf>
    <xf numFmtId="164" fontId="22" fillId="0" borderId="0" xfId="0" applyFont="true" applyBorder="false" applyAlignment="true" applyProtection="false">
      <alignment horizontal="general" vertical="bottom" textRotation="0" wrapText="true" indent="0" shrinkToFit="false"/>
      <protection locked="true" hidden="false"/>
    </xf>
    <xf numFmtId="176" fontId="22" fillId="0" borderId="13" xfId="0" applyFont="true" applyBorder="true" applyAlignment="true" applyProtection="false">
      <alignment horizontal="general" vertical="bottom" textRotation="0" wrapText="false" indent="0" shrinkToFit="false"/>
      <protection locked="true" hidden="false"/>
    </xf>
    <xf numFmtId="167" fontId="22" fillId="0" borderId="19" xfId="0" applyFont="true" applyBorder="true" applyAlignment="true" applyProtection="false">
      <alignment horizontal="general" vertical="bottom" textRotation="0" wrapText="false" indent="0" shrinkToFit="false"/>
      <protection locked="true" hidden="false"/>
    </xf>
    <xf numFmtId="164" fontId="22" fillId="0" borderId="20" xfId="0" applyFont="true" applyBorder="true" applyAlignment="true" applyProtection="false">
      <alignment horizontal="general" vertical="bottom" textRotation="0" wrapText="false" indent="0" shrinkToFit="false"/>
      <protection locked="true" hidden="false"/>
    </xf>
    <xf numFmtId="164" fontId="22" fillId="0" borderId="13" xfId="0" applyFont="true" applyBorder="true" applyAlignment="true" applyProtection="false">
      <alignment horizontal="general" vertical="bottom" textRotation="0" wrapText="true" indent="0" shrinkToFit="false"/>
      <protection locked="true" hidden="false"/>
    </xf>
    <xf numFmtId="164" fontId="22" fillId="0" borderId="19" xfId="0" applyFont="true" applyBorder="true" applyAlignment="true" applyProtection="false">
      <alignment horizontal="general" vertical="bottom" textRotation="0" wrapText="true" indent="0" shrinkToFit="false"/>
      <protection locked="true" hidden="false"/>
    </xf>
    <xf numFmtId="167" fontId="22" fillId="0" borderId="21" xfId="0" applyFont="true" applyBorder="true" applyAlignment="true" applyProtection="false">
      <alignment horizontal="general" vertical="bottom" textRotation="0" wrapText="false" indent="0" shrinkToFit="false"/>
      <protection locked="true" hidden="false"/>
    </xf>
    <xf numFmtId="167" fontId="22" fillId="0" borderId="22" xfId="0" applyFont="true" applyBorder="true" applyAlignment="true" applyProtection="false">
      <alignment horizontal="general" vertical="bottom" textRotation="0" wrapText="false" indent="0" shrinkToFit="false"/>
      <protection locked="true" hidden="false"/>
    </xf>
    <xf numFmtId="164" fontId="24" fillId="6" borderId="23" xfId="0" applyFont="true" applyBorder="true" applyAlignment="true" applyProtection="false">
      <alignment horizontal="left" vertical="bottom" textRotation="0" wrapText="false" indent="0" shrinkToFit="false"/>
      <protection locked="true" hidden="false"/>
    </xf>
    <xf numFmtId="164" fontId="22" fillId="0" borderId="24" xfId="0" applyFont="true" applyBorder="true" applyAlignment="true" applyProtection="false">
      <alignment horizontal="general" vertical="bottom" textRotation="0" wrapText="false" indent="0" shrinkToFit="false"/>
      <protection locked="true" hidden="false"/>
    </xf>
    <xf numFmtId="164" fontId="25" fillId="0" borderId="25" xfId="0" applyFont="true" applyBorder="true" applyAlignment="true" applyProtection="false">
      <alignment horizontal="general" vertical="bottom" textRotation="0" wrapText="false" indent="0" shrinkToFit="false"/>
      <protection locked="true" hidden="false"/>
    </xf>
    <xf numFmtId="164" fontId="22" fillId="0" borderId="25" xfId="0" applyFont="true" applyBorder="true" applyAlignment="true" applyProtection="false">
      <alignment horizontal="general" vertical="bottom" textRotation="0" wrapText="false" indent="0" shrinkToFit="false"/>
      <protection locked="true" hidden="false"/>
    </xf>
    <xf numFmtId="164" fontId="22" fillId="0" borderId="26" xfId="0" applyFont="true" applyBorder="true" applyAlignment="true" applyProtection="false">
      <alignment horizontal="general" vertical="bottom" textRotation="0" wrapText="false" indent="0" shrinkToFit="false"/>
      <protection locked="true" hidden="false"/>
    </xf>
    <xf numFmtId="164" fontId="22" fillId="0" borderId="10" xfId="0" applyFont="true" applyBorder="true" applyAlignment="true" applyProtection="false">
      <alignment horizontal="general" vertical="bottom" textRotation="0" wrapText="true" indent="0" shrinkToFit="false"/>
      <protection locked="true" hidden="false"/>
    </xf>
    <xf numFmtId="164" fontId="22" fillId="0" borderId="27" xfId="0" applyFont="true" applyBorder="true" applyAlignment="true" applyProtection="false">
      <alignment horizontal="general" vertical="bottom" textRotation="0" wrapText="true" indent="0" shrinkToFit="false"/>
      <protection locked="true" hidden="false"/>
    </xf>
    <xf numFmtId="164" fontId="22" fillId="0" borderId="28" xfId="0" applyFont="true" applyBorder="true" applyAlignment="true" applyProtection="false">
      <alignment horizontal="general" vertical="bottom" textRotation="0" wrapText="true" indent="0" shrinkToFit="false"/>
      <protection locked="true" hidden="false"/>
    </xf>
    <xf numFmtId="164" fontId="22" fillId="0" borderId="10" xfId="0" applyFont="true" applyBorder="true" applyAlignment="true" applyProtection="false">
      <alignment horizontal="general" vertical="bottom" textRotation="0" wrapText="false" indent="0" shrinkToFit="false"/>
      <protection locked="true" hidden="false"/>
    </xf>
    <xf numFmtId="164" fontId="22" fillId="0" borderId="19" xfId="0" applyFont="true" applyBorder="true" applyAlignment="true" applyProtection="false">
      <alignment horizontal="general" vertical="bottom" textRotation="0" wrapText="false" indent="0" shrinkToFit="false"/>
      <protection locked="true" hidden="false"/>
    </xf>
    <xf numFmtId="164" fontId="24" fillId="6" borderId="4" xfId="0" applyFont="true" applyBorder="true" applyAlignment="true" applyProtection="false">
      <alignment horizontal="left" vertical="bottom" textRotation="0" wrapText="false" indent="0" shrinkToFit="false"/>
      <protection locked="true" hidden="false"/>
    </xf>
    <xf numFmtId="164" fontId="22" fillId="0" borderId="12" xfId="0" applyFont="true" applyBorder="true" applyAlignment="true" applyProtection="false">
      <alignment horizontal="general" vertical="bottom" textRotation="0" wrapText="false" indent="0" shrinkToFit="false"/>
      <protection locked="true" hidden="false"/>
    </xf>
    <xf numFmtId="164" fontId="22" fillId="0" borderId="21" xfId="0" applyFont="true" applyBorder="true" applyAlignment="true" applyProtection="false">
      <alignment horizontal="general" vertical="bottom" textRotation="0" wrapText="false" indent="0" shrinkToFit="false"/>
      <protection locked="true" hidden="false"/>
    </xf>
    <xf numFmtId="164" fontId="22" fillId="0" borderId="22" xfId="0" applyFont="true" applyBorder="true" applyAlignment="true" applyProtection="false">
      <alignment horizontal="general" vertical="bottom" textRotation="0" wrapText="false" indent="0" shrinkToFit="false"/>
      <protection locked="true" hidden="false"/>
    </xf>
    <xf numFmtId="164" fontId="25" fillId="0" borderId="29" xfId="0" applyFont="true" applyBorder="true" applyAlignment="true" applyProtection="false">
      <alignment horizontal="general" vertical="bottom" textRotation="0" wrapText="false" indent="0" shrinkToFit="false"/>
      <protection locked="true" hidden="false"/>
    </xf>
    <xf numFmtId="164" fontId="22" fillId="0" borderId="30" xfId="0" applyFont="true" applyBorder="true" applyAlignment="true" applyProtection="false">
      <alignment horizontal="general" vertical="bottom" textRotation="0" wrapText="false" indent="0" shrinkToFit="false"/>
      <protection locked="true" hidden="false"/>
    </xf>
    <xf numFmtId="164" fontId="22" fillId="0" borderId="5" xfId="0" applyFont="true" applyBorder="true" applyAlignment="true" applyProtection="false">
      <alignment horizontal="general" vertical="bottom" textRotation="0" wrapText="false" indent="0" shrinkToFit="false"/>
      <protection locked="true" hidden="false"/>
    </xf>
    <xf numFmtId="164" fontId="27" fillId="4" borderId="31" xfId="0" applyFont="true" applyBorder="true" applyAlignment="true" applyProtection="false">
      <alignment horizontal="general" vertical="bottom" textRotation="0" wrapText="false" indent="0" shrinkToFit="false"/>
      <protection locked="true" hidden="false"/>
    </xf>
    <xf numFmtId="176" fontId="22" fillId="0" borderId="19" xfId="0" applyFont="true" applyBorder="true" applyAlignment="true" applyProtection="false">
      <alignment horizontal="general" vertical="bottom" textRotation="0" wrapText="false" indent="0" shrinkToFit="false"/>
      <protection locked="true" hidden="false"/>
    </xf>
    <xf numFmtId="169" fontId="22" fillId="0" borderId="32" xfId="0" applyFont="true" applyBorder="true" applyAlignment="true" applyProtection="false">
      <alignment horizontal="general" vertical="bottom" textRotation="0" wrapText="false" indent="0" shrinkToFit="false"/>
      <protection locked="true" hidden="false"/>
    </xf>
    <xf numFmtId="165" fontId="27" fillId="4" borderId="31" xfId="0" applyFont="true" applyBorder="true" applyAlignment="true" applyProtection="false">
      <alignment horizontal="general" vertical="bottom" textRotation="0" wrapText="false" indent="0" shrinkToFit="false"/>
      <protection locked="true" hidden="false"/>
    </xf>
    <xf numFmtId="164" fontId="22" fillId="0" borderId="33" xfId="0" applyFont="true" applyBorder="true" applyAlignment="true" applyProtection="false">
      <alignment horizontal="general" vertical="bottom" textRotation="0" wrapText="false" indent="0" shrinkToFit="false"/>
      <protection locked="true" hidden="false"/>
    </xf>
    <xf numFmtId="176" fontId="28" fillId="5" borderId="34"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2" fillId="0" borderId="35" xfId="0" applyFont="true" applyBorder="true" applyAlignment="true" applyProtection="false">
      <alignment horizontal="general" vertical="bottom" textRotation="0" wrapText="false" indent="0" shrinkToFit="false"/>
      <protection locked="true" hidden="false"/>
    </xf>
    <xf numFmtId="164" fontId="22" fillId="0" borderId="36" xfId="0" applyFont="true" applyBorder="true" applyAlignment="true" applyProtection="false">
      <alignment horizontal="general" vertical="bottom" textRotation="0" wrapText="false" indent="0" shrinkToFit="false"/>
      <protection locked="true" hidden="false"/>
    </xf>
    <xf numFmtId="164" fontId="22" fillId="0" borderId="16" xfId="0" applyFont="true" applyBorder="true" applyAlignment="true" applyProtection="false">
      <alignment horizontal="general" vertical="bottom" textRotation="0" wrapText="false" indent="0" shrinkToFit="false"/>
      <protection locked="true" hidden="false"/>
    </xf>
    <xf numFmtId="164" fontId="22" fillId="0" borderId="22" xfId="0" applyFont="true" applyBorder="true" applyAlignment="true" applyProtection="false">
      <alignment horizontal="general" vertical="bottom" textRotation="0" wrapText="true" indent="0" shrinkToFit="false"/>
      <protection locked="true" hidden="false"/>
    </xf>
    <xf numFmtId="164" fontId="22" fillId="0" borderId="37" xfId="0" applyFont="true" applyBorder="true" applyAlignment="true" applyProtection="false">
      <alignment horizontal="general" vertical="bottom" textRotation="0" wrapText="false" indent="0" shrinkToFit="false"/>
      <protection locked="true" hidden="false"/>
    </xf>
    <xf numFmtId="164" fontId="22" fillId="0" borderId="27" xfId="0" applyFont="true" applyBorder="true" applyAlignment="true" applyProtection="false">
      <alignment horizontal="general" vertical="bottom" textRotation="0" wrapText="false" indent="0" shrinkToFit="false"/>
      <protection locked="true" hidden="false"/>
    </xf>
    <xf numFmtId="164" fontId="22" fillId="0" borderId="28" xfId="0" applyFont="true" applyBorder="true" applyAlignment="true" applyProtection="false">
      <alignment horizontal="general" vertical="bottom" textRotation="0" wrapText="false" indent="0" shrinkToFit="false"/>
      <protection locked="true" hidden="false"/>
    </xf>
    <xf numFmtId="164" fontId="22" fillId="0" borderId="7" xfId="0" applyFont="true" applyBorder="true" applyAlignment="true" applyProtection="false">
      <alignment horizontal="general" vertical="bottom" textRotation="0" wrapText="false" indent="0" shrinkToFit="false"/>
      <protection locked="true" hidden="false"/>
    </xf>
    <xf numFmtId="164" fontId="22" fillId="0" borderId="18" xfId="0" applyFont="true" applyBorder="true" applyAlignment="true" applyProtection="false">
      <alignment horizontal="general" vertical="bottom" textRotation="0" wrapText="false" indent="0" shrinkToFit="false"/>
      <protection locked="true" hidden="false"/>
    </xf>
    <xf numFmtId="164" fontId="25" fillId="0" borderId="4" xfId="0" applyFont="true" applyBorder="true" applyAlignment="true" applyProtection="false">
      <alignment horizontal="general" vertical="bottom" textRotation="0" wrapText="false" indent="0" shrinkToFit="false"/>
      <protection locked="true" hidden="false"/>
    </xf>
    <xf numFmtId="164" fontId="22" fillId="0" borderId="29" xfId="0" applyFont="true" applyBorder="true" applyAlignment="true" applyProtection="false">
      <alignment horizontal="general" vertical="bottom" textRotation="0" wrapText="false" indent="0" shrinkToFit="false"/>
      <protection locked="true" hidden="false"/>
    </xf>
    <xf numFmtId="164" fontId="25" fillId="0" borderId="23" xfId="0" applyFont="true" applyBorder="true" applyAlignment="true" applyProtection="false">
      <alignment horizontal="general" vertical="bottom" textRotation="0" wrapText="false" indent="0" shrinkToFit="false"/>
      <protection locked="true" hidden="false"/>
    </xf>
    <xf numFmtId="164" fontId="25" fillId="0" borderId="14" xfId="0" applyFont="true" applyBorder="true" applyAlignment="true" applyProtection="false">
      <alignment horizontal="general" vertical="bottom" textRotation="0" wrapText="false" indent="0" shrinkToFit="false"/>
      <protection locked="true" hidden="false"/>
    </xf>
    <xf numFmtId="164" fontId="22" fillId="0" borderId="23" xfId="0" applyFont="true" applyBorder="true" applyAlignment="true" applyProtection="false">
      <alignment horizontal="general" vertical="bottom" textRotation="0" wrapText="false" indent="0" shrinkToFit="false"/>
      <protection locked="true" hidden="false"/>
    </xf>
    <xf numFmtId="165" fontId="22" fillId="0" borderId="12" xfId="0" applyFont="true" applyBorder="true" applyAlignment="true" applyProtection="false">
      <alignment horizontal="general" vertical="bottom" textRotation="0" wrapText="false" indent="0" shrinkToFit="false"/>
      <protection locked="true" hidden="false"/>
    </xf>
    <xf numFmtId="165" fontId="22" fillId="0" borderId="19" xfId="0" applyFont="true" applyBorder="true" applyAlignment="true" applyProtection="false">
      <alignment horizontal="general" vertical="bottom" textRotation="0" wrapText="false" indent="0" shrinkToFit="false"/>
      <protection locked="true" hidden="false"/>
    </xf>
    <xf numFmtId="165" fontId="22" fillId="0" borderId="13" xfId="0" applyFont="true" applyBorder="true" applyAlignment="true" applyProtection="false">
      <alignment horizontal="general" vertical="bottom" textRotation="0" wrapText="false" indent="0" shrinkToFit="false"/>
      <protection locked="true" hidden="false"/>
    </xf>
    <xf numFmtId="165" fontId="22" fillId="0" borderId="10" xfId="0" applyFont="true" applyBorder="true" applyAlignment="true" applyProtection="false">
      <alignment horizontal="general" vertical="bottom" textRotation="0" wrapText="false" indent="0" shrinkToFit="false"/>
      <protection locked="true" hidden="false"/>
    </xf>
    <xf numFmtId="165" fontId="22" fillId="0" borderId="14" xfId="0" applyFont="true" applyBorder="true" applyAlignment="true" applyProtection="false">
      <alignment horizontal="general" vertical="bottom" textRotation="0" wrapText="false" indent="0" shrinkToFit="false"/>
      <protection locked="true" hidden="false"/>
    </xf>
    <xf numFmtId="164" fontId="25" fillId="0" borderId="38" xfId="0" applyFont="true" applyBorder="true" applyAlignment="true" applyProtection="false">
      <alignment horizontal="general" vertical="bottom" textRotation="0" wrapText="false" indent="0" shrinkToFit="false"/>
      <protection locked="true" hidden="false"/>
    </xf>
    <xf numFmtId="176" fontId="25" fillId="0" borderId="20" xfId="0" applyFont="true" applyBorder="true" applyAlignment="true" applyProtection="false">
      <alignment horizontal="general" vertical="bottom" textRotation="0" wrapText="false" indent="0" shrinkToFit="false"/>
      <protection locked="true" hidden="false"/>
    </xf>
    <xf numFmtId="176" fontId="25" fillId="0" borderId="17" xfId="0" applyFont="true" applyBorder="true" applyAlignment="true" applyProtection="false">
      <alignment horizontal="general" vertical="bottom" textRotation="0" wrapText="false" indent="0" shrinkToFit="false"/>
      <protection locked="true" hidden="false"/>
    </xf>
    <xf numFmtId="164" fontId="22" fillId="0" borderId="16" xfId="0" applyFont="true" applyBorder="true" applyAlignment="true" applyProtection="false">
      <alignment horizontal="general" vertical="bottom" textRotation="0" wrapText="true" indent="0" shrinkToFit="false"/>
      <protection locked="true" hidden="false"/>
    </xf>
    <xf numFmtId="175" fontId="22" fillId="0" borderId="21" xfId="0" applyFont="true" applyBorder="true" applyAlignment="true" applyProtection="false">
      <alignment horizontal="general" vertical="bottom" textRotation="0" wrapText="false" indent="0" shrinkToFit="false"/>
      <protection locked="true" hidden="false"/>
    </xf>
    <xf numFmtId="164" fontId="22" fillId="0" borderId="5" xfId="0" applyFont="true" applyBorder="true" applyAlignment="true" applyProtection="false">
      <alignment horizontal="general" vertical="bottom" textRotation="0" wrapText="true" indent="0" shrinkToFit="false"/>
      <protection locked="true" hidden="false"/>
    </xf>
    <xf numFmtId="173" fontId="22" fillId="0" borderId="8" xfId="0" applyFont="true" applyBorder="true" applyAlignment="true" applyProtection="false">
      <alignment horizontal="general" vertical="bottom" textRotation="0" wrapText="false" indent="0" shrinkToFit="false"/>
      <protection locked="true" hidden="false"/>
    </xf>
    <xf numFmtId="164" fontId="25" fillId="0" borderId="10" xfId="0" applyFont="true" applyBorder="true" applyAlignment="true" applyProtection="false">
      <alignment horizontal="general" vertical="bottom" textRotation="0" wrapText="true" indent="0" shrinkToFit="false"/>
      <protection locked="true" hidden="false"/>
    </xf>
    <xf numFmtId="175" fontId="25" fillId="0" borderId="13" xfId="0" applyFont="true" applyBorder="true" applyAlignment="true" applyProtection="false">
      <alignment horizontal="general" vertical="bottom" textRotation="0" wrapText="false" indent="0" shrinkToFit="false"/>
      <protection locked="true" hidden="false"/>
    </xf>
    <xf numFmtId="164" fontId="22" fillId="0" borderId="39" xfId="0" applyFont="true" applyBorder="true" applyAlignment="true" applyProtection="false">
      <alignment horizontal="general" vertical="bottom" textRotation="0" wrapText="true" indent="0" shrinkToFit="false"/>
      <protection locked="true" hidden="false"/>
    </xf>
    <xf numFmtId="164" fontId="22" fillId="0" borderId="40" xfId="0" applyFont="true" applyBorder="true" applyAlignment="true" applyProtection="false">
      <alignment horizontal="general" vertical="bottom" textRotation="0" wrapText="true" indent="0" shrinkToFit="false"/>
      <protection locked="true" hidden="false"/>
    </xf>
    <xf numFmtId="164" fontId="25" fillId="0" borderId="37" xfId="0" applyFont="true" applyBorder="true" applyAlignment="true" applyProtection="false">
      <alignment horizontal="general" vertical="bottom" textRotation="0" wrapText="false" indent="0" shrinkToFit="false"/>
      <protection locked="true" hidden="false"/>
    </xf>
    <xf numFmtId="164" fontId="29" fillId="7" borderId="41" xfId="0" applyFont="true" applyBorder="true" applyAlignment="true" applyProtection="false">
      <alignment horizontal="general" vertical="bottom" textRotation="0" wrapText="false" indent="0" shrinkToFit="false"/>
      <protection locked="true" hidden="false"/>
    </xf>
    <xf numFmtId="164" fontId="29" fillId="7" borderId="42" xfId="0" applyFont="true" applyBorder="true" applyAlignment="true" applyProtection="false">
      <alignment horizontal="general" vertical="bottom" textRotation="0" wrapText="false" indent="0" shrinkToFit="false"/>
      <protection locked="true" hidden="false"/>
    </xf>
    <xf numFmtId="164" fontId="29" fillId="8" borderId="41" xfId="0" applyFont="true" applyBorder="true" applyAlignment="true" applyProtection="false">
      <alignment horizontal="general" vertical="bottom" textRotation="0" wrapText="false" indent="0" shrinkToFit="false"/>
      <protection locked="true" hidden="false"/>
    </xf>
    <xf numFmtId="164" fontId="29" fillId="8" borderId="42" xfId="0" applyFont="true" applyBorder="true" applyAlignment="true" applyProtection="false">
      <alignment horizontal="general" vertical="bottom" textRotation="0" wrapText="false" indent="0" shrinkToFit="false"/>
      <protection locked="true" hidden="false"/>
    </xf>
    <xf numFmtId="164" fontId="29" fillId="8" borderId="43" xfId="0" applyFont="true" applyBorder="true" applyAlignment="true" applyProtection="false">
      <alignment horizontal="general" vertical="bottom" textRotation="0" wrapText="false" indent="0" shrinkToFit="false"/>
      <protection locked="true" hidden="false"/>
    </xf>
    <xf numFmtId="164" fontId="29" fillId="7" borderId="10" xfId="0" applyFont="true" applyBorder="true" applyAlignment="true" applyProtection="false">
      <alignment horizontal="general" vertical="bottom" textRotation="0" wrapText="false" indent="0" shrinkToFit="false"/>
      <protection locked="true" hidden="false"/>
    </xf>
    <xf numFmtId="176" fontId="29" fillId="7" borderId="44" xfId="0" applyFont="true" applyBorder="true" applyAlignment="true" applyProtection="false">
      <alignment horizontal="general" vertical="bottom" textRotation="0" wrapText="false" indent="0" shrinkToFit="false"/>
      <protection locked="true" hidden="false"/>
    </xf>
    <xf numFmtId="164" fontId="29" fillId="8" borderId="10" xfId="0" applyFont="true" applyBorder="true" applyAlignment="true" applyProtection="false">
      <alignment horizontal="general" vertical="bottom" textRotation="0" wrapText="false" indent="0" shrinkToFit="false"/>
      <protection locked="true" hidden="false"/>
    </xf>
    <xf numFmtId="164" fontId="29" fillId="8" borderId="0" xfId="0" applyFont="true" applyBorder="false" applyAlignment="true" applyProtection="false">
      <alignment horizontal="general" vertical="bottom" textRotation="0" wrapText="false" indent="0" shrinkToFit="false"/>
      <protection locked="true" hidden="false"/>
    </xf>
    <xf numFmtId="176" fontId="29" fillId="8" borderId="28" xfId="0" applyFont="true" applyBorder="true" applyAlignment="true" applyProtection="false">
      <alignment horizontal="general" vertical="bottom" textRotation="0" wrapText="false" indent="0" shrinkToFit="false"/>
      <protection locked="true" hidden="false"/>
    </xf>
    <xf numFmtId="164" fontId="29" fillId="7" borderId="11" xfId="0" applyFont="true" applyBorder="true" applyAlignment="true" applyProtection="false">
      <alignment horizontal="general" vertical="bottom" textRotation="0" wrapText="false" indent="0" shrinkToFit="false"/>
      <protection locked="true" hidden="false"/>
    </xf>
    <xf numFmtId="164" fontId="29" fillId="8" borderId="19" xfId="0" applyFont="true" applyBorder="true" applyAlignment="true" applyProtection="false">
      <alignment horizontal="general" vertical="bottom" textRotation="0" wrapText="false" indent="0" shrinkToFit="false"/>
      <protection locked="true" hidden="false"/>
    </xf>
    <xf numFmtId="164" fontId="29" fillId="7" borderId="20" xfId="0" applyFont="true" applyBorder="true" applyAlignment="true" applyProtection="false">
      <alignment horizontal="general" vertical="bottom" textRotation="0" wrapText="false" indent="0" shrinkToFit="false"/>
      <protection locked="true" hidden="false"/>
    </xf>
    <xf numFmtId="164" fontId="29" fillId="8" borderId="20" xfId="0" applyFont="true" applyBorder="true" applyAlignment="true" applyProtection="false">
      <alignment horizontal="general" vertical="bottom" textRotation="0" wrapText="false" indent="0" shrinkToFit="false"/>
      <protection locked="true" hidden="false"/>
    </xf>
    <xf numFmtId="164" fontId="29" fillId="8" borderId="45" xfId="0" applyFont="true" applyBorder="true" applyAlignment="true" applyProtection="false">
      <alignment horizontal="general" vertical="bottom" textRotation="0" wrapText="false" indent="0" shrinkToFit="false"/>
      <protection locked="true" hidden="false"/>
    </xf>
    <xf numFmtId="176" fontId="29" fillId="8" borderId="17" xfId="0" applyFont="true" applyBorder="true" applyAlignment="true" applyProtection="false">
      <alignment horizontal="general" vertical="bottom" textRotation="0" wrapText="false" indent="0" shrinkToFit="false"/>
      <protection locked="true" hidden="false"/>
    </xf>
    <xf numFmtId="164" fontId="22" fillId="0" borderId="32" xfId="0" applyFont="true" applyBorder="true" applyAlignment="true" applyProtection="false">
      <alignment horizontal="general" vertical="bottom" textRotation="0" wrapText="false" indent="0" shrinkToFit="false"/>
      <protection locked="true" hidden="false"/>
    </xf>
    <xf numFmtId="164" fontId="22" fillId="0" borderId="46" xfId="0" applyFont="true" applyBorder="true" applyAlignment="true" applyProtection="false">
      <alignment horizontal="general" vertical="bottom" textRotation="0" wrapText="false" indent="0" shrinkToFit="false"/>
      <protection locked="true" hidden="false"/>
    </xf>
    <xf numFmtId="164" fontId="22" fillId="0" borderId="3" xfId="0" applyFont="true" applyBorder="true" applyAlignment="true" applyProtection="false">
      <alignment horizontal="general" vertical="bottom" textRotation="0" wrapText="true" indent="0" shrinkToFit="false"/>
      <protection locked="true" hidden="false"/>
    </xf>
    <xf numFmtId="164" fontId="25" fillId="0" borderId="47" xfId="0" applyFont="true" applyBorder="true" applyAlignment="true" applyProtection="false">
      <alignment horizontal="general" vertical="bottom" textRotation="0" wrapText="false" indent="0" shrinkToFit="false"/>
      <protection locked="true" hidden="false"/>
    </xf>
    <xf numFmtId="164" fontId="22" fillId="0" borderId="12" xfId="0" applyFont="true" applyBorder="true" applyAlignment="true" applyProtection="false">
      <alignment horizontal="general" vertical="bottom" textRotation="0" wrapText="true" indent="0" shrinkToFit="false"/>
      <protection locked="true" hidden="false"/>
    </xf>
    <xf numFmtId="167" fontId="22" fillId="0" borderId="13" xfId="0" applyFont="true" applyBorder="true" applyAlignment="true" applyProtection="false">
      <alignment horizontal="general" vertical="bottom" textRotation="0" wrapText="false" indent="0" shrinkToFit="false"/>
      <protection locked="true" hidden="false"/>
    </xf>
    <xf numFmtId="164" fontId="22" fillId="0" borderId="48" xfId="0" applyFont="true" applyBorder="true" applyAlignment="true" applyProtection="false">
      <alignment horizontal="general" vertical="bottom" textRotation="0" wrapText="false" indent="0" shrinkToFit="false"/>
      <protection locked="true" hidden="false"/>
    </xf>
    <xf numFmtId="164" fontId="22" fillId="0" borderId="49" xfId="0" applyFont="true" applyBorder="true" applyAlignment="true" applyProtection="false">
      <alignment horizontal="general" vertical="bottom" textRotation="0" wrapText="false" indent="0" shrinkToFit="false"/>
      <protection locked="true" hidden="false"/>
    </xf>
    <xf numFmtId="164" fontId="22" fillId="0" borderId="45" xfId="0" applyFont="true" applyBorder="true" applyAlignment="true" applyProtection="false">
      <alignment horizontal="general" vertical="bottom" textRotation="0" wrapText="false" indent="0" shrinkToFit="false"/>
      <protection locked="true" hidden="false"/>
    </xf>
    <xf numFmtId="164" fontId="22" fillId="0" borderId="17" xfId="0" applyFont="true" applyBorder="true" applyAlignment="true" applyProtection="false">
      <alignment horizontal="general" vertical="bottom" textRotation="0" wrapText="false" indent="0" shrinkToFit="false"/>
      <protection locked="true" hidden="false"/>
    </xf>
    <xf numFmtId="164" fontId="25" fillId="0" borderId="48" xfId="0" applyFont="true" applyBorder="true" applyAlignment="true" applyProtection="false">
      <alignment horizontal="general" vertical="bottom" textRotation="0" wrapText="true" indent="0" shrinkToFit="false"/>
      <protection locked="true" hidden="false"/>
    </xf>
    <xf numFmtId="164" fontId="25" fillId="0" borderId="30" xfId="0" applyFont="true" applyBorder="true" applyAlignment="true" applyProtection="false">
      <alignment horizontal="general" vertical="bottom" textRotation="0" wrapText="true" indent="0" shrinkToFit="false"/>
      <protection locked="true" hidden="false"/>
    </xf>
    <xf numFmtId="164" fontId="25" fillId="0" borderId="25" xfId="0" applyFont="true" applyBorder="true" applyAlignment="true" applyProtection="false">
      <alignment horizontal="general" vertical="bottom" textRotation="0" wrapText="true" indent="0" shrinkToFit="false"/>
      <protection locked="true" hidden="false"/>
    </xf>
    <xf numFmtId="164" fontId="25" fillId="0" borderId="13" xfId="0" applyFont="true" applyBorder="true" applyAlignment="true" applyProtection="false">
      <alignment horizontal="general" vertical="bottom" textRotation="0" wrapText="false" indent="0" shrinkToFit="false"/>
      <protection locked="true" hidden="false"/>
    </xf>
    <xf numFmtId="175" fontId="19" fillId="5" borderId="2" xfId="0" applyFont="true" applyBorder="true" applyAlignment="true" applyProtection="false">
      <alignment horizontal="general" vertical="bottom" textRotation="0" wrapText="false" indent="0" shrinkToFit="false"/>
      <protection locked="true" hidden="false"/>
    </xf>
    <xf numFmtId="171" fontId="19" fillId="5" borderId="2" xfId="0" applyFont="true" applyBorder="true" applyAlignment="true" applyProtection="false">
      <alignment horizontal="general" vertical="bottom" textRotation="0" wrapText="false" indent="0" shrinkToFit="false"/>
      <protection locked="true" hidden="false"/>
    </xf>
    <xf numFmtId="164" fontId="14" fillId="5" borderId="2" xfId="0" applyFont="true" applyBorder="true" applyAlignment="true" applyProtection="false">
      <alignment horizontal="general" vertical="bottom" textRotation="0" wrapText="false" indent="0" shrinkToFit="false"/>
      <protection locked="true" hidden="false"/>
    </xf>
    <xf numFmtId="164" fontId="19" fillId="5" borderId="2" xfId="0" applyFont="true" applyBorder="true" applyAlignment="true" applyProtection="false">
      <alignment horizontal="general" vertical="top" textRotation="0" wrapText="true" indent="0" shrinkToFit="false"/>
      <protection locked="true" hidden="false"/>
    </xf>
    <xf numFmtId="164" fontId="30" fillId="0" borderId="5" xfId="0" applyFont="true" applyBorder="true" applyAlignment="true" applyProtection="false">
      <alignment horizontal="general" vertical="bottom" textRotation="0" wrapText="false" indent="0" shrinkToFit="false"/>
      <protection locked="true" hidden="false"/>
    </xf>
    <xf numFmtId="164" fontId="0" fillId="0" borderId="50" xfId="0" applyFont="false" applyBorder="true" applyAlignment="true" applyProtection="false">
      <alignment horizontal="general" vertical="bottom" textRotation="0" wrapText="false" indent="0" shrinkToFit="false"/>
      <protection locked="true" hidden="false"/>
    </xf>
    <xf numFmtId="164" fontId="0" fillId="0" borderId="9" xfId="0" applyFont="false" applyBorder="true" applyAlignment="true" applyProtection="false">
      <alignment horizontal="general" vertical="bottom" textRotation="0" wrapText="false" indent="0" shrinkToFit="false"/>
      <protection locked="true" hidden="false"/>
    </xf>
    <xf numFmtId="164" fontId="0" fillId="0" borderId="10" xfId="0" applyFont="true" applyBorder="true" applyAlignment="true" applyProtection="false">
      <alignment horizontal="general" vertical="bottom" textRotation="0" wrapText="false" indent="0" shrinkToFit="false"/>
      <protection locked="true" hidden="false"/>
    </xf>
    <xf numFmtId="164" fontId="0" fillId="0" borderId="14" xfId="0" applyFont="false" applyBorder="true" applyAlignment="true" applyProtection="false">
      <alignment horizontal="general" vertical="bottom" textRotation="0" wrapText="false" indent="0" shrinkToFit="false"/>
      <protection locked="true" hidden="false"/>
    </xf>
    <xf numFmtId="164" fontId="0" fillId="0" borderId="20" xfId="0" applyFont="true" applyBorder="true" applyAlignment="true" applyProtection="false">
      <alignment horizontal="general" vertical="bottom" textRotation="0" wrapText="false" indent="0" shrinkToFit="false"/>
      <protection locked="true" hidden="false"/>
    </xf>
    <xf numFmtId="175" fontId="0" fillId="0" borderId="45" xfId="0" applyFont="false" applyBorder="true" applyAlignment="true" applyProtection="false">
      <alignment horizontal="general" vertical="bottom" textRotation="0" wrapText="false" indent="0" shrinkToFit="false"/>
      <protection locked="true" hidden="false"/>
    </xf>
    <xf numFmtId="164" fontId="0" fillId="0" borderId="45" xfId="0" applyFont="false" applyBorder="true" applyAlignment="true" applyProtection="false">
      <alignment horizontal="general" vertical="bottom" textRotation="0" wrapText="false" indent="0" shrinkToFit="false"/>
      <protection locked="true" hidden="false"/>
    </xf>
    <xf numFmtId="164" fontId="0" fillId="0" borderId="17" xfId="0" applyFont="false" applyBorder="true" applyAlignment="true" applyProtection="false">
      <alignment horizontal="general"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75" fontId="0" fillId="0" borderId="50" xfId="0" applyFont="false" applyBorder="tru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30" fillId="0" borderId="20" xfId="0" applyFont="true" applyBorder="true" applyAlignment="true" applyProtection="false">
      <alignment horizontal="general" vertical="bottom" textRotation="0" wrapText="false" indent="0" shrinkToFit="false"/>
      <protection locked="true" hidden="false"/>
    </xf>
    <xf numFmtId="169" fontId="30" fillId="0" borderId="45" xfId="0" applyFont="true" applyBorder="true" applyAlignment="true" applyProtection="false">
      <alignment horizontal="general" vertical="bottom" textRotation="0" wrapText="false" indent="0" shrinkToFit="false"/>
      <protection locked="true" hidden="false"/>
    </xf>
    <xf numFmtId="167" fontId="0" fillId="0" borderId="45" xfId="0" applyFont="false" applyBorder="tru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true"/>
    </xf>
    <xf numFmtId="169" fontId="0" fillId="0" borderId="0" xfId="0" applyFont="false" applyBorder="false" applyAlignment="true" applyProtection="false">
      <alignment horizontal="general" vertical="bottom" textRotation="0" wrapText="false" indent="0" shrinkToFit="false"/>
      <protection locked="true" hidden="false"/>
    </xf>
    <xf numFmtId="164" fontId="30" fillId="0" borderId="51"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30" fillId="0" borderId="25"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0" fillId="0" borderId="27" xfId="0" applyFont="false" applyBorder="true" applyAlignment="true" applyProtection="false">
      <alignment horizontal="general" vertical="bottom" textRotation="0" wrapText="false" indent="0" shrinkToFit="false"/>
      <protection locked="true" hidden="false"/>
    </xf>
    <xf numFmtId="174" fontId="0" fillId="0" borderId="13" xfId="0" applyFont="false" applyBorder="true" applyAlignment="true" applyProtection="false">
      <alignment horizontal="general" vertical="bottom" textRotation="0" wrapText="false" indent="0" shrinkToFit="false"/>
      <protection locked="true" hidden="false"/>
    </xf>
    <xf numFmtId="165" fontId="0" fillId="0" borderId="13" xfId="0" applyFont="false" applyBorder="true" applyAlignment="true" applyProtection="false">
      <alignment horizontal="general" vertical="bottom" textRotation="0" wrapText="false" indent="0" shrinkToFit="false"/>
      <protection locked="true" hidden="false"/>
    </xf>
    <xf numFmtId="164" fontId="33" fillId="9" borderId="0" xfId="0" applyFont="true" applyBorder="false" applyAlignment="true" applyProtection="true">
      <alignment horizontal="general" vertical="bottom" textRotation="0" wrapText="false" indent="0" shrinkToFit="false"/>
      <protection locked="false" hidden="false"/>
    </xf>
    <xf numFmtId="164" fontId="34" fillId="10" borderId="0" xfId="0" applyFont="true" applyBorder="false" applyAlignment="true" applyProtection="false">
      <alignment horizontal="general" vertical="bottom" textRotation="0" wrapText="false" indent="0" shrinkToFit="false"/>
      <protection locked="true" hidden="false"/>
    </xf>
    <xf numFmtId="164" fontId="0" fillId="10" borderId="0" xfId="0" applyFont="false" applyBorder="false" applyAlignment="true" applyProtection="false">
      <alignment horizontal="general" vertical="bottom" textRotation="0" wrapText="false" indent="0" shrinkToFit="false"/>
      <protection locked="true" hidden="false"/>
    </xf>
    <xf numFmtId="164" fontId="12" fillId="11" borderId="0" xfId="0" applyFont="true" applyBorder="false" applyAlignment="true" applyProtection="true">
      <alignment horizontal="general" vertical="bottom" textRotation="0" wrapText="false" indent="0" shrinkToFit="false"/>
      <protection locked="false" hidden="false"/>
    </xf>
    <xf numFmtId="164" fontId="35" fillId="12" borderId="0" xfId="0" applyFont="true" applyBorder="false" applyAlignment="true" applyProtection="false">
      <alignment horizontal="center" vertical="bottom" textRotation="0" wrapText="false" indent="0" shrinkToFit="false"/>
      <protection locked="true" hidden="false"/>
    </xf>
    <xf numFmtId="164" fontId="36" fillId="13" borderId="3" xfId="0" applyFont="true" applyBorder="true" applyAlignment="true" applyProtection="true">
      <alignment horizontal="right" vertical="bottom" textRotation="0" wrapText="false" indent="0" shrinkToFit="false"/>
      <protection locked="false" hidden="false"/>
    </xf>
    <xf numFmtId="164" fontId="34" fillId="14"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4" fillId="14" borderId="39" xfId="0" applyFont="true" applyBorder="true" applyAlignment="true" applyProtection="false">
      <alignment horizontal="center" vertical="bottom" textRotation="0" wrapText="false" indent="0" shrinkToFit="false"/>
      <protection locked="true" hidden="false"/>
    </xf>
    <xf numFmtId="164" fontId="34" fillId="14" borderId="52" xfId="0" applyFont="true" applyBorder="true" applyAlignment="true" applyProtection="false">
      <alignment horizontal="center" vertical="bottom" textRotation="0" wrapText="false" indent="0" shrinkToFit="false"/>
      <protection locked="true" hidden="false"/>
    </xf>
    <xf numFmtId="167" fontId="0" fillId="13" borderId="3" xfId="0" applyFont="false" applyBorder="true" applyAlignment="true" applyProtection="true">
      <alignment horizontal="center" vertical="bottom" textRotation="0" wrapText="false" indent="0" shrinkToFit="false"/>
      <protection locked="false" hidden="false"/>
    </xf>
    <xf numFmtId="174" fontId="4" fillId="13" borderId="3" xfId="0" applyFont="true" applyBorder="true" applyAlignment="true" applyProtection="true">
      <alignment horizontal="center" vertical="bottom" textRotation="0" wrapText="false" indent="0" shrinkToFit="false"/>
      <protection locked="false" hidden="false"/>
    </xf>
    <xf numFmtId="164" fontId="4" fillId="13" borderId="3" xfId="0" applyFont="true" applyBorder="true" applyAlignment="true" applyProtection="false">
      <alignment horizontal="center" vertical="bottom" textRotation="0" wrapText="false" indent="0" shrinkToFit="false"/>
      <protection locked="true" hidden="false"/>
    </xf>
    <xf numFmtId="174" fontId="0" fillId="10" borderId="3" xfId="0" applyFont="false" applyBorder="true" applyAlignment="true" applyProtection="true">
      <alignment horizontal="center" vertical="bottom" textRotation="0" wrapText="false" indent="0" shrinkToFit="false"/>
      <protection locked="false" hidden="false"/>
    </xf>
    <xf numFmtId="173" fontId="34" fillId="10" borderId="3" xfId="0" applyFont="true" applyBorder="true" applyAlignment="true" applyProtection="false">
      <alignment horizontal="left" vertical="bottom" textRotation="0" wrapText="false" indent="0" shrinkToFit="false"/>
      <protection locked="true" hidden="false"/>
    </xf>
    <xf numFmtId="164" fontId="0" fillId="13" borderId="38" xfId="0" applyFont="false" applyBorder="true" applyAlignment="true" applyProtection="true">
      <alignment horizontal="center" vertical="bottom" textRotation="0" wrapText="false" indent="0" shrinkToFit="false"/>
      <protection locked="false" hidden="false"/>
    </xf>
    <xf numFmtId="177" fontId="0" fillId="15" borderId="3" xfId="0" applyFont="false" applyBorder="true" applyAlignment="true" applyProtection="false">
      <alignment horizontal="center" vertical="bottom" textRotation="0" wrapText="false" indent="0" shrinkToFit="false"/>
      <protection locked="true" hidden="false"/>
    </xf>
    <xf numFmtId="164" fontId="34" fillId="16" borderId="0" xfId="0" applyFont="true" applyBorder="false" applyAlignment="true" applyProtection="false">
      <alignment horizontal="general" vertical="bottom" textRotation="0" wrapText="false" indent="0" shrinkToFit="false"/>
      <protection locked="true" hidden="false"/>
    </xf>
    <xf numFmtId="164" fontId="4" fillId="0" borderId="38" xfId="0" applyFont="true" applyBorder="tru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34" fillId="17" borderId="4" xfId="0" applyFont="true" applyBorder="true" applyAlignment="true" applyProtection="false">
      <alignment horizontal="general" vertical="bottom" textRotation="0" wrapText="false" indent="0" shrinkToFit="false"/>
      <protection locked="true" hidden="false"/>
    </xf>
    <xf numFmtId="164" fontId="4" fillId="13" borderId="38" xfId="0" applyFont="true" applyBorder="true" applyAlignment="true" applyProtection="true">
      <alignment horizontal="center" vertical="bottom" textRotation="0" wrapText="false" indent="0" shrinkToFit="false"/>
      <protection locked="false" hidden="false"/>
    </xf>
    <xf numFmtId="164" fontId="34" fillId="17" borderId="23" xfId="0" applyFont="true" applyBorder="true" applyAlignment="true" applyProtection="false">
      <alignment horizontal="general" vertical="bottom" textRotation="0" wrapText="false" indent="0" shrinkToFit="false"/>
      <protection locked="true" hidden="false"/>
    </xf>
    <xf numFmtId="175" fontId="4" fillId="13" borderId="3" xfId="0" applyFont="true" applyBorder="true" applyAlignment="true" applyProtection="true">
      <alignment horizontal="center" vertical="bottom" textRotation="0" wrapText="false" indent="0" shrinkToFit="false"/>
      <protection locked="false" hidden="false"/>
    </xf>
    <xf numFmtId="175" fontId="4" fillId="0" borderId="3" xfId="0" applyFont="true" applyBorder="true" applyAlignment="true" applyProtection="true">
      <alignment horizontal="center" vertical="bottom" textRotation="0" wrapText="false" indent="0" shrinkToFit="false"/>
      <protection locked="false" hidden="false"/>
    </xf>
    <xf numFmtId="164" fontId="34" fillId="17" borderId="38" xfId="0" applyFont="true" applyBorder="true" applyAlignment="true" applyProtection="false">
      <alignment horizontal="general" vertical="bottom" textRotation="0" wrapText="false" indent="0" shrinkToFit="false"/>
      <protection locked="true" hidden="false"/>
    </xf>
    <xf numFmtId="174" fontId="0" fillId="13" borderId="3" xfId="0" applyFont="false" applyBorder="true" applyAlignment="true" applyProtection="true">
      <alignment horizontal="center" vertical="bottom" textRotation="0" wrapText="false" indent="0" shrinkToFit="false"/>
      <protection locked="false" hidden="false"/>
    </xf>
    <xf numFmtId="164" fontId="4" fillId="0" borderId="3" xfId="0" applyFont="true" applyBorder="true" applyAlignment="true" applyProtection="false">
      <alignment horizontal="center" vertical="bottom" textRotation="0" wrapText="false" indent="0" shrinkToFit="false"/>
      <protection locked="true" hidden="false"/>
    </xf>
    <xf numFmtId="164" fontId="32" fillId="0" borderId="51" xfId="0" applyFont="true" applyBorder="true" applyAlignment="true" applyProtection="false">
      <alignment horizontal="general" vertical="bottom" textRotation="0" wrapText="false" indent="0" shrinkToFit="false"/>
      <protection locked="true" hidden="false"/>
    </xf>
    <xf numFmtId="164" fontId="0" fillId="0" borderId="51" xfId="0" applyFont="false" applyBorder="true" applyAlignment="tru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3" fontId="34" fillId="13" borderId="3" xfId="0" applyFont="true" applyBorder="true" applyAlignment="true" applyProtection="true">
      <alignment horizontal="center" vertical="bottom" textRotation="0" wrapText="false" indent="0" shrinkToFit="false"/>
      <protection locked="false" hidden="false"/>
    </xf>
    <xf numFmtId="164" fontId="34" fillId="13" borderId="52" xfId="0" applyFont="true" applyBorder="true" applyAlignment="true" applyProtection="true">
      <alignment horizontal="center" vertical="bottom" textRotation="0" wrapText="false" indent="0" shrinkToFit="false"/>
      <protection locked="false" hidden="false"/>
    </xf>
    <xf numFmtId="164" fontId="34" fillId="18" borderId="0" xfId="0" applyFont="true" applyBorder="false" applyAlignment="true" applyProtection="false">
      <alignment horizontal="general" vertical="bottom" textRotation="0" wrapText="false" indent="0" shrinkToFit="false"/>
      <protection locked="true" hidden="false"/>
    </xf>
    <xf numFmtId="173" fontId="0" fillId="13" borderId="3" xfId="0" applyFont="false" applyBorder="true" applyAlignment="true" applyProtection="true">
      <alignment horizontal="general" vertical="bottom" textRotation="0" wrapText="false" indent="0" shrinkToFit="false"/>
      <protection locked="false" hidden="false"/>
    </xf>
    <xf numFmtId="173" fontId="0" fillId="15" borderId="3" xfId="0" applyFont="false" applyBorder="true" applyAlignment="true" applyProtection="false">
      <alignment horizontal="center" vertical="bottom" textRotation="0" wrapText="false" indent="0" shrinkToFit="false"/>
      <protection locked="true" hidden="false"/>
    </xf>
    <xf numFmtId="173" fontId="0" fillId="0" borderId="3" xfId="0" applyFont="false" applyBorder="true" applyAlignment="true" applyProtection="true">
      <alignment horizontal="general" vertical="bottom" textRotation="0" wrapText="false" indent="0" shrinkToFit="false"/>
      <protection locked="false" hidden="false"/>
    </xf>
    <xf numFmtId="173" fontId="0" fillId="0" borderId="0" xfId="0" applyFont="false" applyBorder="false" applyAlignment="true" applyProtection="false">
      <alignment horizontal="center" vertical="bottom" textRotation="0" wrapText="false" indent="0" shrinkToFit="false"/>
      <protection locked="true" hidden="false"/>
    </xf>
    <xf numFmtId="173" fontId="34" fillId="0" borderId="0" xfId="0" applyFont="true" applyBorder="false" applyAlignment="true" applyProtection="false">
      <alignment horizontal="left" vertical="bottom" textRotation="0" wrapText="false" indent="0" shrinkToFit="false"/>
      <protection locked="true" hidden="false"/>
    </xf>
    <xf numFmtId="173" fontId="0" fillId="13" borderId="3" xfId="0" applyFont="false" applyBorder="tru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right" vertical="bottom" textRotation="0" wrapText="false" indent="0" shrinkToFit="false"/>
      <protection locked="true" hidden="false"/>
    </xf>
    <xf numFmtId="177" fontId="0" fillId="13" borderId="3" xfId="0" applyFont="false" applyBorder="true" applyAlignment="true" applyProtection="true">
      <alignment horizontal="general" vertical="bottom" textRotation="0" wrapText="false" indent="0" shrinkToFit="false"/>
      <protection locked="false" hidden="false"/>
    </xf>
    <xf numFmtId="164" fontId="34" fillId="0" borderId="23" xfId="0" applyFont="true" applyBorder="true" applyAlignment="true" applyProtection="false">
      <alignment horizontal="general" vertical="bottom" textRotation="0" wrapText="false" indent="0" shrinkToFit="false"/>
      <protection locked="true" hidden="false"/>
    </xf>
    <xf numFmtId="173" fontId="0" fillId="19" borderId="3" xfId="0" applyFont="false" applyBorder="true" applyAlignment="true" applyProtection="false">
      <alignment horizontal="general" vertical="bottom" textRotation="0" wrapText="false" indent="0" shrinkToFit="false"/>
      <protection locked="true" hidden="false"/>
    </xf>
    <xf numFmtId="177" fontId="32" fillId="13" borderId="3" xfId="0" applyFont="true" applyBorder="true" applyAlignment="true" applyProtection="true">
      <alignment horizontal="general" vertical="bottom" textRotation="0" wrapText="false" indent="0" shrinkToFit="false"/>
      <protection locked="false" hidden="false"/>
    </xf>
    <xf numFmtId="178" fontId="0" fillId="0" borderId="0" xfId="0" applyFont="false" applyBorder="false" applyAlignment="true" applyProtection="false">
      <alignment horizontal="right" vertical="bottom" textRotation="0" wrapText="false" indent="0" shrinkToFit="false"/>
      <protection locked="true" hidden="false"/>
    </xf>
    <xf numFmtId="164" fontId="34" fillId="0" borderId="10" xfId="0" applyFont="true" applyBorder="true" applyAlignment="true" applyProtection="false">
      <alignment horizontal="general" vertical="bottom" textRotation="0" wrapText="false" indent="0" shrinkToFit="false"/>
      <protection locked="true" hidden="false"/>
    </xf>
    <xf numFmtId="164" fontId="34" fillId="15" borderId="5" xfId="0" applyFont="true" applyBorder="true" applyAlignment="true" applyProtection="false">
      <alignment horizontal="general" vertical="bottom" textRotation="0" wrapText="false" indent="0" shrinkToFit="false"/>
      <protection locked="true" hidden="false"/>
    </xf>
    <xf numFmtId="164" fontId="0" fillId="15" borderId="50" xfId="0" applyFont="false" applyBorder="true" applyAlignment="true" applyProtection="false">
      <alignment horizontal="general" vertical="bottom" textRotation="0" wrapText="false" indent="0" shrinkToFit="false"/>
      <protection locked="true" hidden="false"/>
    </xf>
    <xf numFmtId="173" fontId="0" fillId="15" borderId="50" xfId="0" applyFont="false" applyBorder="true" applyAlignment="true" applyProtection="false">
      <alignment horizontal="general" vertical="bottom" textRotation="0" wrapText="false" indent="0" shrinkToFit="false"/>
      <protection locked="true" hidden="false"/>
    </xf>
    <xf numFmtId="173" fontId="0" fillId="15" borderId="9" xfId="0" applyFont="false" applyBorder="true" applyAlignment="true" applyProtection="false">
      <alignment horizontal="general" vertical="bottom" textRotation="0" wrapText="false" indent="0" shrinkToFit="false"/>
      <protection locked="true" hidden="false"/>
    </xf>
    <xf numFmtId="164" fontId="34" fillId="15" borderId="20" xfId="0" applyFont="true" applyBorder="true" applyAlignment="true" applyProtection="false">
      <alignment horizontal="general" vertical="bottom" textRotation="0" wrapText="false" indent="0" shrinkToFit="false"/>
      <protection locked="true" hidden="false"/>
    </xf>
    <xf numFmtId="164" fontId="0" fillId="15" borderId="45" xfId="0" applyFont="false" applyBorder="true" applyAlignment="true" applyProtection="false">
      <alignment horizontal="general" vertical="bottom" textRotation="0" wrapText="false" indent="0" shrinkToFit="false"/>
      <protection locked="true" hidden="false"/>
    </xf>
    <xf numFmtId="173" fontId="0" fillId="15" borderId="45" xfId="0" applyFont="false" applyBorder="true" applyAlignment="true" applyProtection="false">
      <alignment horizontal="general" vertical="bottom" textRotation="0" wrapText="false" indent="0" shrinkToFit="false"/>
      <protection locked="true" hidden="false"/>
    </xf>
    <xf numFmtId="173" fontId="0" fillId="15" borderId="17" xfId="0" applyFont="false" applyBorder="true" applyAlignment="true" applyProtection="false">
      <alignment horizontal="general" vertical="bottom" textRotation="0" wrapText="false" indent="0" shrinkToFit="false"/>
      <protection locked="true" hidden="false"/>
    </xf>
    <xf numFmtId="164" fontId="34" fillId="15" borderId="39" xfId="0" applyFont="true" applyBorder="true" applyAlignment="true" applyProtection="false">
      <alignment horizontal="general" vertical="bottom" textRotation="0" wrapText="false" indent="0" shrinkToFit="false"/>
      <protection locked="true" hidden="false"/>
    </xf>
    <xf numFmtId="164" fontId="0" fillId="15" borderId="53" xfId="0" applyFont="false" applyBorder="true" applyAlignment="true" applyProtection="false">
      <alignment horizontal="general" vertical="bottom" textRotation="0" wrapText="false" indent="0" shrinkToFit="false"/>
      <protection locked="true" hidden="false"/>
    </xf>
    <xf numFmtId="173" fontId="0" fillId="15" borderId="53" xfId="0" applyFont="false" applyBorder="true" applyAlignment="true" applyProtection="false">
      <alignment horizontal="general" vertical="bottom" textRotation="0" wrapText="false" indent="0" shrinkToFit="false"/>
      <protection locked="true" hidden="false"/>
    </xf>
    <xf numFmtId="173" fontId="0" fillId="15" borderId="52" xfId="0" applyFont="false" applyBorder="true" applyAlignment="true" applyProtection="false">
      <alignment horizontal="general" vertical="bottom" textRotation="0" wrapText="false" indent="0" shrinkToFit="false"/>
      <protection locked="true" hidden="false"/>
    </xf>
    <xf numFmtId="164" fontId="34" fillId="15" borderId="10" xfId="0" applyFont="true" applyBorder="true" applyAlignment="true" applyProtection="false">
      <alignment horizontal="general" vertical="bottom" textRotation="0" wrapText="false" indent="0" shrinkToFit="false"/>
      <protection locked="true" hidden="false"/>
    </xf>
    <xf numFmtId="164" fontId="0" fillId="15" borderId="0" xfId="0" applyFont="false" applyBorder="false" applyAlignment="true" applyProtection="false">
      <alignment horizontal="general" vertical="bottom" textRotation="0" wrapText="false" indent="0" shrinkToFit="false"/>
      <protection locked="true" hidden="false"/>
    </xf>
    <xf numFmtId="164" fontId="34" fillId="20" borderId="4" xfId="0" applyFont="true" applyBorder="true" applyAlignment="true" applyProtection="false">
      <alignment horizontal="right" vertical="bottom" textRotation="0" wrapText="false" indent="0" shrinkToFit="false"/>
      <protection locked="true" hidden="false"/>
    </xf>
    <xf numFmtId="179" fontId="34" fillId="20" borderId="9" xfId="0" applyFont="true" applyBorder="true" applyAlignment="true" applyProtection="false">
      <alignment horizontal="general" vertical="bottom" textRotation="0" wrapText="false" indent="0" shrinkToFit="false"/>
      <protection locked="true" hidden="false"/>
    </xf>
    <xf numFmtId="164" fontId="34" fillId="20" borderId="5" xfId="0" applyFont="true" applyBorder="true" applyAlignment="true" applyProtection="false">
      <alignment horizontal="general" vertical="bottom" textRotation="0" wrapText="false" indent="0" shrinkToFit="false"/>
      <protection locked="true" hidden="false"/>
    </xf>
    <xf numFmtId="164" fontId="34" fillId="20" borderId="50" xfId="0" applyFont="true" applyBorder="true" applyAlignment="true" applyProtection="false">
      <alignment horizontal="general" vertical="bottom" textRotation="0" wrapText="false" indent="0" shrinkToFit="false"/>
      <protection locked="true" hidden="false"/>
    </xf>
    <xf numFmtId="175" fontId="34" fillId="20" borderId="4" xfId="0" applyFont="true" applyBorder="true" applyAlignment="true" applyProtection="false">
      <alignment horizontal="general" vertical="bottom" textRotation="0" wrapText="false" indent="0" shrinkToFit="false"/>
      <protection locked="true" hidden="false"/>
    </xf>
    <xf numFmtId="176" fontId="34" fillId="20" borderId="9" xfId="0" applyFont="true" applyBorder="true" applyAlignment="true" applyProtection="false">
      <alignment horizontal="right" vertical="bottom" textRotation="0" wrapText="false" indent="0" shrinkToFit="false"/>
      <protection locked="true" hidden="false"/>
    </xf>
    <xf numFmtId="164" fontId="34" fillId="0" borderId="20" xfId="0" applyFont="true" applyBorder="true" applyAlignment="true" applyProtection="false">
      <alignment horizontal="general" vertical="bottom" textRotation="0" wrapText="false" indent="0" shrinkToFit="false"/>
      <protection locked="true" hidden="false"/>
    </xf>
    <xf numFmtId="178" fontId="0" fillId="0" borderId="38" xfId="0" applyFont="false" applyBorder="true" applyAlignment="true" applyProtection="false">
      <alignment horizontal="right" vertical="bottom" textRotation="0" wrapText="false" indent="0" shrinkToFit="false"/>
      <protection locked="true" hidden="false"/>
    </xf>
    <xf numFmtId="178" fontId="0" fillId="0" borderId="45" xfId="0" applyFont="false" applyBorder="true" applyAlignment="true" applyProtection="false">
      <alignment horizontal="right"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4" fillId="9" borderId="0" xfId="0" applyFont="true" applyBorder="false" applyAlignment="true" applyProtection="false">
      <alignment horizontal="general" vertical="bottom" textRotation="0" wrapText="false" indent="0" shrinkToFit="false"/>
      <protection locked="true" hidden="false"/>
    </xf>
    <xf numFmtId="164" fontId="0" fillId="9" borderId="0" xfId="0" applyFont="false" applyBorder="false" applyAlignment="true" applyProtection="false">
      <alignment horizontal="general" vertical="bottom" textRotation="0" wrapText="false" indent="0" shrinkToFit="false"/>
      <protection locked="true" hidden="false"/>
    </xf>
    <xf numFmtId="164" fontId="4" fillId="13" borderId="3" xfId="0" applyFont="true" applyBorder="true" applyAlignment="true" applyProtection="true">
      <alignment horizontal="center" vertical="bottom" textRotation="0" wrapText="false" indent="0" shrinkToFit="false"/>
      <protection locked="false" hidden="false"/>
    </xf>
    <xf numFmtId="164" fontId="32" fillId="0" borderId="3" xfId="0" applyFont="true" applyBorder="true" applyAlignment="true" applyProtection="false">
      <alignment horizontal="general" vertical="bottom" textRotation="0" wrapText="true" indent="0" shrinkToFit="false"/>
      <protection locked="true" hidden="false"/>
    </xf>
    <xf numFmtId="176" fontId="38" fillId="4" borderId="2" xfId="0" applyFont="true" applyBorder="true" applyAlignment="true" applyProtection="false">
      <alignment horizontal="general" vertical="bottom" textRotation="0" wrapText="false" indent="0" shrinkToFit="false"/>
      <protection locked="true" hidden="false"/>
    </xf>
    <xf numFmtId="176" fontId="39" fillId="5" borderId="2" xfId="0" applyFont="true" applyBorder="true" applyAlignment="true" applyProtection="false">
      <alignment horizontal="general" vertical="bottom" textRotation="0" wrapText="false" indent="0" shrinkToFit="false"/>
      <protection locked="true" hidden="false"/>
    </xf>
    <xf numFmtId="175" fontId="39" fillId="5" borderId="2" xfId="0" applyFont="true" applyBorder="true" applyAlignment="true" applyProtection="false">
      <alignment horizontal="left" vertical="bottom" textRotation="0" wrapText="false" indent="11"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18" fillId="4" borderId="2" xfId="0" applyFont="true" applyBorder="true" applyAlignment="true" applyProtection="false">
      <alignment horizontal="general" vertical="top" textRotation="0" wrapText="tru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true" indent="0" shrinkToFit="false"/>
      <protection locked="true" hidden="false"/>
    </xf>
    <xf numFmtId="169" fontId="0" fillId="0" borderId="2" xfId="0" applyFont="false" applyBorder="tru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75" fontId="0" fillId="0" borderId="2" xfId="0" applyFont="false" applyBorder="true" applyAlignment="tru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Procent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F2DCDB"/>
      <rgbColor rgb="FF993366"/>
      <rgbColor rgb="FFEBF1DE"/>
      <rgbColor rgb="FFDCE6F2"/>
      <rgbColor rgb="FF660066"/>
      <rgbColor rgb="FFFCD5B5"/>
      <rgbColor rgb="FF0066CC"/>
      <rgbColor rgb="FFC6D9F1"/>
      <rgbColor rgb="FF000080"/>
      <rgbColor rgb="FFFF00FF"/>
      <rgbColor rgb="FFF2F2F2"/>
      <rgbColor rgb="FF00FFFF"/>
      <rgbColor rgb="FF800080"/>
      <rgbColor rgb="FF800000"/>
      <rgbColor rgb="FF008080"/>
      <rgbColor rgb="FF0000FF"/>
      <rgbColor rgb="FF00CCFF"/>
      <rgbColor rgb="FFDCE6F1"/>
      <rgbColor rgb="FFCCFFCC"/>
      <rgbColor rgb="FFFFFF99"/>
      <rgbColor rgb="FFC4BD97"/>
      <rgbColor rgb="FFFF99CC"/>
      <rgbColor rgb="FFCC99FF"/>
      <rgbColor rgb="FFFFCC99"/>
      <rgbColor rgb="FF3366FF"/>
      <rgbColor rgb="FF33CCCC"/>
      <rgbColor rgb="FF99CC00"/>
      <rgbColor rgb="FFFFC000"/>
      <rgbColor rgb="FFFF9900"/>
      <rgbColor rgb="FFFA7D00"/>
      <rgbColor rgb="FF595959"/>
      <rgbColor rgb="FFB0B0B0"/>
      <rgbColor rgb="FF1F4E78"/>
      <rgbColor rgb="FF339966"/>
      <rgbColor rgb="FF003300"/>
      <rgbColor rgb="FF333300"/>
      <rgbColor rgb="FF993300"/>
      <rgbColor rgb="FF993366"/>
      <rgbColor rgb="FF333399"/>
      <rgbColor rgb="FF3F3F7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596880</xdr:colOff>
      <xdr:row>2</xdr:row>
      <xdr:rowOff>87120</xdr:rowOff>
    </xdr:from>
    <xdr:to>
      <xdr:col>4</xdr:col>
      <xdr:colOff>1203840</xdr:colOff>
      <xdr:row>5</xdr:row>
      <xdr:rowOff>17280</xdr:rowOff>
    </xdr:to>
    <xdr:pic>
      <xdr:nvPicPr>
        <xdr:cNvPr id="0" name="Bildobjekt 3" descr="HSB_Farg_Sv.png"/>
        <xdr:cNvPicPr/>
      </xdr:nvPicPr>
      <xdr:blipFill>
        <a:blip r:embed="rId1"/>
        <a:stretch/>
      </xdr:blipFill>
      <xdr:spPr>
        <a:xfrm>
          <a:off x="5385240" y="649080"/>
          <a:ext cx="606960" cy="3873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237960</xdr:colOff>
      <xdr:row>0</xdr:row>
      <xdr:rowOff>0</xdr:rowOff>
    </xdr:from>
    <xdr:to>
      <xdr:col>32</xdr:col>
      <xdr:colOff>127440</xdr:colOff>
      <xdr:row>38</xdr:row>
      <xdr:rowOff>185400</xdr:rowOff>
    </xdr:to>
    <xdr:pic>
      <xdr:nvPicPr>
        <xdr:cNvPr id="1" name="Bildobjekt 1" descr=""/>
        <xdr:cNvPicPr/>
      </xdr:nvPicPr>
      <xdr:blipFill>
        <a:blip r:embed="rId1"/>
        <a:stretch/>
      </xdr:blipFill>
      <xdr:spPr>
        <a:xfrm>
          <a:off x="15641640" y="0"/>
          <a:ext cx="11376720" cy="74530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542880</xdr:colOff>
      <xdr:row>2</xdr:row>
      <xdr:rowOff>66600</xdr:rowOff>
    </xdr:from>
    <xdr:to>
      <xdr:col>22</xdr:col>
      <xdr:colOff>299880</xdr:colOff>
      <xdr:row>26</xdr:row>
      <xdr:rowOff>23760</xdr:rowOff>
    </xdr:to>
    <xdr:pic>
      <xdr:nvPicPr>
        <xdr:cNvPr id="2" name="Bildobjekt 1" descr=""/>
        <xdr:cNvPicPr/>
      </xdr:nvPicPr>
      <xdr:blipFill>
        <a:blip r:embed="rId1"/>
        <a:stretch/>
      </xdr:blipFill>
      <xdr:spPr>
        <a:xfrm>
          <a:off x="15946560" y="952560"/>
          <a:ext cx="4862520" cy="45766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18</xdr:col>
      <xdr:colOff>200160</xdr:colOff>
      <xdr:row>0</xdr:row>
      <xdr:rowOff>0</xdr:rowOff>
    </xdr:from>
    <xdr:to>
      <xdr:col>36</xdr:col>
      <xdr:colOff>42120</xdr:colOff>
      <xdr:row>38</xdr:row>
      <xdr:rowOff>13680</xdr:rowOff>
    </xdr:to>
    <xdr:pic>
      <xdr:nvPicPr>
        <xdr:cNvPr id="3" name="Bildobjekt 1" descr=""/>
        <xdr:cNvPicPr/>
      </xdr:nvPicPr>
      <xdr:blipFill>
        <a:blip r:embed="rId1"/>
        <a:stretch/>
      </xdr:blipFill>
      <xdr:spPr>
        <a:xfrm>
          <a:off x="18156600" y="0"/>
          <a:ext cx="11329200" cy="78814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tema">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1000"/>
              </a:schemeClr>
            </a:gs>
            <a:gs pos="68000">
              <a:schemeClr val="phClr">
                <a:tint val="77000"/>
              </a:schemeClr>
            </a:gs>
            <a:gs pos="81000">
              <a:schemeClr val="phClr">
                <a:tint val="79000"/>
              </a:schemeClr>
            </a:gs>
            <a:gs pos="86000">
              <a:schemeClr val="phClr">
                <a:tint val="73000"/>
              </a:schemeClr>
            </a:gs>
            <a:gs pos="100000">
              <a:schemeClr val="phClr">
                <a:tint val="35000"/>
              </a:schemeClr>
            </a:gs>
          </a:gsLst>
          <a:lin ang="5400000" scaled="1"/>
          <a:tileRect l="0" t="0" r="0" b="0"/>
        </a:gradFill>
        <a:gradFill>
          <a:gsLst>
            <a:gs pos="0">
              <a:schemeClr val="phClr">
                <a:tint val="73000"/>
              </a:schemeClr>
            </a:gs>
            <a:gs pos="25000">
              <a:schemeClr val="phClr">
                <a:tint val="96000"/>
                <a:shade val="80000"/>
              </a:schemeClr>
            </a:gs>
            <a:gs pos="38000">
              <a:schemeClr val="phClr">
                <a:tint val="96000"/>
                <a:shade val="59000"/>
              </a:schemeClr>
            </a:gs>
            <a:gs pos="55000">
              <a:schemeClr val="phClr">
                <a:shade val="57000"/>
              </a:schemeClr>
            </a:gs>
            <a:gs pos="80000">
              <a:schemeClr val="phClr">
                <a:shade val="56000"/>
              </a:schemeClr>
            </a:gs>
            <a:gs pos="88000">
              <a:schemeClr val="phClr">
                <a:shade val="63000"/>
              </a:schemeClr>
            </a:gs>
            <a:gs pos="100000">
              <a:schemeClr val="phClr">
                <a:tint val="99550"/>
              </a:schemeClr>
            </a:gs>
          </a:gsLst>
          <a:lin ang="5400000" scaled="1"/>
          <a:tileRect l="0" t="0" r="0" b="0"/>
        </a:gradFill>
      </a:fillStyleLst>
      <a:lnStyleLst>
        <a:ln w="9525" cap="flat" cmpd="sng" algn="ctr">
          <a:prstDash val="solid"/>
        </a:ln>
        <a:ln w="19050" cap="flat" cmpd="sng" algn="ctr">
          <a:prstDash val="solid"/>
        </a:ln>
        <a:ln w="1905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mailto:peter.persson@hsb.se" TargetMode="External"/><Relationship Id="rId3" Type="http://schemas.openxmlformats.org/officeDocument/2006/relationships/drawing" Target="../drawings/drawing1.xml"/><Relationship Id="rId4" Type="http://schemas.openxmlformats.org/officeDocument/2006/relationships/vmlDrawing" Target="../drawings/vmlDrawing4.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5.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6.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7.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8.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9.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0.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xml"/><Relationship Id="rId3" Type="http://schemas.openxmlformats.org/officeDocument/2006/relationships/vmlDrawing" Target="../drawings/vmlDrawing11.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3.xml"/><Relationship Id="rId3" Type="http://schemas.openxmlformats.org/officeDocument/2006/relationships/vmlDrawing" Target="../drawings/vmlDrawing12.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4.xml"/><Relationship Id="rId3" Type="http://schemas.openxmlformats.org/officeDocument/2006/relationships/vmlDrawing" Target="../drawings/vmlDrawing13.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4.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5.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6.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7.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18.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4" activeCellId="0" sqref="E4"/>
    </sheetView>
  </sheetViews>
  <sheetFormatPr defaultColWidth="8.7109375" defaultRowHeight="15" zeroHeight="false" outlineLevelRow="0" outlineLevelCol="0"/>
  <cols>
    <col collapsed="false" customWidth="true" hidden="false" outlineLevel="0" max="1" min="1" style="1" width="6"/>
    <col collapsed="false" customWidth="true" hidden="false" outlineLevel="0" max="2" min="2" style="1" width="110"/>
  </cols>
  <sheetData>
    <row r="1" customFormat="false" ht="21.75" hidden="false" customHeight="true" outlineLevel="0" collapsed="false">
      <c r="A1" s="2" t="s">
        <v>0</v>
      </c>
    </row>
    <row r="3" customFormat="false" ht="27.75" hidden="false" customHeight="true" outlineLevel="0" collapsed="false">
      <c r="A3" s="3" t="n">
        <v>1</v>
      </c>
      <c r="B3" s="4" t="s">
        <v>1</v>
      </c>
    </row>
    <row r="4" customFormat="false" ht="27.75" hidden="false" customHeight="true" outlineLevel="0" collapsed="false">
      <c r="A4" s="3" t="n">
        <v>2</v>
      </c>
      <c r="B4" s="4" t="s">
        <v>2</v>
      </c>
    </row>
    <row r="5" customFormat="false" ht="27.75" hidden="false" customHeight="true" outlineLevel="0" collapsed="false">
      <c r="A5" s="3" t="n">
        <v>3</v>
      </c>
      <c r="B5" s="4" t="s">
        <v>3</v>
      </c>
    </row>
    <row r="6" customFormat="false" ht="27.75" hidden="false" customHeight="true" outlineLevel="0" collapsed="false">
      <c r="A6" s="3" t="n">
        <v>4</v>
      </c>
      <c r="B6" s="4" t="s">
        <v>4</v>
      </c>
    </row>
    <row r="7" customFormat="false" ht="27.75" hidden="false" customHeight="true" outlineLevel="0" collapsed="false">
      <c r="A7" s="3" t="n">
        <v>5</v>
      </c>
      <c r="B7" s="4" t="s">
        <v>5</v>
      </c>
    </row>
    <row r="8" customFormat="false" ht="27.75" hidden="false" customHeight="true" outlineLevel="0" collapsed="false">
      <c r="A8" s="3" t="n">
        <v>6</v>
      </c>
      <c r="B8" s="4" t="s">
        <v>6</v>
      </c>
    </row>
    <row r="9" customFormat="false" ht="27.75" hidden="false" customHeight="true" outlineLevel="0" collapsed="false">
      <c r="A9" s="3" t="n">
        <v>7</v>
      </c>
      <c r="B9" s="4" t="s">
        <v>7</v>
      </c>
    </row>
    <row r="10" customFormat="false" ht="27.75" hidden="false" customHeight="true" outlineLevel="0" collapsed="false">
      <c r="A10" s="3" t="n">
        <v>8</v>
      </c>
      <c r="B10" s="4" t="s">
        <v>8</v>
      </c>
    </row>
    <row r="11" customFormat="false" ht="27.75" hidden="false" customHeight="true" outlineLevel="0" collapsed="false">
      <c r="A11" s="3" t="n">
        <v>9</v>
      </c>
      <c r="B11" s="4" t="s">
        <v>9</v>
      </c>
    </row>
    <row r="12" customFormat="false" ht="27.75" hidden="false" customHeight="true" outlineLevel="0" collapsed="false">
      <c r="A12" s="3" t="n">
        <v>10</v>
      </c>
      <c r="B12" s="4" t="s">
        <v>10</v>
      </c>
    </row>
    <row r="13" customFormat="false" ht="27.75" hidden="false" customHeight="true" outlineLevel="0" collapsed="false">
      <c r="A13" s="5" t="n">
        <v>11</v>
      </c>
      <c r="B13" s="4"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0"/>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B2" activeCellId="0" sqref="B2"/>
    </sheetView>
  </sheetViews>
  <sheetFormatPr defaultColWidth="8.7109375" defaultRowHeight="15" zeroHeight="false" outlineLevelRow="0" outlineLevelCol="0"/>
  <cols>
    <col collapsed="false" customWidth="true" hidden="false" outlineLevel="0" max="1" min="1" style="1" width="52.43"/>
    <col collapsed="false" customWidth="true" hidden="false" outlineLevel="0" max="3" min="2" style="1" width="15"/>
    <col collapsed="false" customWidth="true" hidden="false" outlineLevel="0" max="5" min="4" style="1" width="16"/>
    <col collapsed="false" customWidth="true" hidden="false" outlineLevel="0" max="6" min="6" style="1" width="15"/>
    <col collapsed="false" customWidth="true" hidden="false" outlineLevel="0" max="7" min="7" style="1" width="14"/>
    <col collapsed="false" customWidth="true" hidden="false" outlineLevel="0" max="8" min="8" style="1" width="15.58"/>
    <col collapsed="false" customWidth="true" hidden="true" outlineLevel="0" max="11" min="11" style="1" width="40"/>
    <col collapsed="false" customWidth="true" hidden="true" outlineLevel="0" max="18" min="12" style="1" width="13"/>
  </cols>
  <sheetData>
    <row r="1" customFormat="false" ht="19.5" hidden="false" customHeight="true" outlineLevel="0" collapsed="false">
      <c r="A1" s="6" t="s">
        <v>12</v>
      </c>
    </row>
    <row r="2" customFormat="false" ht="15" hidden="false" customHeight="true" outlineLevel="0" collapsed="false">
      <c r="A2" s="7" t="s">
        <v>13</v>
      </c>
      <c r="B2" s="1" t="str">
        <f aca="false">IF(Besiktningsprotokoll!B4="","",Besiktningsprotokoll!B4)</f>
        <v/>
      </c>
    </row>
    <row r="3" customFormat="false" ht="15" hidden="false" customHeight="true" outlineLevel="0" collapsed="false">
      <c r="A3" s="1" t="s">
        <v>14</v>
      </c>
      <c r="B3" s="1" t="str">
        <f aca="false">IF(Besiktningsprotokoll!B5="","",Besiktningsprotokoll!B5)</f>
        <v/>
      </c>
    </row>
    <row r="4" customFormat="false" ht="15" hidden="false" customHeight="true" outlineLevel="0" collapsed="false">
      <c r="A4" s="1" t="s">
        <v>15</v>
      </c>
      <c r="B4" s="1" t="str">
        <f aca="false">Besiktningsprotokoll!D3&amp;" ("&amp;Besiktningsprotokoll!D4&amp;")"</f>
        <v>Peter Persson (HSB Värmland)</v>
      </c>
    </row>
    <row r="6" customFormat="false" ht="15.75" hidden="false" customHeight="true" outlineLevel="0" collapsed="false">
      <c r="A6" s="8" t="s">
        <v>16</v>
      </c>
    </row>
    <row r="7" customFormat="false" ht="15" hidden="false" customHeight="true" outlineLevel="0" collapsed="false">
      <c r="A7" s="9" t="s">
        <v>17</v>
      </c>
      <c r="B7" s="9" t="s">
        <v>18</v>
      </c>
      <c r="C7" s="9" t="s">
        <v>19</v>
      </c>
    </row>
    <row r="8" customFormat="false" ht="15" hidden="false" customHeight="true" outlineLevel="0" collapsed="false">
      <c r="A8" s="10" t="s">
        <v>20</v>
      </c>
      <c r="B8" s="11" t="n">
        <f aca="false">Normalisering!I120</f>
        <v>0</v>
      </c>
      <c r="C8" s="12" t="e">
        <f aca="false">B8/$B$12</f>
        <v>#DIV/0!</v>
      </c>
    </row>
    <row r="9" customFormat="false" ht="15" hidden="false" customHeight="true" outlineLevel="0" collapsed="false">
      <c r="A9" s="10" t="s">
        <v>21</v>
      </c>
      <c r="B9" s="11" t="n">
        <f aca="false">Normalisering!I132</f>
        <v>0</v>
      </c>
      <c r="C9" s="12" t="e">
        <f aca="false">B9/$B$12</f>
        <v>#DIV/0!</v>
      </c>
    </row>
    <row r="10" customFormat="false" ht="15" hidden="false" customHeight="true" outlineLevel="0" collapsed="false">
      <c r="A10" s="10" t="s">
        <v>22</v>
      </c>
      <c r="B10" s="11" t="n">
        <f aca="false">Normalisering!I139</f>
        <v>0</v>
      </c>
      <c r="C10" s="12" t="e">
        <f aca="false">B10/$B$12</f>
        <v>#DIV/0!</v>
      </c>
    </row>
    <row r="11" customFormat="false" ht="15" hidden="false" customHeight="true" outlineLevel="0" collapsed="false">
      <c r="A11" s="10" t="s">
        <v>23</v>
      </c>
      <c r="B11" s="11" t="n">
        <f aca="false">Normalisering!I144</f>
        <v>0</v>
      </c>
      <c r="C11" s="12" t="e">
        <f aca="false">B11/$B$12</f>
        <v>#DIV/0!</v>
      </c>
    </row>
    <row r="12" customFormat="false" ht="15" hidden="false" customHeight="true" outlineLevel="0" collapsed="false">
      <c r="A12" s="13" t="s">
        <v>24</v>
      </c>
      <c r="B12" s="14" t="n">
        <f aca="false">SUM(B8:B11)</f>
        <v>0</v>
      </c>
      <c r="C12" s="15" t="n">
        <v>1</v>
      </c>
    </row>
    <row r="13" customFormat="false" ht="15" hidden="false" customHeight="true" outlineLevel="0" collapsed="false">
      <c r="A13" s="16" t="s">
        <v>25</v>
      </c>
    </row>
    <row r="14" customFormat="false" ht="15" hidden="false" customHeight="true" outlineLevel="0" collapsed="false">
      <c r="A14" s="7" t="s">
        <v>26</v>
      </c>
      <c r="B14" s="17" t="str">
        <f aca="false">Resultat!I13</f>
        <v/>
      </c>
    </row>
    <row r="15" customFormat="false" ht="15" hidden="false" customHeight="true" outlineLevel="0" collapsed="false">
      <c r="A15" s="7" t="s">
        <v>27</v>
      </c>
      <c r="B15" s="1" t="str">
        <f aca="false">Resultat!I24</f>
        <v/>
      </c>
    </row>
    <row r="16" customFormat="false" ht="15.75" hidden="false" customHeight="true" outlineLevel="0" collapsed="false">
      <c r="A16" s="8" t="s">
        <v>28</v>
      </c>
    </row>
    <row r="17" customFormat="false" ht="15" hidden="false" customHeight="true" outlineLevel="0" collapsed="false">
      <c r="A17" s="16" t="s">
        <v>29</v>
      </c>
      <c r="K17" s="3" t="s">
        <v>30</v>
      </c>
    </row>
    <row r="18" customFormat="false" ht="30" hidden="false" customHeight="true" outlineLevel="0" collapsed="false">
      <c r="A18" s="18" t="s">
        <v>31</v>
      </c>
      <c r="B18" s="18" t="s">
        <v>32</v>
      </c>
      <c r="C18" s="18" t="s">
        <v>33</v>
      </c>
      <c r="D18" s="18" t="s">
        <v>34</v>
      </c>
      <c r="E18" s="18" t="s">
        <v>35</v>
      </c>
      <c r="F18" s="18" t="s">
        <v>36</v>
      </c>
      <c r="G18" s="18" t="s">
        <v>37</v>
      </c>
      <c r="H18" s="18" t="s">
        <v>38</v>
      </c>
      <c r="K18" s="19" t="s">
        <v>31</v>
      </c>
      <c r="L18" s="19" t="s">
        <v>32</v>
      </c>
      <c r="M18" s="19" t="s">
        <v>33</v>
      </c>
      <c r="N18" s="19" t="s">
        <v>34</v>
      </c>
      <c r="O18" s="19" t="s">
        <v>35</v>
      </c>
      <c r="P18" s="19" t="s">
        <v>36</v>
      </c>
      <c r="Q18" s="19" t="s">
        <v>37</v>
      </c>
      <c r="R18" s="3" t="s">
        <v>39</v>
      </c>
    </row>
    <row r="19" customFormat="false" ht="33.75" hidden="false" customHeight="true" outlineLevel="0" collapsed="false">
      <c r="A19" s="10" t="str">
        <f aca="false">IFERROR(IF(INDEX($K$19:$K$29,MATCH(SMALL($R$19:$R$29,1),$R$19:$R$29,0))="","",INDEX($K$19:$K$29,MATCH(SMALL($R$19:$R$29,1),$R$19:$R$29,0))),"")</f>
        <v>Bergvärme</v>
      </c>
      <c r="B19" s="20" t="str">
        <f aca="false">IFERROR(IF(INDEX($L$19:$L$29,MATCH(SMALL($R$19:$R$29,1),$R$19:$R$29,0))="","",INDEX($L$19:$L$29,MATCH(SMALL($R$19:$R$29,1),$R$19:$R$29,0))),"")</f>
        <v>Nej</v>
      </c>
      <c r="C19" s="21" t="str">
        <f aca="false">IFERROR(IF(INDEX($M$19:$M$29,MATCH(SMALL($R$19:$R$29,1),$R$19:$R$29,0))="","",INDEX($M$19:$M$29,MATCH(SMALL($R$19:$R$29,1),$R$19:$R$29,0))),"")</f>
        <v/>
      </c>
      <c r="D19" s="11" t="str">
        <f aca="false">IFERROR(IF(INDEX($N$19:$N$29,MATCH(SMALL($R$19:$R$29,1),$R$19:$R$29,0))="","",INDEX($N$19:$N$29,MATCH(SMALL($R$19:$R$29,1),$R$19:$R$29,0))),"")</f>
        <v/>
      </c>
      <c r="E19" s="21" t="str">
        <f aca="false">IFERROR(IF(INDEX($O$19:$O$29,MATCH(SMALL($R$19:$R$29,1),$R$19:$R$29,0))="","",INDEX($O$19:$O$29,MATCH(SMALL($R$19:$R$29,1),$R$19:$R$29,0))),"")</f>
        <v/>
      </c>
      <c r="F19" s="22" t="str">
        <f aca="false">IFERROR(IF(INDEX($P$19:$P$29,MATCH(SMALL($R$19:$R$29,1),$R$19:$R$29,0))="","",INDEX($P$19:$P$29,MATCH(SMALL($R$19:$R$29,1),$R$19:$R$29,0))),"")</f>
        <v/>
      </c>
      <c r="G19" s="20" t="str">
        <f aca="false">IFERROR(IF(INDEX($Q$19:$Q$29,MATCH(SMALL($R$19:$R$29,1),$R$19:$R$29,0))="","",INDEX($Q$19:$Q$29,MATCH(SMALL($R$19:$R$29,1),$R$19:$R$29,0))),"")</f>
        <v/>
      </c>
      <c r="H19" s="23" t="s">
        <v>40</v>
      </c>
      <c r="K19" s="24" t="str">
        <f aca="false">'Installera bergvärme'!A1</f>
        <v>Bergvärme</v>
      </c>
      <c r="L19" s="24" t="str">
        <f aca="false">'Installera bergvärme'!B2</f>
        <v>Nej</v>
      </c>
      <c r="M19" s="25" t="str">
        <f aca="false">IFERROR(IF('Installera bergvärme'!B2="Ja",'Installera bergvärme'!D20,""),"")</f>
        <v/>
      </c>
      <c r="N19" s="26" t="str">
        <f aca="false">IFERROR(IF('Installera bergvärme'!B2="Ja",'Installera bergvärme'!C35-'Installera bergvärme'!D35,""),"")</f>
        <v/>
      </c>
      <c r="O19" s="25" t="str">
        <f aca="false">IFERROR(IF('Installera bergvärme'!B2="Ja",'Installera bergvärme'!C34-'Installera bergvärme'!D34,""),"")</f>
        <v/>
      </c>
      <c r="P19" s="27" t="str">
        <f aca="false">IFERROR(IF('Installera bergvärme'!B2="Ja",'Installera bergvärme'!E6,""),"")</f>
        <v/>
      </c>
      <c r="Q19" s="28" t="str">
        <f aca="false">IFERROR(IF('Installera bergvärme'!B2="Ja",'Installera bergvärme'!D43,""),"")</f>
        <v/>
      </c>
      <c r="R19" s="29" t="n">
        <f aca="false">IF(L19="Ja",IF(AND(ISNUMBER(P19),N(P19)&gt;=0),P19,1000000),2000000)+ROW()/1000000</f>
        <v>2000000.000019</v>
      </c>
    </row>
    <row r="20" customFormat="false" ht="69" hidden="false" customHeight="true" outlineLevel="0" collapsed="false">
      <c r="A20" s="10" t="str">
        <f aca="false">IFERROR(IF(INDEX($K$19:$K$29,MATCH(SMALL($R$19:$R$29,2),$R$19:$R$29,0))="","",INDEX($K$19:$K$29,MATCH(SMALL($R$19:$R$29,2),$R$19:$R$29,0))),"")</f>
        <v>Injustering av värmesystem</v>
      </c>
      <c r="B20" s="20" t="str">
        <f aca="false">IFERROR(IF(INDEX($L$19:$L$29,MATCH(SMALL($R$19:$R$29,2),$R$19:$R$29,0))="","",INDEX($L$19:$L$29,MATCH(SMALL($R$19:$R$29,2),$R$19:$R$29,0))),"")</f>
        <v>Nej</v>
      </c>
      <c r="C20" s="21" t="str">
        <f aca="false">IFERROR(IF(INDEX($M$19:$M$29,MATCH(SMALL($R$19:$R$29,2),$R$19:$R$29,0))="","",INDEX($M$19:$M$29,MATCH(SMALL($R$19:$R$29,2),$R$19:$R$29,0))),"")</f>
        <v/>
      </c>
      <c r="D20" s="11" t="str">
        <f aca="false">IFERROR(IF(INDEX($N$19:$N$29,MATCH(SMALL($R$19:$R$29,2),$R$19:$R$29,0))="","",INDEX($N$19:$N$29,MATCH(SMALL($R$19:$R$29,2),$R$19:$R$29,0))),"")</f>
        <v/>
      </c>
      <c r="E20" s="21" t="str">
        <f aca="false">IFERROR(IF(INDEX($O$19:$O$29,MATCH(SMALL($R$19:$R$29,2),$R$19:$R$29,0))="","",INDEX($O$19:$O$29,MATCH(SMALL($R$19:$R$29,2),$R$19:$R$29,0))),"")</f>
        <v/>
      </c>
      <c r="F20" s="22" t="str">
        <f aca="false">IFERROR(IF(INDEX($P$19:$P$29,MATCH(SMALL($R$19:$R$29,2),$R$19:$R$29,0))="","",INDEX($P$19:$P$29,MATCH(SMALL($R$19:$R$29,2),$R$19:$R$29,0))),"")</f>
        <v/>
      </c>
      <c r="G20" s="20" t="str">
        <f aca="false">IFERROR(IF(INDEX($Q$19:$Q$29,MATCH(SMALL($R$19:$R$29,2),$R$19:$R$29,0))="","",INDEX($Q$19:$Q$29,MATCH(SMALL($R$19:$R$29,2),$R$19:$R$29,0))),"")</f>
        <v/>
      </c>
      <c r="H20" s="23" t="s">
        <v>41</v>
      </c>
      <c r="K20" s="24" t="str">
        <f aca="false">'Injustering av värmesystem'!A1</f>
        <v>Injustering av värmesystem</v>
      </c>
      <c r="L20" s="24" t="str">
        <f aca="false">'Injustering av värmesystem'!B2</f>
        <v>Nej</v>
      </c>
      <c r="M20" s="25" t="str">
        <f aca="false">IFERROR(IF('Injustering av värmesystem'!B2="Ja",'Injustering av värmesystem'!D20,""),"")</f>
        <v/>
      </c>
      <c r="N20" s="26" t="str">
        <f aca="false">IFERROR(IF('Injustering av värmesystem'!B2="Ja",'Injustering av värmesystem'!C35-'Injustering av värmesystem'!D35,""),"")</f>
        <v/>
      </c>
      <c r="O20" s="25" t="str">
        <f aca="false">IFERROR(IF('Injustering av värmesystem'!B2="Ja",'Injustering av värmesystem'!C34-'Injustering av värmesystem'!D34,""),"")</f>
        <v/>
      </c>
      <c r="P20" s="27" t="str">
        <f aca="false">IFERROR(IF('Injustering av värmesystem'!B2="Ja",'Injustering av värmesystem'!E6,""),"")</f>
        <v/>
      </c>
      <c r="Q20" s="28" t="str">
        <f aca="false">IFERROR(IF('Injustering av värmesystem'!B2="Ja",'Injustering av värmesystem'!D43,""),"")</f>
        <v/>
      </c>
      <c r="R20" s="29" t="n">
        <f aca="false">IF(L20="Ja",IF(AND(ISNUMBER(P20),N(P20)&gt;=0),P20,1000000),2000000)+ROW()/1000000</f>
        <v>2000000.00002</v>
      </c>
    </row>
    <row r="21" customFormat="false" ht="15" hidden="false" customHeight="true" outlineLevel="0" collapsed="false">
      <c r="A21" s="10" t="str">
        <f aca="false">IFERROR(IF(INDEX($K$19:$K$29,MATCH(SMALL($R$19:$R$29,3),$R$19:$R$29,0))="","",INDEX($K$19:$K$29,MATCH(SMALL($R$19:$R$29,3),$R$19:$R$29,0))),"")</f>
        <v>Byte styrsystem för värme</v>
      </c>
      <c r="B21" s="20" t="str">
        <f aca="false">IFERROR(IF(INDEX($L$19:$L$29,MATCH(SMALL($R$19:$R$29,3),$R$19:$R$29,0))="","",INDEX($L$19:$L$29,MATCH(SMALL($R$19:$R$29,3),$R$19:$R$29,0))),"")</f>
        <v>Nej</v>
      </c>
      <c r="C21" s="21" t="str">
        <f aca="false">IFERROR(IF(INDEX($M$19:$M$29,MATCH(SMALL($R$19:$R$29,3),$R$19:$R$29,0))="","",INDEX($M$19:$M$29,MATCH(SMALL($R$19:$R$29,3),$R$19:$R$29,0))),"")</f>
        <v/>
      </c>
      <c r="D21" s="11" t="str">
        <f aca="false">IFERROR(IF(INDEX($N$19:$N$29,MATCH(SMALL($R$19:$R$29,3),$R$19:$R$29,0))="","",INDEX($N$19:$N$29,MATCH(SMALL($R$19:$R$29,3),$R$19:$R$29,0))),"")</f>
        <v/>
      </c>
      <c r="E21" s="21" t="str">
        <f aca="false">IFERROR(IF(INDEX($O$19:$O$29,MATCH(SMALL($R$19:$R$29,3),$R$19:$R$29,0))="","",INDEX($O$19:$O$29,MATCH(SMALL($R$19:$R$29,3),$R$19:$R$29,0))),"")</f>
        <v/>
      </c>
      <c r="F21" s="22" t="str">
        <f aca="false">IFERROR(IF(INDEX($P$19:$P$29,MATCH(SMALL($R$19:$R$29,3),$R$19:$R$29,0))="","",INDEX($P$19:$P$29,MATCH(SMALL($R$19:$R$29,3),$R$19:$R$29,0))),"")</f>
        <v/>
      </c>
      <c r="G21" s="20" t="str">
        <f aca="false">IFERROR(IF(INDEX($Q$19:$Q$29,MATCH(SMALL($R$19:$R$29,3),$R$19:$R$29,0))="","",INDEX($Q$19:$Q$29,MATCH(SMALL($R$19:$R$29,3),$R$19:$R$29,0))),"")</f>
        <v/>
      </c>
      <c r="K21" s="24" t="str">
        <f aca="false">'Styrsystem för värme'!A1</f>
        <v>Byte styrsystem för värme</v>
      </c>
      <c r="L21" s="24" t="str">
        <f aca="false">'Styrsystem för värme'!B2</f>
        <v>Nej</v>
      </c>
      <c r="M21" s="25" t="str">
        <f aca="false">IFERROR(IF('Styrsystem för värme'!B2="Ja",'Styrsystem för värme'!D20,""),"")</f>
        <v/>
      </c>
      <c r="N21" s="26" t="str">
        <f aca="false">IFERROR(IF('Styrsystem för värme'!B2="Ja",'Styrsystem för värme'!C35-'Styrsystem för värme'!D35,""),"")</f>
        <v/>
      </c>
      <c r="O21" s="25" t="str">
        <f aca="false">IFERROR(IF('Styrsystem för värme'!B2="Ja",'Styrsystem för värme'!C34-'Styrsystem för värme'!D34,""),"")</f>
        <v/>
      </c>
      <c r="P21" s="27" t="str">
        <f aca="false">IFERROR(IF('Styrsystem för värme'!B2="Ja",'Styrsystem för värme'!E6,""),"")</f>
        <v/>
      </c>
      <c r="Q21" s="28" t="str">
        <f aca="false">IFERROR(IF('Styrsystem för värme'!B2="Ja",'Styrsystem för värme'!D43,""),"")</f>
        <v/>
      </c>
      <c r="R21" s="29" t="n">
        <f aca="false">IF(L21="Ja",IF(AND(ISNUMBER(P21),N(P21)&gt;=0),P21,1000000),2000000)+ROW()/1000000</f>
        <v>2000000.000021</v>
      </c>
    </row>
    <row r="22" customFormat="false" ht="15" hidden="false" customHeight="true" outlineLevel="0" collapsed="false">
      <c r="A22" s="10" t="str">
        <f aca="false">IFERROR(IF(INDEX($K$19:$K$29,MATCH(SMALL($R$19:$R$29,4),$R$19:$R$29,0))="","",INDEX($K$19:$K$29,MATCH(SMALL($R$19:$R$29,4),$R$19:$R$29,0))),"")</f>
        <v>Tilläggisolering av vindbjälklaget</v>
      </c>
      <c r="B22" s="20" t="str">
        <f aca="false">IFERROR(IF(INDEX($L$19:$L$29,MATCH(SMALL($R$19:$R$29,4),$R$19:$R$29,0))="","",INDEX($L$19:$L$29,MATCH(SMALL($R$19:$R$29,4),$R$19:$R$29,0))),"")</f>
        <v>Nej</v>
      </c>
      <c r="C22" s="21" t="str">
        <f aca="false">IFERROR(IF(INDEX($M$19:$M$29,MATCH(SMALL($R$19:$R$29,4),$R$19:$R$29,0))="","",INDEX($M$19:$M$29,MATCH(SMALL($R$19:$R$29,4),$R$19:$R$29,0))),"")</f>
        <v/>
      </c>
      <c r="D22" s="11" t="str">
        <f aca="false">IFERROR(IF(INDEX($N$19:$N$29,MATCH(SMALL($R$19:$R$29,4),$R$19:$R$29,0))="","",INDEX($N$19:$N$29,MATCH(SMALL($R$19:$R$29,4),$R$19:$R$29,0))),"")</f>
        <v/>
      </c>
      <c r="E22" s="21" t="str">
        <f aca="false">IFERROR(IF(INDEX($O$19:$O$29,MATCH(SMALL($R$19:$R$29,4),$R$19:$R$29,0))="","",INDEX($O$19:$O$29,MATCH(SMALL($R$19:$R$29,4),$R$19:$R$29,0))),"")</f>
        <v/>
      </c>
      <c r="F22" s="22" t="str">
        <f aca="false">IFERROR(IF(INDEX($P$19:$P$29,MATCH(SMALL($R$19:$R$29,4),$R$19:$R$29,0))="","",INDEX($P$19:$P$29,MATCH(SMALL($R$19:$R$29,4),$R$19:$R$29,0))),"")</f>
        <v/>
      </c>
      <c r="G22" s="20" t="str">
        <f aca="false">IFERROR(IF(INDEX($Q$19:$Q$29,MATCH(SMALL($R$19:$R$29,4),$R$19:$R$29,0))="","",INDEX($Q$19:$Q$29,MATCH(SMALL($R$19:$R$29,4),$R$19:$R$29,0))),"")</f>
        <v/>
      </c>
      <c r="K22" s="24" t="str">
        <f aca="false">'Tilläggisolering av vindsbjälk'!A1</f>
        <v>Tilläggisolering av vindbjälklaget</v>
      </c>
      <c r="L22" s="24" t="str">
        <f aca="false">'Tilläggisolering av vindsbjälk'!B2</f>
        <v>Nej</v>
      </c>
      <c r="M22" s="25" t="str">
        <f aca="false">IFERROR(IF('Tilläggisolering av vindsbjälk'!B2="Ja",'Tilläggisolering av vindsbjälk'!D20,""),"")</f>
        <v/>
      </c>
      <c r="N22" s="26" t="str">
        <f aca="false">IFERROR(IF('Tilläggisolering av vindsbjälk'!B2="Ja",'Tilläggisolering av vindsbjälk'!C35-'Tilläggisolering av vindsbjälk'!D35,""),"")</f>
        <v/>
      </c>
      <c r="O22" s="25" t="str">
        <f aca="false">IFERROR(IF('Tilläggisolering av vindsbjälk'!B2="Ja",'Tilläggisolering av vindsbjälk'!C34-'Tilläggisolering av vindsbjälk'!D34,""),"")</f>
        <v/>
      </c>
      <c r="P22" s="27" t="str">
        <f aca="false">IFERROR(IF('Tilläggisolering av vindsbjälk'!B2="Ja",'Tilläggisolering av vindsbjälk'!E6,""),"")</f>
        <v/>
      </c>
      <c r="Q22" s="28" t="str">
        <f aca="false">IFERROR(IF('Tilläggisolering av vindsbjälk'!B2="Ja",'Tilläggisolering av vindsbjälk'!D43,""),"")</f>
        <v/>
      </c>
      <c r="R22" s="29" t="n">
        <f aca="false">IF(L22="Ja",IF(AND(ISNUMBER(P22),N(P22)&gt;=0),P22,1000000),2000000)+ROW()/1000000</f>
        <v>2000000.000022</v>
      </c>
    </row>
    <row r="23" customFormat="false" ht="15" hidden="false" customHeight="true" outlineLevel="0" collapsed="false">
      <c r="A23" s="10" t="str">
        <f aca="false">IFERROR(IF(INDEX($K$19:$K$29,MATCH(SMALL($R$19:$R$29,5),$R$19:$R$29,0))="","",INDEX($K$19:$K$29,MATCH(SMALL($R$19:$R$29,5),$R$19:$R$29,0))),"")</f>
        <v>Byte av fönster</v>
      </c>
      <c r="B23" s="20" t="str">
        <f aca="false">IFERROR(IF(INDEX($L$19:$L$29,MATCH(SMALL($R$19:$R$29,5),$R$19:$R$29,0))="","",INDEX($L$19:$L$29,MATCH(SMALL($R$19:$R$29,5),$R$19:$R$29,0))),"")</f>
        <v>Nej</v>
      </c>
      <c r="C23" s="21" t="str">
        <f aca="false">IFERROR(IF(INDEX($M$19:$M$29,MATCH(SMALL($R$19:$R$29,5),$R$19:$R$29,0))="","",INDEX($M$19:$M$29,MATCH(SMALL($R$19:$R$29,5),$R$19:$R$29,0))),"")</f>
        <v/>
      </c>
      <c r="D23" s="11" t="str">
        <f aca="false">IFERROR(IF(INDEX($N$19:$N$29,MATCH(SMALL($R$19:$R$29,5),$R$19:$R$29,0))="","",INDEX($N$19:$N$29,MATCH(SMALL($R$19:$R$29,5),$R$19:$R$29,0))),"")</f>
        <v/>
      </c>
      <c r="E23" s="21" t="str">
        <f aca="false">IFERROR(IF(INDEX($O$19:$O$29,MATCH(SMALL($R$19:$R$29,5),$R$19:$R$29,0))="","",INDEX($O$19:$O$29,MATCH(SMALL($R$19:$R$29,5),$R$19:$R$29,0))),"")</f>
        <v/>
      </c>
      <c r="F23" s="22" t="str">
        <f aca="false">IFERROR(IF(INDEX($P$19:$P$29,MATCH(SMALL($R$19:$R$29,5),$R$19:$R$29,0))="","",INDEX($P$19:$P$29,MATCH(SMALL($R$19:$R$29,5),$R$19:$R$29,0))),"")</f>
        <v/>
      </c>
      <c r="G23" s="20" t="str">
        <f aca="false">IFERROR(IF(INDEX($Q$19:$Q$29,MATCH(SMALL($R$19:$R$29,5),$R$19:$R$29,0))="","",INDEX($Q$19:$Q$29,MATCH(SMALL($R$19:$R$29,5),$R$19:$R$29,0))),"")</f>
        <v/>
      </c>
      <c r="K23" s="24" t="str">
        <f aca="false">'Byte fönster'!A1</f>
        <v>Byte av fönster</v>
      </c>
      <c r="L23" s="24" t="str">
        <f aca="false">'Byte fönster'!B2</f>
        <v>Nej</v>
      </c>
      <c r="M23" s="25" t="str">
        <f aca="false">IFERROR(IF('Byte fönster'!B2="Ja",'Byte fönster'!D20,""),"")</f>
        <v/>
      </c>
      <c r="N23" s="26" t="str">
        <f aca="false">IFERROR(IF('Byte fönster'!B2="Ja",'Byte fönster'!C35-'Byte fönster'!D35,""),"")</f>
        <v/>
      </c>
      <c r="O23" s="25" t="str">
        <f aca="false">IFERROR(IF('Byte fönster'!B2="Ja",'Byte fönster'!C34-'Byte fönster'!D34,""),"")</f>
        <v/>
      </c>
      <c r="P23" s="27" t="str">
        <f aca="false">IFERROR(IF('Byte fönster'!B2="Ja",'Byte fönster'!E6,""),"")</f>
        <v/>
      </c>
      <c r="Q23" s="28" t="str">
        <f aca="false">IFERROR(IF('Byte fönster'!B2="Ja",'Byte fönster'!D43,""),"")</f>
        <v/>
      </c>
      <c r="R23" s="29" t="n">
        <f aca="false">IF(L23="Ja",IF(AND(ISNUMBER(P23),N(P23)&gt;=0),P23,1000000),2000000)+ROW()/1000000</f>
        <v>2000000.000023</v>
      </c>
    </row>
    <row r="24" customFormat="false" ht="15" hidden="false" customHeight="true" outlineLevel="0" collapsed="false">
      <c r="A24" s="10" t="str">
        <f aca="false">IFERROR(IF(INDEX($K$19:$K$29,MATCH(SMALL($R$19:$R$29,6),$R$19:$R$29,0))="","",INDEX($K$19:$K$29,MATCH(SMALL($R$19:$R$29,6),$R$19:$R$29,0))),"")</f>
        <v>Tilläggisolering av fasader</v>
      </c>
      <c r="B24" s="20" t="str">
        <f aca="false">IFERROR(IF(INDEX($L$19:$L$29,MATCH(SMALL($R$19:$R$29,6),$R$19:$R$29,0))="","",INDEX($L$19:$L$29,MATCH(SMALL($R$19:$R$29,6),$R$19:$R$29,0))),"")</f>
        <v>Nej</v>
      </c>
      <c r="C24" s="21" t="str">
        <f aca="false">IFERROR(IF(INDEX($M$19:$M$29,MATCH(SMALL($R$19:$R$29,6),$R$19:$R$29,0))="","",INDEX($M$19:$M$29,MATCH(SMALL($R$19:$R$29,6),$R$19:$R$29,0))),"")</f>
        <v/>
      </c>
      <c r="D24" s="11" t="str">
        <f aca="false">IFERROR(IF(INDEX($N$19:$N$29,MATCH(SMALL($R$19:$R$29,6),$R$19:$R$29,0))="","",INDEX($N$19:$N$29,MATCH(SMALL($R$19:$R$29,6),$R$19:$R$29,0))),"")</f>
        <v/>
      </c>
      <c r="E24" s="21" t="str">
        <f aca="false">IFERROR(IF(INDEX($O$19:$O$29,MATCH(SMALL($R$19:$R$29,6),$R$19:$R$29,0))="","",INDEX($O$19:$O$29,MATCH(SMALL($R$19:$R$29,6),$R$19:$R$29,0))),"")</f>
        <v/>
      </c>
      <c r="F24" s="22" t="str">
        <f aca="false">IFERROR(IF(INDEX($P$19:$P$29,MATCH(SMALL($R$19:$R$29,6),$R$19:$R$29,0))="","",INDEX($P$19:$P$29,MATCH(SMALL($R$19:$R$29,6),$R$19:$R$29,0))),"")</f>
        <v/>
      </c>
      <c r="G24" s="20" t="str">
        <f aca="false">IFERROR(IF(INDEX($Q$19:$Q$29,MATCH(SMALL($R$19:$R$29,6),$R$19:$R$29,0))="","",INDEX($Q$19:$Q$29,MATCH(SMALL($R$19:$R$29,6),$R$19:$R$29,0))),"")</f>
        <v/>
      </c>
      <c r="K24" s="24" t="str">
        <f aca="false">'Tilläggisol fasad'!A1</f>
        <v>Tilläggisolering av fasader</v>
      </c>
      <c r="L24" s="24" t="str">
        <f aca="false">'Tilläggisol fasad'!B2</f>
        <v>Nej</v>
      </c>
      <c r="M24" s="25" t="str">
        <f aca="false">IFERROR(IF('Tilläggisol fasad'!B2="Ja",'Tilläggisol fasad'!D20,""),"")</f>
        <v/>
      </c>
      <c r="N24" s="26" t="str">
        <f aca="false">IFERROR(IF('Tilläggisol fasad'!B2="Ja",'Tilläggisol fasad'!C35-'Tilläggisol fasad'!D35,""),"")</f>
        <v/>
      </c>
      <c r="O24" s="25" t="str">
        <f aca="false">IFERROR(IF('Tilläggisol fasad'!B2="Ja",'Tilläggisol fasad'!C34-'Tilläggisol fasad'!D34,""),"")</f>
        <v/>
      </c>
      <c r="P24" s="27" t="str">
        <f aca="false">IFERROR(IF('Tilläggisol fasad'!B2="Ja",'Tilläggisol fasad'!E6,""),"")</f>
        <v/>
      </c>
      <c r="Q24" s="28" t="str">
        <f aca="false">IFERROR(IF('Tilläggisol fasad'!B2="Ja",'Tilläggisol fasad'!D43,""),"")</f>
        <v/>
      </c>
      <c r="R24" s="29" t="n">
        <f aca="false">IF(L24="Ja",IF(AND(ISNUMBER(P24),N(P24)&gt;=0),P24,1000000),2000000)+ROW()/1000000</f>
        <v>2000000.000024</v>
      </c>
    </row>
    <row r="25" customFormat="false" ht="15" hidden="false" customHeight="true" outlineLevel="0" collapsed="false">
      <c r="A25" s="10" t="str">
        <f aca="false">IFERROR(IF(INDEX($K$19:$K$29,MATCH(SMALL($R$19:$R$29,7),$R$19:$R$29,0))="","",INDEX($K$19:$K$29,MATCH(SMALL($R$19:$R$29,7),$R$19:$R$29,0))),"")</f>
        <v>Installation av frånluftsåtervinning</v>
      </c>
      <c r="B25" s="20" t="str">
        <f aca="false">IFERROR(IF(INDEX($L$19:$L$29,MATCH(SMALL($R$19:$R$29,7),$R$19:$R$29,0))="","",INDEX($L$19:$L$29,MATCH(SMALL($R$19:$R$29,7),$R$19:$R$29,0))),"")</f>
        <v>Nej</v>
      </c>
      <c r="C25" s="21" t="str">
        <f aca="false">IFERROR(IF(INDEX($M$19:$M$29,MATCH(SMALL($R$19:$R$29,7),$R$19:$R$29,0))="","",INDEX($M$19:$M$29,MATCH(SMALL($R$19:$R$29,7),$R$19:$R$29,0))),"")</f>
        <v/>
      </c>
      <c r="D25" s="11" t="str">
        <f aca="false">IFERROR(IF(INDEX($N$19:$N$29,MATCH(SMALL($R$19:$R$29,7),$R$19:$R$29,0))="","",INDEX($N$19:$N$29,MATCH(SMALL($R$19:$R$29,7),$R$19:$R$29,0))),"")</f>
        <v/>
      </c>
      <c r="E25" s="21" t="str">
        <f aca="false">IFERROR(IF(INDEX($O$19:$O$29,MATCH(SMALL($R$19:$R$29,7),$R$19:$R$29,0))="","",INDEX($O$19:$O$29,MATCH(SMALL($R$19:$R$29,7),$R$19:$R$29,0))),"")</f>
        <v/>
      </c>
      <c r="F25" s="22" t="str">
        <f aca="false">IFERROR(IF(INDEX($P$19:$P$29,MATCH(SMALL($R$19:$R$29,7),$R$19:$R$29,0))="","",INDEX($P$19:$P$29,MATCH(SMALL($R$19:$R$29,7),$R$19:$R$29,0))),"")</f>
        <v/>
      </c>
      <c r="G25" s="20" t="str">
        <f aca="false">IFERROR(IF(INDEX($Q$19:$Q$29,MATCH(SMALL($R$19:$R$29,7),$R$19:$R$29,0))="","",INDEX($Q$19:$Q$29,MATCH(SMALL($R$19:$R$29,7),$R$19:$R$29,0))),"")</f>
        <v/>
      </c>
      <c r="K25" s="24" t="str">
        <f aca="false">'Installation F-återvinning'!A1</f>
        <v>Installation av frånluftsåtervinning</v>
      </c>
      <c r="L25" s="24" t="str">
        <f aca="false">'Installation F-återvinning'!B2</f>
        <v>Nej</v>
      </c>
      <c r="M25" s="25" t="str">
        <f aca="false">IFERROR(IF('Installation F-återvinning'!B2="Ja",'Installation F-återvinning'!D20,""),"")</f>
        <v/>
      </c>
      <c r="N25" s="26" t="str">
        <f aca="false">IFERROR(IF('Installation F-återvinning'!B2="Ja",'Installation F-återvinning'!C35-'Installation F-återvinning'!D35,""),"")</f>
        <v/>
      </c>
      <c r="O25" s="25" t="str">
        <f aca="false">IFERROR(IF('Installation F-återvinning'!B2="Ja",'Installation F-återvinning'!C34-'Installation F-återvinning'!D34,""),"")</f>
        <v/>
      </c>
      <c r="P25" s="27" t="str">
        <f aca="false">IFERROR(IF('Installation F-återvinning'!B2="Ja",'Installation F-återvinning'!E6,""),"")</f>
        <v/>
      </c>
      <c r="Q25" s="28" t="str">
        <f aca="false">IFERROR(IF('Installation F-återvinning'!B2="Ja",'Installation F-återvinning'!D43,""),"")</f>
        <v/>
      </c>
      <c r="R25" s="29" t="n">
        <f aca="false">IF(L25="Ja",IF(AND(ISNUMBER(P25),N(P25)&gt;=0),P25,1000000),2000000)+ROW()/1000000</f>
        <v>2000000.000025</v>
      </c>
    </row>
    <row r="26" customFormat="false" ht="15" hidden="false" customHeight="true" outlineLevel="0" collapsed="false">
      <c r="A26" s="10" t="str">
        <f aca="false">IFERROR(IF(INDEX($K$19:$K$29,MATCH(SMALL($R$19:$R$29,8),$R$19:$R$29,0))="","",INDEX($K$19:$K$29,MATCH(SMALL($R$19:$R$29,8),$R$19:$R$29,0))),"")</f>
        <v>Installation av solceller på taket</v>
      </c>
      <c r="B26" s="20" t="str">
        <f aca="false">IFERROR(IF(INDEX($L$19:$L$29,MATCH(SMALL($R$19:$R$29,8),$R$19:$R$29,0))="","",INDEX($L$19:$L$29,MATCH(SMALL($R$19:$R$29,8),$R$19:$R$29,0))),"")</f>
        <v>Nej</v>
      </c>
      <c r="C26" s="21" t="str">
        <f aca="false">IFERROR(IF(INDEX($M$19:$M$29,MATCH(SMALL($R$19:$R$29,8),$R$19:$R$29,0))="","",INDEX($M$19:$M$29,MATCH(SMALL($R$19:$R$29,8),$R$19:$R$29,0))),"")</f>
        <v/>
      </c>
      <c r="D26" s="11" t="str">
        <f aca="false">IFERROR(IF(INDEX($N$19:$N$29,MATCH(SMALL($R$19:$R$29,8),$R$19:$R$29,0))="","",INDEX($N$19:$N$29,MATCH(SMALL($R$19:$R$29,8),$R$19:$R$29,0))),"")</f>
        <v/>
      </c>
      <c r="E26" s="21" t="str">
        <f aca="false">IFERROR(IF(INDEX($O$19:$O$29,MATCH(SMALL($R$19:$R$29,8),$R$19:$R$29,0))="","",INDEX($O$19:$O$29,MATCH(SMALL($R$19:$R$29,8),$R$19:$R$29,0))),"")</f>
        <v/>
      </c>
      <c r="F26" s="22" t="str">
        <f aca="false">IFERROR(IF(INDEX($P$19:$P$29,MATCH(SMALL($R$19:$R$29,8),$R$19:$R$29,0))="","",INDEX($P$19:$P$29,MATCH(SMALL($R$19:$R$29,8),$R$19:$R$29,0))),"")</f>
        <v/>
      </c>
      <c r="G26" s="20" t="str">
        <f aca="false">IFERROR(IF(INDEX($Q$19:$Q$29,MATCH(SMALL($R$19:$R$29,8),$R$19:$R$29,0))="","",INDEX($Q$19:$Q$29,MATCH(SMALL($R$19:$R$29,8),$R$19:$R$29,0))),"")</f>
        <v/>
      </c>
      <c r="K26" s="24" t="str">
        <f aca="false">'Installation av solceller'!A1</f>
        <v>Installation av solceller på taket</v>
      </c>
      <c r="L26" s="24" t="str">
        <f aca="false">'Installation av solceller'!B2</f>
        <v>Nej</v>
      </c>
      <c r="M26" s="25" t="str">
        <f aca="false">IFERROR(IF('Installation av solceller'!B2="Ja",'Installation av solceller'!D20,""),"")</f>
        <v/>
      </c>
      <c r="N26" s="26" t="str">
        <f aca="false">IFERROR(IF('Installation av solceller'!B2="Ja",'Installation av solceller'!C35-'Installation av solceller'!D35,""),"")</f>
        <v/>
      </c>
      <c r="O26" s="25" t="str">
        <f aca="false">IFERROR(IF('Installation av solceller'!B2="Ja",'Installation av solceller'!C34-'Installation av solceller'!D34,""),"")</f>
        <v/>
      </c>
      <c r="P26" s="27" t="str">
        <f aca="false">IFERROR(IF('Installation av solceller'!B2="Ja",'Installation av solceller'!E6,""),"")</f>
        <v/>
      </c>
      <c r="Q26" s="28" t="str">
        <f aca="false">IFERROR(IF('Installation av solceller'!B2="Ja",'Installation av solceller'!D43,""),"")</f>
        <v/>
      </c>
      <c r="R26" s="29" t="n">
        <f aca="false">IF(L26="Ja",IF(AND(ISNUMBER(P26),N(P26)&gt;=0),P26,1000000),2000000)+ROW()/1000000</f>
        <v>2000000.000026</v>
      </c>
    </row>
    <row r="27" customFormat="false" ht="15" hidden="false" customHeight="true" outlineLevel="0" collapsed="false">
      <c r="A27" s="10" t="str">
        <f aca="false">IFERROR(IF(INDEX($K$19:$K$29,MATCH(SMALL($R$19:$R$29,9),$R$19:$R$29,0))="","",INDEX($K$19:$K$29,MATCH(SMALL($R$19:$R$29,9),$R$19:$R$29,0))),"")</f>
        <v>Byte av pump till tryckstyrd med bättre effektivitet</v>
      </c>
      <c r="B27" s="20" t="str">
        <f aca="false">IFERROR(IF(INDEX($L$19:$L$29,MATCH(SMALL($R$19:$R$29,9),$R$19:$R$29,0))="","",INDEX($L$19:$L$29,MATCH(SMALL($R$19:$R$29,9),$R$19:$R$29,0))),"")</f>
        <v>Nej</v>
      </c>
      <c r="C27" s="21" t="str">
        <f aca="false">IFERROR(IF(INDEX($M$19:$M$29,MATCH(SMALL($R$19:$R$29,9),$R$19:$R$29,0))="","",INDEX($M$19:$M$29,MATCH(SMALL($R$19:$R$29,9),$R$19:$R$29,0))),"")</f>
        <v/>
      </c>
      <c r="D27" s="11" t="str">
        <f aca="false">IFERROR(IF(INDEX($N$19:$N$29,MATCH(SMALL($R$19:$R$29,9),$R$19:$R$29,0))="","",INDEX($N$19:$N$29,MATCH(SMALL($R$19:$R$29,9),$R$19:$R$29,0))),"")</f>
        <v/>
      </c>
      <c r="E27" s="21" t="str">
        <f aca="false">IFERROR(IF(INDEX($O$19:$O$29,MATCH(SMALL($R$19:$R$29,9),$R$19:$R$29,0))="","",INDEX($O$19:$O$29,MATCH(SMALL($R$19:$R$29,9),$R$19:$R$29,0))),"")</f>
        <v/>
      </c>
      <c r="F27" s="22" t="str">
        <f aca="false">IFERROR(IF(INDEX($P$19:$P$29,MATCH(SMALL($R$19:$R$29,9),$R$19:$R$29,0))="","",INDEX($P$19:$P$29,MATCH(SMALL($R$19:$R$29,9),$R$19:$R$29,0))),"")</f>
        <v/>
      </c>
      <c r="G27" s="20" t="str">
        <f aca="false">IFERROR(IF(INDEX($Q$19:$Q$29,MATCH(SMALL($R$19:$R$29,9),$R$19:$R$29,0))="","",INDEX($Q$19:$Q$29,MATCH(SMALL($R$19:$R$29,9),$R$19:$R$29,0))),"")</f>
        <v/>
      </c>
      <c r="K27" s="24" t="str">
        <f aca="false">'Byte av pump'!A1</f>
        <v>Byte av pump till tryckstyrd med bättre effektivitet</v>
      </c>
      <c r="L27" s="24" t="str">
        <f aca="false">'Byte av pump'!B2</f>
        <v>Nej</v>
      </c>
      <c r="M27" s="25" t="str">
        <f aca="false">IFERROR(IF('Byte av pump'!B2="Ja",'Byte av pump'!D20,""),"")</f>
        <v/>
      </c>
      <c r="N27" s="26" t="str">
        <f aca="false">IFERROR(IF('Byte av pump'!B2="Ja",'Byte av pump'!C35-'Byte av pump'!D35,""),"")</f>
        <v/>
      </c>
      <c r="O27" s="25" t="str">
        <f aca="false">IFERROR(IF('Byte av pump'!B2="Ja",'Byte av pump'!C34-'Byte av pump'!D34,""),"")</f>
        <v/>
      </c>
      <c r="P27" s="27" t="str">
        <f aca="false">IFERROR(IF('Byte av pump'!B2="Ja",'Byte av pump'!E6,""),"")</f>
        <v/>
      </c>
      <c r="Q27" s="28" t="str">
        <f aca="false">IFERROR(IF('Byte av pump'!B2="Ja",'Byte av pump'!D43,""),"")</f>
        <v/>
      </c>
      <c r="R27" s="29" t="n">
        <f aca="false">IF(L27="Ja",IF(AND(ISNUMBER(P27),N(P27)&gt;=0),P27,1000000),2000000)+ROW()/1000000</f>
        <v>2000000.000027</v>
      </c>
    </row>
    <row r="28" customFormat="false" ht="15" hidden="false" customHeight="true" outlineLevel="0" collapsed="false">
      <c r="A28" s="10" t="str">
        <f aca="false">IFERROR(IF(INDEX($K$19:$K$29,MATCH(SMALL($R$19:$R$29,10),$R$19:$R$29,0))="","",INDEX($K$19:$K$29,MATCH(SMALL($R$19:$R$29,10),$R$19:$R$29,0))),"")</f>
        <v>Byte av fläktar till tryckstyrd med bättre effektivitet</v>
      </c>
      <c r="B28" s="20" t="str">
        <f aca="false">IFERROR(IF(INDEX($L$19:$L$29,MATCH(SMALL($R$19:$R$29,10),$R$19:$R$29,0))="","",INDEX($L$19:$L$29,MATCH(SMALL($R$19:$R$29,10),$R$19:$R$29,0))),"")</f>
        <v>Nej</v>
      </c>
      <c r="C28" s="21" t="str">
        <f aca="false">IFERROR(IF(INDEX($M$19:$M$29,MATCH(SMALL($R$19:$R$29,10),$R$19:$R$29,0))="","",INDEX($M$19:$M$29,MATCH(SMALL($R$19:$R$29,10),$R$19:$R$29,0))),"")</f>
        <v/>
      </c>
      <c r="D28" s="11" t="str">
        <f aca="false">IFERROR(IF(INDEX($N$19:$N$29,MATCH(SMALL($R$19:$R$29,10),$R$19:$R$29,0))="","",INDEX($N$19:$N$29,MATCH(SMALL($R$19:$R$29,10),$R$19:$R$29,0))),"")</f>
        <v/>
      </c>
      <c r="E28" s="21" t="str">
        <f aca="false">IFERROR(IF(INDEX($O$19:$O$29,MATCH(SMALL($R$19:$R$29,10),$R$19:$R$29,0))="","",INDEX($O$19:$O$29,MATCH(SMALL($R$19:$R$29,10),$R$19:$R$29,0))),"")</f>
        <v/>
      </c>
      <c r="F28" s="22" t="str">
        <f aca="false">IFERROR(IF(INDEX($P$19:$P$29,MATCH(SMALL($R$19:$R$29,10),$R$19:$R$29,0))="","",INDEX($P$19:$P$29,MATCH(SMALL($R$19:$R$29,10),$R$19:$R$29,0))),"")</f>
        <v/>
      </c>
      <c r="G28" s="20" t="str">
        <f aca="false">IFERROR(IF(INDEX($Q$19:$Q$29,MATCH(SMALL($R$19:$R$29,10),$R$19:$R$29,0))="","",INDEX($Q$19:$Q$29,MATCH(SMALL($R$19:$R$29,10),$R$19:$R$29,0))),"")</f>
        <v/>
      </c>
      <c r="K28" s="24" t="str">
        <f aca="false">'Byte av fläkt'!A1</f>
        <v>Byte av fläktar till tryckstyrd med bättre effektivitet</v>
      </c>
      <c r="L28" s="24" t="str">
        <f aca="false">'Byte av fläkt'!B2</f>
        <v>Nej</v>
      </c>
      <c r="M28" s="25" t="str">
        <f aca="false">IFERROR(IF('Byte av fläkt'!B2="Ja",'Byte av fläkt'!D20,""),"")</f>
        <v/>
      </c>
      <c r="N28" s="26" t="str">
        <f aca="false">IFERROR(IF('Byte av fläkt'!B2="Ja",'Byte av fläkt'!C35-'Byte av fläkt'!D35,""),"")</f>
        <v/>
      </c>
      <c r="O28" s="25" t="str">
        <f aca="false">IFERROR(IF('Byte av fläkt'!B2="Ja",'Byte av fläkt'!C34-'Byte av fläkt'!D34,""),"")</f>
        <v/>
      </c>
      <c r="P28" s="27" t="str">
        <f aca="false">IFERROR(IF('Byte av fläkt'!B2="Ja",'Byte av fläkt'!E6,""),"")</f>
        <v/>
      </c>
      <c r="Q28" s="28" t="str">
        <f aca="false">IFERROR(IF('Byte av fläkt'!B2="Ja",'Byte av fläkt'!D43,""),"")</f>
        <v/>
      </c>
      <c r="R28" s="29" t="n">
        <f aca="false">IF(L28="Ja",IF(AND(ISNUMBER(P28),N(P28)&gt;=0),P28,1000000),2000000)+ROW()/1000000</f>
        <v>2000000.000028</v>
      </c>
    </row>
    <row r="29" customFormat="false" ht="15" hidden="false" customHeight="true" outlineLevel="0" collapsed="false">
      <c r="A29" s="10" t="str">
        <f aca="false">IFERROR(IF(INDEX($K$19:$K$29,MATCH(SMALL($R$19:$R$29,11),$R$19:$R$29,0))="","",INDEX($K$19:$K$29,MATCH(SMALL($R$19:$R$29,11),$R$19:$R$29,0))),"")</f>
        <v>Övrig åtgärd</v>
      </c>
      <c r="B29" s="20" t="str">
        <f aca="false">IFERROR(IF(INDEX($L$19:$L$29,MATCH(SMALL($R$19:$R$29,11),$R$19:$R$29,0))="","",INDEX($L$19:$L$29,MATCH(SMALL($R$19:$R$29,11),$R$19:$R$29,0))),"")</f>
        <v>Nej</v>
      </c>
      <c r="C29" s="21" t="str">
        <f aca="false">IFERROR(IF(INDEX($M$19:$M$29,MATCH(SMALL($R$19:$R$29,11),$R$19:$R$29,0))="","",INDEX($M$19:$M$29,MATCH(SMALL($R$19:$R$29,11),$R$19:$R$29,0))),"")</f>
        <v/>
      </c>
      <c r="D29" s="11" t="str">
        <f aca="false">IFERROR(IF(INDEX($N$19:$N$29,MATCH(SMALL($R$19:$R$29,11),$R$19:$R$29,0))="","",INDEX($N$19:$N$29,MATCH(SMALL($R$19:$R$29,11),$R$19:$R$29,0))),"")</f>
        <v/>
      </c>
      <c r="E29" s="21" t="str">
        <f aca="false">IFERROR(IF(INDEX($O$19:$O$29,MATCH(SMALL($R$19:$R$29,11),$R$19:$R$29,0))="","",INDEX($O$19:$O$29,MATCH(SMALL($R$19:$R$29,11),$R$19:$R$29,0))),"")</f>
        <v/>
      </c>
      <c r="F29" s="22" t="str">
        <f aca="false">IFERROR(IF(INDEX($P$19:$P$29,MATCH(SMALL($R$19:$R$29,11),$R$19:$R$29,0))="","",INDEX($P$19:$P$29,MATCH(SMALL($R$19:$R$29,11),$R$19:$R$29,0))),"")</f>
        <v/>
      </c>
      <c r="G29" s="20" t="str">
        <f aca="false">IFERROR(IF(INDEX($Q$19:$Q$29,MATCH(SMALL($R$19:$R$29,11),$R$19:$R$29,0))="","",INDEX($Q$19:$Q$29,MATCH(SMALL($R$19:$R$29,11),$R$19:$R$29,0))),"")</f>
        <v/>
      </c>
      <c r="K29" s="24" t="str">
        <f aca="false">'Övrig åtgärd'!A1</f>
        <v>Övrig åtgärd</v>
      </c>
      <c r="L29" s="24" t="str">
        <f aca="false">'Övrig åtgärd'!B2</f>
        <v>Nej</v>
      </c>
      <c r="M29" s="25" t="str">
        <f aca="false">IFERROR(IF('Övrig åtgärd'!B2="Ja",'Övrig åtgärd'!D20,""),"")</f>
        <v/>
      </c>
      <c r="N29" s="26" t="str">
        <f aca="false">IFERROR(IF('Övrig åtgärd'!B2="Ja",'Övrig åtgärd'!C35-'Övrig åtgärd'!D35,""),"")</f>
        <v/>
      </c>
      <c r="O29" s="25" t="str">
        <f aca="false">IFERROR(IF('Övrig åtgärd'!B2="Ja",'Övrig åtgärd'!C34-'Övrig åtgärd'!D34,""),"")</f>
        <v/>
      </c>
      <c r="P29" s="27" t="str">
        <f aca="false">IFERROR(IF('Övrig åtgärd'!B2="Ja",'Övrig åtgärd'!E6,""),"")</f>
        <v/>
      </c>
      <c r="Q29" s="28" t="str">
        <f aca="false">IFERROR(IF('Övrig åtgärd'!B2="Ja",'Övrig åtgärd'!D43,""),"")</f>
        <v/>
      </c>
      <c r="R29" s="29" t="n">
        <f aca="false">IF(L29="Ja",IF(AND(ISNUMBER(P29),N(P29)&gt;=0),P29,1000000),2000000)+ROW()/1000000</f>
        <v>2000000.000029</v>
      </c>
    </row>
    <row r="30" customFormat="false" ht="15" hidden="false" customHeight="true" outlineLevel="0" collapsed="false">
      <c r="A30" s="13" t="s">
        <v>42</v>
      </c>
      <c r="B30" s="30"/>
      <c r="C30" s="31" t="n">
        <f aca="false">SUM(C19:C29)</f>
        <v>0</v>
      </c>
      <c r="D30" s="14" t="n">
        <f aca="false">SUM(D19:D29)</f>
        <v>0</v>
      </c>
      <c r="E30" s="31" t="n">
        <f aca="false">SUM(E19:E29)</f>
        <v>0</v>
      </c>
      <c r="F30" s="30"/>
      <c r="G30" s="3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2" topLeftCell="C28" activePane="bottomRight" state="frozen"/>
      <selection pane="topLeft" activeCell="A1" activeCellId="0" sqref="A1"/>
      <selection pane="topRight" activeCell="C1" activeCellId="0" sqref="C1"/>
      <selection pane="bottomLeft" activeCell="A28" activeCellId="0" sqref="A28"/>
      <selection pane="bottomRight" activeCell="D48" activeCellId="0" sqref="D48"/>
    </sheetView>
  </sheetViews>
  <sheetFormatPr defaultColWidth="8.7109375" defaultRowHeight="15" zeroHeight="false" outlineLevelRow="0" outlineLevelCol="0"/>
  <cols>
    <col collapsed="false" customWidth="true" hidden="false" outlineLevel="0" max="1" min="1" style="1" width="46"/>
    <col collapsed="false" customWidth="true" hidden="false" outlineLevel="0" max="2" min="2" style="1" width="4"/>
    <col collapsed="false" customWidth="true" hidden="false" outlineLevel="0" max="9" min="3" style="1" width="14"/>
  </cols>
  <sheetData>
    <row r="1" customFormat="false" ht="21.75" hidden="false" customHeight="true" outlineLevel="0" collapsed="false">
      <c r="A1" s="2" t="s">
        <v>43</v>
      </c>
    </row>
    <row r="2" customFormat="false" ht="15" hidden="false" customHeight="true" outlineLevel="0" collapsed="false">
      <c r="A2" s="32" t="s">
        <v>44</v>
      </c>
    </row>
    <row r="4" customFormat="false" ht="15" hidden="false" customHeight="true" outlineLevel="0" collapsed="false">
      <c r="A4" s="33" t="s">
        <v>45</v>
      </c>
    </row>
    <row r="5" customFormat="false" ht="15" hidden="false" customHeight="true" outlineLevel="0" collapsed="false">
      <c r="A5" s="24" t="s">
        <v>46</v>
      </c>
      <c r="C5" s="34"/>
      <c r="D5" s="34"/>
      <c r="E5" s="34"/>
    </row>
    <row r="6" customFormat="false" ht="15" hidden="false" customHeight="true" outlineLevel="0" collapsed="false">
      <c r="A6" s="24" t="s">
        <v>47</v>
      </c>
      <c r="C6" s="34" t="s">
        <v>48</v>
      </c>
    </row>
    <row r="7" customFormat="false" ht="15" hidden="false" customHeight="true" outlineLevel="0" collapsed="false">
      <c r="A7" s="24" t="s">
        <v>49</v>
      </c>
      <c r="C7" s="35" t="n">
        <f aca="false">IFERROR(INDEX('Regler BFS 2026'!$B$30:$B$319,MATCH(C6,'Regler BFS 2026'!$A$30:$A$319,0)),"Välj kommun")</f>
        <v>1</v>
      </c>
    </row>
    <row r="8" customFormat="false" ht="15" hidden="false" customHeight="true" outlineLevel="0" collapsed="false">
      <c r="A8" s="24" t="s">
        <v>50</v>
      </c>
      <c r="C8" s="36"/>
    </row>
    <row r="9" customFormat="false" ht="15" hidden="false" customHeight="true" outlineLevel="0" collapsed="false">
      <c r="A9" s="24" t="s">
        <v>51</v>
      </c>
      <c r="C9" s="36"/>
    </row>
    <row r="10" customFormat="false" ht="15" hidden="false" customHeight="true" outlineLevel="0" collapsed="false">
      <c r="A10" s="24" t="s">
        <v>52</v>
      </c>
      <c r="C10" s="37" t="n">
        <v>1</v>
      </c>
    </row>
    <row r="12" customFormat="false" ht="15.75" hidden="false" customHeight="true" outlineLevel="0" collapsed="false">
      <c r="A12" s="38" t="s">
        <v>13</v>
      </c>
      <c r="B12" s="38"/>
      <c r="C12" s="39" t="s">
        <v>53</v>
      </c>
      <c r="D12" s="39" t="s">
        <v>54</v>
      </c>
      <c r="E12" s="39" t="s">
        <v>55</v>
      </c>
      <c r="F12" s="39" t="s">
        <v>56</v>
      </c>
      <c r="G12" s="39" t="s">
        <v>57</v>
      </c>
      <c r="H12" s="39" t="s">
        <v>58</v>
      </c>
      <c r="I12" s="39" t="s">
        <v>24</v>
      </c>
    </row>
    <row r="13" customFormat="false" ht="15" hidden="false" customHeight="true" outlineLevel="0" collapsed="false">
      <c r="A13" s="24" t="s">
        <v>59</v>
      </c>
      <c r="C13" s="34"/>
      <c r="D13" s="34"/>
      <c r="E13" s="34"/>
      <c r="F13" s="34"/>
      <c r="G13" s="34"/>
      <c r="H13" s="34"/>
    </row>
    <row r="14" customFormat="false" ht="15" hidden="false" customHeight="true" outlineLevel="0" collapsed="false">
      <c r="A14" s="24" t="s">
        <v>14</v>
      </c>
      <c r="C14" s="34"/>
      <c r="D14" s="34"/>
      <c r="E14" s="34"/>
      <c r="F14" s="34"/>
      <c r="G14" s="34"/>
      <c r="H14" s="34"/>
    </row>
    <row r="15" customFormat="false" ht="15" hidden="false" customHeight="true" outlineLevel="0" collapsed="false">
      <c r="A15" s="24" t="s">
        <v>60</v>
      </c>
      <c r="C15" s="34"/>
      <c r="D15" s="34"/>
      <c r="E15" s="34"/>
      <c r="F15" s="34"/>
      <c r="G15" s="34"/>
      <c r="H15" s="34"/>
    </row>
    <row r="16" customFormat="false" ht="15" hidden="false" customHeight="true" outlineLevel="0" collapsed="false">
      <c r="A16" s="24" t="s">
        <v>61</v>
      </c>
      <c r="C16" s="34" t="s">
        <v>62</v>
      </c>
      <c r="D16" s="34" t="s">
        <v>62</v>
      </c>
      <c r="E16" s="34" t="s">
        <v>62</v>
      </c>
      <c r="F16" s="34" t="s">
        <v>62</v>
      </c>
      <c r="G16" s="34" t="s">
        <v>62</v>
      </c>
      <c r="H16" s="34" t="s">
        <v>62</v>
      </c>
    </row>
    <row r="17" customFormat="false" ht="15" hidden="false" customHeight="true" outlineLevel="0" collapsed="false">
      <c r="A17" s="24" t="s">
        <v>63</v>
      </c>
      <c r="C17" s="40"/>
      <c r="D17" s="40"/>
      <c r="E17" s="40"/>
      <c r="F17" s="40"/>
      <c r="G17" s="40"/>
      <c r="H17" s="40"/>
    </row>
    <row r="18" customFormat="false" ht="15" hidden="false" customHeight="true" outlineLevel="0" collapsed="false">
      <c r="A18" s="24" t="s">
        <v>64</v>
      </c>
      <c r="C18" s="40"/>
      <c r="D18" s="40"/>
      <c r="E18" s="40"/>
      <c r="F18" s="40"/>
      <c r="G18" s="40"/>
      <c r="H18" s="40"/>
      <c r="I18" s="41" t="n">
        <f aca="false">SUM(C18:H18)</f>
        <v>0</v>
      </c>
    </row>
    <row r="20" customFormat="false" ht="15" hidden="false" customHeight="true" outlineLevel="0" collapsed="false">
      <c r="A20" s="33" t="s">
        <v>65</v>
      </c>
    </row>
    <row r="21" customFormat="false" ht="15" hidden="false" customHeight="true" outlineLevel="0" collapsed="false">
      <c r="A21" s="3" t="s">
        <v>66</v>
      </c>
      <c r="C21" s="42"/>
      <c r="D21" s="42"/>
      <c r="E21" s="42"/>
      <c r="F21" s="42"/>
      <c r="G21" s="42"/>
      <c r="H21" s="42"/>
      <c r="I21" s="43" t="n">
        <f aca="false">SUM(C21:H21)</f>
        <v>0</v>
      </c>
    </row>
    <row r="23" customFormat="false" ht="15" hidden="false" customHeight="true" outlineLevel="0" collapsed="false">
      <c r="A23" s="33" t="s">
        <v>67</v>
      </c>
    </row>
    <row r="24" customFormat="false" ht="15" hidden="false" customHeight="true" outlineLevel="0" collapsed="false">
      <c r="A24" s="24" t="s">
        <v>68</v>
      </c>
      <c r="C24" s="42"/>
      <c r="D24" s="42"/>
      <c r="E24" s="42"/>
      <c r="F24" s="42"/>
      <c r="G24" s="42"/>
      <c r="H24" s="42"/>
      <c r="I24" s="43" t="n">
        <f aca="false">SUM(C24:H24)</f>
        <v>0</v>
      </c>
    </row>
    <row r="25" customFormat="false" ht="15" hidden="false" customHeight="true" outlineLevel="0" collapsed="false">
      <c r="A25" s="24" t="s">
        <v>69</v>
      </c>
      <c r="C25" s="42"/>
      <c r="D25" s="42"/>
      <c r="E25" s="42"/>
      <c r="F25" s="42"/>
      <c r="G25" s="42"/>
      <c r="H25" s="42"/>
      <c r="I25" s="43" t="n">
        <f aca="false">SUM(C25:H25)</f>
        <v>0</v>
      </c>
    </row>
    <row r="26" customFormat="false" ht="15" hidden="false" customHeight="true" outlineLevel="0" collapsed="false">
      <c r="A26" s="24" t="s">
        <v>70</v>
      </c>
      <c r="C26" s="42"/>
      <c r="D26" s="42"/>
      <c r="E26" s="42"/>
      <c r="F26" s="42"/>
      <c r="G26" s="42"/>
      <c r="H26" s="42"/>
      <c r="I26" s="43" t="n">
        <f aca="false">SUM(C26:H26)</f>
        <v>0</v>
      </c>
    </row>
    <row r="27" customFormat="false" ht="15" hidden="false" customHeight="true" outlineLevel="0" collapsed="false">
      <c r="A27" s="24" t="s">
        <v>71</v>
      </c>
      <c r="C27" s="42"/>
      <c r="D27" s="42"/>
      <c r="E27" s="42"/>
      <c r="F27" s="42"/>
      <c r="G27" s="42"/>
      <c r="H27" s="42"/>
      <c r="I27" s="43" t="n">
        <f aca="false">SUM(C27:H27)</f>
        <v>0</v>
      </c>
    </row>
    <row r="28" customFormat="false" ht="15" hidden="false" customHeight="true" outlineLevel="0" collapsed="false">
      <c r="A28" s="24" t="s">
        <v>72</v>
      </c>
      <c r="C28" s="42"/>
      <c r="D28" s="42"/>
      <c r="E28" s="42"/>
      <c r="F28" s="42"/>
      <c r="G28" s="42"/>
      <c r="H28" s="42"/>
      <c r="I28" s="43" t="n">
        <f aca="false">SUM(C28:H28)</f>
        <v>0</v>
      </c>
    </row>
    <row r="29" customFormat="false" ht="15" hidden="false" customHeight="true" outlineLevel="0" collapsed="false">
      <c r="A29" s="24" t="s">
        <v>73</v>
      </c>
      <c r="C29" s="42"/>
      <c r="D29" s="42"/>
      <c r="E29" s="42"/>
      <c r="F29" s="42"/>
      <c r="G29" s="42"/>
      <c r="H29" s="42"/>
      <c r="I29" s="43" t="n">
        <f aca="false">SUM(C29:H29)</f>
        <v>0</v>
      </c>
    </row>
    <row r="30" customFormat="false" ht="15" hidden="false" customHeight="true" outlineLevel="0" collapsed="false">
      <c r="A30" s="24" t="s">
        <v>74</v>
      </c>
      <c r="C30" s="42"/>
      <c r="D30" s="42"/>
      <c r="E30" s="42"/>
      <c r="F30" s="42"/>
      <c r="G30" s="42"/>
      <c r="H30" s="42"/>
      <c r="I30" s="43" t="n">
        <f aca="false">SUM(C30:H30)</f>
        <v>0</v>
      </c>
    </row>
    <row r="31" customFormat="false" ht="15" hidden="false" customHeight="true" outlineLevel="0" collapsed="false">
      <c r="A31" s="24" t="s">
        <v>75</v>
      </c>
      <c r="C31" s="42"/>
      <c r="D31" s="42"/>
      <c r="E31" s="42"/>
      <c r="F31" s="42"/>
      <c r="G31" s="42"/>
      <c r="H31" s="42"/>
      <c r="I31" s="43" t="n">
        <f aca="false">SUM(C31:H31)</f>
        <v>0</v>
      </c>
    </row>
    <row r="32" customFormat="false" ht="15" hidden="false" customHeight="true" outlineLevel="0" collapsed="false">
      <c r="A32" s="3" t="s">
        <v>76</v>
      </c>
      <c r="C32" s="43" t="n">
        <f aca="false">C21+SUM(C24:C31)</f>
        <v>0</v>
      </c>
      <c r="D32" s="43" t="n">
        <f aca="false">D21+SUM(D24:D31)</f>
        <v>0</v>
      </c>
      <c r="E32" s="43" t="n">
        <f aca="false">E21+SUM(E24:E31)</f>
        <v>0</v>
      </c>
      <c r="F32" s="43" t="n">
        <f aca="false">F21+SUM(F24:F31)</f>
        <v>0</v>
      </c>
      <c r="G32" s="43" t="n">
        <f aca="false">G21+SUM(G24:G31)</f>
        <v>0</v>
      </c>
      <c r="H32" s="43" t="n">
        <f aca="false">H21+SUM(H24:H31)</f>
        <v>0</v>
      </c>
      <c r="I32" s="43" t="n">
        <f aca="false">I21+SUM(I24:I31)</f>
        <v>0</v>
      </c>
    </row>
    <row r="33" customFormat="false" ht="15" hidden="false" customHeight="true" outlineLevel="0" collapsed="false">
      <c r="A33" s="24" t="s">
        <v>77</v>
      </c>
      <c r="C33" s="44" t="n">
        <f aca="false">IFERROR(C32/$I$32,0)</f>
        <v>0</v>
      </c>
      <c r="D33" s="44" t="n">
        <f aca="false">IFERROR(D32/$I$32,0)</f>
        <v>0</v>
      </c>
      <c r="E33" s="44" t="n">
        <f aca="false">IFERROR(E32/$I$32,0)</f>
        <v>0</v>
      </c>
      <c r="F33" s="44" t="n">
        <f aca="false">IFERROR(F32/$I$32,0)</f>
        <v>0</v>
      </c>
      <c r="G33" s="44" t="n">
        <f aca="false">IFERROR(G32/$I$32,0)</f>
        <v>0</v>
      </c>
      <c r="H33" s="44" t="n">
        <f aca="false">IFERROR(H32/$I$32,0)</f>
        <v>0</v>
      </c>
      <c r="I33" s="44" t="n">
        <f aca="false">IFERROR(I32/$I$32,0)</f>
        <v>0</v>
      </c>
    </row>
    <row r="35" customFormat="false" ht="15" hidden="false" customHeight="true" outlineLevel="0" collapsed="false">
      <c r="A35" s="33" t="s">
        <v>78</v>
      </c>
    </row>
    <row r="36" customFormat="false" ht="15" hidden="false" customHeight="true" outlineLevel="0" collapsed="false">
      <c r="A36" s="32" t="s">
        <v>79</v>
      </c>
    </row>
    <row r="37" customFormat="false" ht="15" hidden="false" customHeight="true" outlineLevel="0" collapsed="false">
      <c r="A37" s="24" t="s">
        <v>80</v>
      </c>
      <c r="C37" s="44" t="n">
        <f aca="false">IFERROR(C32/$I$32,0)</f>
        <v>0</v>
      </c>
      <c r="D37" s="44" t="n">
        <f aca="false">IFERROR(D32/$I$32,0)</f>
        <v>0</v>
      </c>
      <c r="E37" s="44" t="n">
        <f aca="false">IFERROR(E32/$I$32,0)</f>
        <v>0</v>
      </c>
      <c r="F37" s="44" t="n">
        <f aca="false">IFERROR(F32/$I$32,0)</f>
        <v>0</v>
      </c>
      <c r="G37" s="44" t="n">
        <f aca="false">IFERROR(G32/$I$32,0)</f>
        <v>0</v>
      </c>
      <c r="H37" s="44" t="n">
        <f aca="false">IFERROR(H32/$I$32,0)</f>
        <v>0</v>
      </c>
      <c r="I37" s="44" t="n">
        <f aca="false">SUM(C37:H37)</f>
        <v>0</v>
      </c>
    </row>
    <row r="38" customFormat="false" ht="15" hidden="false" customHeight="true" outlineLevel="0" collapsed="false">
      <c r="A38" s="24" t="s">
        <v>81</v>
      </c>
      <c r="C38" s="45"/>
      <c r="D38" s="45"/>
      <c r="E38" s="45"/>
      <c r="F38" s="45"/>
      <c r="G38" s="45"/>
      <c r="H38" s="45"/>
      <c r="I38" s="44" t="n">
        <f aca="false">SUM(C38:H38)</f>
        <v>0</v>
      </c>
    </row>
    <row r="39" customFormat="false" ht="15" hidden="false" customHeight="true" outlineLevel="0" collapsed="false">
      <c r="A39" s="24" t="s">
        <v>82</v>
      </c>
      <c r="C39" s="44" t="n">
        <f aca="false">IF(C38="",C37,C38)</f>
        <v>0</v>
      </c>
      <c r="D39" s="44" t="n">
        <f aca="false">IF(D38="",D37,D38)</f>
        <v>0</v>
      </c>
      <c r="E39" s="44" t="n">
        <f aca="false">IF(E38="",E37,E38)</f>
        <v>0</v>
      </c>
      <c r="F39" s="44" t="n">
        <f aca="false">IF(F38="",F37,F38)</f>
        <v>0</v>
      </c>
      <c r="G39" s="44" t="n">
        <f aca="false">IF(G38="",G37,G38)</f>
        <v>0</v>
      </c>
      <c r="H39" s="44" t="n">
        <f aca="false">IF(H38="",H37,H38)</f>
        <v>0</v>
      </c>
      <c r="I39" s="44" t="n">
        <f aca="false">SUM(C39:H39)</f>
        <v>0</v>
      </c>
    </row>
    <row r="40" customFormat="false" ht="15" hidden="false" customHeight="true" outlineLevel="0" collapsed="false">
      <c r="A40" s="24" t="s">
        <v>83</v>
      </c>
      <c r="C40" s="44" t="n">
        <f aca="false">IF($I$18&gt;0,IFERROR(C18/$I$18,0),IFERROR(C32/$I$32,0))</f>
        <v>0</v>
      </c>
      <c r="D40" s="44" t="n">
        <f aca="false">IF($I$18&gt;0,IFERROR(D18/$I$18,0),IFERROR(D32/$I$32,0))</f>
        <v>0</v>
      </c>
      <c r="E40" s="44" t="n">
        <f aca="false">IF($I$18&gt;0,IFERROR(E18/$I$18,0),IFERROR(E32/$I$32,0))</f>
        <v>0</v>
      </c>
      <c r="F40" s="44" t="n">
        <f aca="false">IF($I$18&gt;0,IFERROR(F18/$I$18,0),IFERROR(F32/$I$32,0))</f>
        <v>0</v>
      </c>
      <c r="G40" s="44" t="n">
        <f aca="false">IF($I$18&gt;0,IFERROR(G18/$I$18,0),IFERROR(G32/$I$32,0))</f>
        <v>0</v>
      </c>
      <c r="H40" s="44" t="n">
        <f aca="false">IF($I$18&gt;0,IFERROR(H18/$I$18,0),IFERROR(H32/$I$32,0))</f>
        <v>0</v>
      </c>
      <c r="I40" s="44" t="n">
        <f aca="false">SUM(C40:H40)</f>
        <v>0</v>
      </c>
    </row>
    <row r="41" customFormat="false" ht="15" hidden="false" customHeight="true" outlineLevel="0" collapsed="false">
      <c r="A41" s="24" t="s">
        <v>84</v>
      </c>
      <c r="C41" s="45"/>
      <c r="D41" s="45"/>
      <c r="E41" s="45"/>
      <c r="F41" s="45"/>
      <c r="G41" s="45"/>
      <c r="H41" s="45"/>
      <c r="I41" s="44" t="n">
        <f aca="false">SUM(C41:H41)</f>
        <v>0</v>
      </c>
    </row>
    <row r="42" customFormat="false" ht="15" hidden="false" customHeight="true" outlineLevel="0" collapsed="false">
      <c r="A42" s="24" t="s">
        <v>85</v>
      </c>
      <c r="C42" s="44" t="n">
        <f aca="false">IF(C41="",C40,C41)</f>
        <v>0</v>
      </c>
      <c r="D42" s="44" t="n">
        <f aca="false">IF(D41="",D40,D41)</f>
        <v>0</v>
      </c>
      <c r="E42" s="44" t="n">
        <f aca="false">IF(E41="",E40,E41)</f>
        <v>0</v>
      </c>
      <c r="F42" s="44" t="n">
        <f aca="false">IF(F41="",F40,F41)</f>
        <v>0</v>
      </c>
      <c r="G42" s="44" t="n">
        <f aca="false">IF(G41="",G40,G41)</f>
        <v>0</v>
      </c>
      <c r="H42" s="44" t="n">
        <f aca="false">IF(H41="",H40,H41)</f>
        <v>0</v>
      </c>
      <c r="I42" s="44" t="n">
        <f aca="false">SUM(C42:H42)</f>
        <v>0</v>
      </c>
    </row>
    <row r="43" customFormat="false" ht="15" hidden="false" customHeight="true" outlineLevel="0" collapsed="false">
      <c r="A43" s="24" t="s">
        <v>86</v>
      </c>
      <c r="C43" s="44" t="n">
        <f aca="false">IFERROR(C32/$I$32,0)</f>
        <v>0</v>
      </c>
      <c r="D43" s="44" t="n">
        <f aca="false">IFERROR(D32/$I$32,0)</f>
        <v>0</v>
      </c>
      <c r="E43" s="44" t="n">
        <f aca="false">IFERROR(E32/$I$32,0)</f>
        <v>0</v>
      </c>
      <c r="F43" s="44" t="n">
        <f aca="false">IFERROR(F32/$I$32,0)</f>
        <v>0</v>
      </c>
      <c r="G43" s="44" t="n">
        <f aca="false">IFERROR(G32/$I$32,0)</f>
        <v>0</v>
      </c>
      <c r="H43" s="44" t="n">
        <f aca="false">IFERROR(H32/$I$32,0)</f>
        <v>0</v>
      </c>
      <c r="I43" s="44" t="n">
        <f aca="false">SUM(C43:H43)</f>
        <v>0</v>
      </c>
    </row>
    <row r="44" customFormat="false" ht="15" hidden="false" customHeight="true" outlineLevel="0" collapsed="false">
      <c r="A44" s="24" t="s">
        <v>87</v>
      </c>
      <c r="C44" s="44" t="n">
        <f aca="false">IF($I$21&gt;0,IFERROR(C21/$I$21,0),C43)</f>
        <v>0</v>
      </c>
      <c r="D44" s="44" t="n">
        <f aca="false">IF($I$21&gt;0,IFERROR(D21/$I$21,0),D43)</f>
        <v>0</v>
      </c>
      <c r="E44" s="44" t="n">
        <f aca="false">IF($I$21&gt;0,IFERROR(E21/$I$21,0),E43)</f>
        <v>0</v>
      </c>
      <c r="F44" s="44" t="n">
        <f aca="false">IF($I$21&gt;0,IFERROR(F21/$I$21,0),F43)</f>
        <v>0</v>
      </c>
      <c r="G44" s="44" t="n">
        <f aca="false">IF($I$21&gt;0,IFERROR(G21/$I$21,0),G43)</f>
        <v>0</v>
      </c>
      <c r="H44" s="44" t="n">
        <f aca="false">IF($I$21&gt;0,IFERROR(H21/$I$21,0),H43)</f>
        <v>0</v>
      </c>
      <c r="I44" s="44" t="n">
        <f aca="false">SUM(C44:H44)</f>
        <v>0</v>
      </c>
    </row>
    <row r="46" customFormat="false" ht="15" hidden="false" customHeight="true" outlineLevel="0" collapsed="false">
      <c r="A46" s="33" t="s">
        <v>88</v>
      </c>
    </row>
    <row r="47" customFormat="false" ht="15" hidden="false" customHeight="true" outlineLevel="0" collapsed="false">
      <c r="A47" s="24" t="s">
        <v>89</v>
      </c>
      <c r="C47" s="46" t="n">
        <f aca="false">Solceller!C44</f>
        <v>0</v>
      </c>
      <c r="D47" s="46" t="n">
        <f aca="false">Solceller!D44</f>
        <v>0</v>
      </c>
      <c r="E47" s="46" t="n">
        <f aca="false">Solceller!E44</f>
        <v>0</v>
      </c>
      <c r="F47" s="46" t="n">
        <f aca="false">Solceller!F44</f>
        <v>0</v>
      </c>
      <c r="G47" s="46" t="n">
        <f aca="false">Solceller!G44</f>
        <v>0</v>
      </c>
      <c r="H47" s="46" t="n">
        <f aca="false">Solceller!H44</f>
        <v>0</v>
      </c>
      <c r="I47" s="43" t="n">
        <f aca="false">SUM(C47:H47)</f>
        <v>0</v>
      </c>
    </row>
    <row r="48" customFormat="false" ht="15" hidden="false" customHeight="true" outlineLevel="0" collapsed="false">
      <c r="A48" s="24" t="s">
        <v>90</v>
      </c>
      <c r="C48" s="46" t="n">
        <f aca="false">Solceller!C45</f>
        <v>0</v>
      </c>
      <c r="D48" s="46" t="n">
        <f aca="false">Solceller!D45</f>
        <v>0</v>
      </c>
      <c r="E48" s="46" t="n">
        <f aca="false">Solceller!E45</f>
        <v>0</v>
      </c>
      <c r="F48" s="46" t="n">
        <f aca="false">Solceller!F45</f>
        <v>0</v>
      </c>
      <c r="G48" s="46" t="n">
        <f aca="false">Solceller!G45</f>
        <v>0</v>
      </c>
      <c r="H48" s="46" t="n">
        <f aca="false">Solceller!H45</f>
        <v>0</v>
      </c>
      <c r="I48" s="43" t="n">
        <f aca="false">SUM(C48:H48)</f>
        <v>0</v>
      </c>
    </row>
    <row r="50" customFormat="false" ht="15" hidden="false" customHeight="true" outlineLevel="0" collapsed="false">
      <c r="A50" s="33" t="s">
        <v>91</v>
      </c>
    </row>
    <row r="51" customFormat="false" ht="15" hidden="false" customHeight="true" outlineLevel="0" collapsed="false">
      <c r="A51" s="24" t="s">
        <v>92</v>
      </c>
      <c r="C51" s="40"/>
      <c r="D51" s="40"/>
      <c r="E51" s="40"/>
      <c r="F51" s="40"/>
      <c r="G51" s="40"/>
      <c r="H51" s="40"/>
    </row>
    <row r="52" customFormat="false" ht="15" hidden="false" customHeight="true" outlineLevel="0" collapsed="false">
      <c r="A52" s="24" t="s">
        <v>93</v>
      </c>
      <c r="C52" s="34"/>
      <c r="D52" s="34"/>
      <c r="E52" s="34"/>
      <c r="F52" s="34"/>
      <c r="G52" s="34"/>
      <c r="H52" s="34"/>
    </row>
    <row r="61" customFormat="false" ht="15" hidden="false" customHeight="true" outlineLevel="0" collapsed="false"/>
    <row r="62" customFormat="false" ht="15" hidden="false" customHeight="true" outlineLevel="0" collapsed="false"/>
    <row r="63" customFormat="false" ht="15" hidden="false" customHeight="true" outlineLevel="0" collapsed="false"/>
  </sheetData>
  <mergeCells count="1">
    <mergeCell ref="C5:E5"/>
  </mergeCells>
  <dataValidations count="2">
    <dataValidation allowBlank="false" errorStyle="stop" operator="between" showDropDown="false" showErrorMessage="false" showInputMessage="false" sqref="C6" type="list">
      <formula1>'Regler BFS 2026'!$A$30:$A$319</formula1>
      <formula2>0</formula2>
    </dataValidation>
    <dataValidation allowBlank="true" errorStyle="stop" operator="between" showDropDown="false" showErrorMessage="false" showInputMessage="false" sqref="C16:H16" type="list">
      <formula1>'Regler BFS 2026'!$A$25:$A$26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8359375" defaultRowHeight="15" zeroHeight="false" outlineLevelRow="0" outlineLevelCol="0"/>
  <cols>
    <col collapsed="false" customWidth="true" hidden="false" outlineLevel="0" max="1" min="1" style="0" width="44"/>
    <col collapsed="false" customWidth="true" hidden="false" outlineLevel="0" max="2" min="2" style="0" width="3"/>
    <col collapsed="false" customWidth="true" hidden="false" outlineLevel="0" max="8" min="3" style="0" width="24"/>
  </cols>
  <sheetData>
    <row r="1" customFormat="false" ht="22.05" hidden="false" customHeight="false" outlineLevel="0" collapsed="false">
      <c r="A1" s="47" t="s">
        <v>94</v>
      </c>
    </row>
    <row r="2" customFormat="false" ht="15" hidden="false" customHeight="false" outlineLevel="0" collapsed="false">
      <c r="A2" s="48" t="s">
        <v>95</v>
      </c>
    </row>
    <row r="4" customFormat="false" ht="15" hidden="false" customHeight="false" outlineLevel="0" collapsed="false">
      <c r="A4" s="5" t="s">
        <v>13</v>
      </c>
      <c r="C4" s="5" t="str">
        <f aca="false">Byggnader!C12</f>
        <v>Byggnad 1</v>
      </c>
      <c r="D4" s="5" t="str">
        <f aca="false">Byggnader!D12</f>
        <v>Byggnad 2</v>
      </c>
      <c r="E4" s="5" t="str">
        <f aca="false">Byggnader!E12</f>
        <v>Byggnad 3</v>
      </c>
      <c r="F4" s="5" t="str">
        <f aca="false">Byggnader!F12</f>
        <v>Byggnad 4</v>
      </c>
      <c r="G4" s="5" t="str">
        <f aca="false">Byggnader!G12</f>
        <v>Byggnad 5</v>
      </c>
      <c r="H4" s="5" t="str">
        <f aca="false">Byggnader!H12</f>
        <v>Byggnad 6</v>
      </c>
    </row>
    <row r="5" customFormat="false" ht="15" hidden="false" customHeight="false" outlineLevel="0" collapsed="false">
      <c r="A5" s="49" t="s">
        <v>96</v>
      </c>
      <c r="C5" s="50"/>
      <c r="D5" s="50"/>
      <c r="E5" s="50"/>
      <c r="F5" s="50"/>
      <c r="G5" s="50"/>
      <c r="H5" s="50"/>
    </row>
    <row r="6" customFormat="false" ht="15" hidden="false" customHeight="false" outlineLevel="0" collapsed="false">
      <c r="A6" s="49" t="s">
        <v>97</v>
      </c>
      <c r="C6" s="50"/>
      <c r="D6" s="50"/>
      <c r="E6" s="50"/>
      <c r="F6" s="50"/>
      <c r="G6" s="50"/>
      <c r="H6" s="50"/>
    </row>
    <row r="7" customFormat="false" ht="15" hidden="false" customHeight="false" outlineLevel="0" collapsed="false">
      <c r="A7" s="49" t="s">
        <v>98</v>
      </c>
      <c r="C7" s="50"/>
      <c r="D7" s="50"/>
      <c r="E7" s="50"/>
      <c r="F7" s="50"/>
      <c r="G7" s="50"/>
      <c r="H7" s="50"/>
    </row>
    <row r="8" customFormat="false" ht="15" hidden="false" customHeight="false" outlineLevel="0" collapsed="false">
      <c r="A8" s="49" t="s">
        <v>99</v>
      </c>
      <c r="C8" s="50"/>
      <c r="D8" s="50"/>
      <c r="E8" s="50"/>
      <c r="F8" s="50"/>
      <c r="G8" s="50"/>
      <c r="H8" s="50"/>
    </row>
    <row r="9" customFormat="false" ht="15" hidden="false" customHeight="false" outlineLevel="0" collapsed="false">
      <c r="A9" s="49" t="s">
        <v>47</v>
      </c>
      <c r="C9" s="50"/>
      <c r="D9" s="50"/>
      <c r="E9" s="50"/>
      <c r="F9" s="50"/>
      <c r="G9" s="50"/>
      <c r="H9" s="50"/>
    </row>
    <row r="10" customFormat="false" ht="15" hidden="false" customHeight="false" outlineLevel="0" collapsed="false">
      <c r="A10" s="49" t="s">
        <v>46</v>
      </c>
      <c r="C10" s="50"/>
      <c r="D10" s="50"/>
      <c r="E10" s="50"/>
      <c r="F10" s="50"/>
      <c r="G10" s="50"/>
      <c r="H10" s="50"/>
    </row>
    <row r="11" customFormat="false" ht="15" hidden="false" customHeight="false" outlineLevel="0" collapsed="false">
      <c r="A11" s="49" t="s">
        <v>59</v>
      </c>
      <c r="C11" s="50"/>
      <c r="D11" s="50"/>
      <c r="E11" s="50"/>
      <c r="F11" s="50"/>
      <c r="G11" s="50"/>
      <c r="H11" s="50"/>
    </row>
    <row r="12" customFormat="false" ht="15" hidden="false" customHeight="false" outlineLevel="0" collapsed="false">
      <c r="A12" s="49" t="s">
        <v>100</v>
      </c>
      <c r="C12" s="50"/>
      <c r="D12" s="50"/>
      <c r="E12" s="50"/>
      <c r="F12" s="50"/>
      <c r="G12" s="50"/>
      <c r="H12" s="50"/>
    </row>
    <row r="13" customFormat="false" ht="15" hidden="false" customHeight="false" outlineLevel="0" collapsed="false">
      <c r="A13" s="49" t="s">
        <v>101</v>
      </c>
      <c r="C13" s="50"/>
      <c r="D13" s="50"/>
      <c r="E13" s="50"/>
      <c r="F13" s="50"/>
      <c r="G13" s="50"/>
      <c r="H13" s="50"/>
    </row>
    <row r="14" customFormat="false" ht="15" hidden="false" customHeight="false" outlineLevel="0" collapsed="false">
      <c r="A14" s="49" t="s">
        <v>102</v>
      </c>
      <c r="C14" s="50"/>
      <c r="D14" s="50"/>
      <c r="E14" s="50"/>
      <c r="F14" s="50"/>
      <c r="G14" s="50"/>
      <c r="H14" s="50"/>
    </row>
    <row r="15" customFormat="false" ht="15" hidden="false" customHeight="false" outlineLevel="0" collapsed="false">
      <c r="A15" s="49" t="s">
        <v>103</v>
      </c>
      <c r="C15" s="50"/>
      <c r="D15" s="50"/>
      <c r="E15" s="50"/>
      <c r="F15" s="50"/>
      <c r="G15" s="50"/>
      <c r="H15" s="50"/>
    </row>
    <row r="16" customFormat="false" ht="15" hidden="false" customHeight="false" outlineLevel="0" collapsed="false">
      <c r="A16" s="49" t="s">
        <v>104</v>
      </c>
      <c r="C16" s="50"/>
      <c r="D16" s="50"/>
      <c r="E16" s="50"/>
      <c r="F16" s="50"/>
      <c r="G16" s="50"/>
      <c r="H16" s="50"/>
    </row>
    <row r="17" customFormat="false" ht="15" hidden="false" customHeight="false" outlineLevel="0" collapsed="false">
      <c r="A17" s="49" t="s">
        <v>105</v>
      </c>
      <c r="C17" s="50"/>
      <c r="D17" s="50"/>
      <c r="E17" s="50"/>
      <c r="F17" s="50"/>
      <c r="G17" s="50"/>
      <c r="H17" s="50"/>
    </row>
    <row r="18" customFormat="false" ht="15" hidden="false" customHeight="false" outlineLevel="0" collapsed="false">
      <c r="A18" s="49" t="s">
        <v>106</v>
      </c>
      <c r="C18" s="50"/>
      <c r="D18" s="50"/>
      <c r="E18" s="50"/>
      <c r="F18" s="50"/>
      <c r="G18" s="50"/>
      <c r="H18" s="50"/>
    </row>
    <row r="19" customFormat="false" ht="15" hidden="false" customHeight="false" outlineLevel="0" collapsed="false">
      <c r="A19" s="49" t="s">
        <v>63</v>
      </c>
      <c r="C19" s="50"/>
      <c r="D19" s="50"/>
      <c r="E19" s="50"/>
      <c r="F19" s="50"/>
      <c r="G19" s="50"/>
      <c r="H19" s="50"/>
    </row>
    <row r="20" customFormat="false" ht="15" hidden="false" customHeight="false" outlineLevel="0" collapsed="false">
      <c r="A20" s="49" t="s">
        <v>107</v>
      </c>
      <c r="C20" s="50"/>
      <c r="D20" s="50"/>
      <c r="E20" s="50"/>
      <c r="F20" s="50"/>
      <c r="G20" s="50"/>
      <c r="H20" s="50"/>
    </row>
    <row r="21" customFormat="false" ht="15" hidden="false" customHeight="false" outlineLevel="0" collapsed="false">
      <c r="A21" s="49" t="s">
        <v>108</v>
      </c>
      <c r="C21" s="50"/>
      <c r="D21" s="50"/>
      <c r="E21" s="50"/>
      <c r="F21" s="50"/>
      <c r="G21" s="50"/>
      <c r="H21" s="50"/>
    </row>
    <row r="22" customFormat="false" ht="15" hidden="false" customHeight="false" outlineLevel="0" collapsed="false">
      <c r="A22" s="49" t="s">
        <v>109</v>
      </c>
      <c r="C22" s="50"/>
      <c r="D22" s="50"/>
      <c r="E22" s="50"/>
      <c r="F22" s="50"/>
      <c r="G22" s="50"/>
      <c r="H22" s="50"/>
    </row>
    <row r="23" customFormat="false" ht="15" hidden="false" customHeight="false" outlineLevel="0" collapsed="false">
      <c r="A23" s="49" t="s">
        <v>110</v>
      </c>
      <c r="C23" s="50"/>
      <c r="D23" s="50"/>
      <c r="E23" s="50"/>
      <c r="F23" s="50"/>
      <c r="G23" s="50"/>
      <c r="H23" s="50"/>
    </row>
    <row r="24" customFormat="false" ht="15" hidden="false" customHeight="false" outlineLevel="0" collapsed="false">
      <c r="A24" s="49" t="s">
        <v>111</v>
      </c>
      <c r="C24" s="50"/>
      <c r="D24" s="50"/>
      <c r="E24" s="50"/>
      <c r="F24" s="50"/>
      <c r="G24" s="50"/>
      <c r="H24" s="50"/>
    </row>
    <row r="25" customFormat="false" ht="15" hidden="false" customHeight="false" outlineLevel="0" collapsed="false">
      <c r="A25" s="49" t="s">
        <v>64</v>
      </c>
      <c r="C25" s="50"/>
      <c r="D25" s="50"/>
      <c r="E25" s="50"/>
      <c r="F25" s="50"/>
      <c r="G25" s="50"/>
      <c r="H25" s="50"/>
    </row>
    <row r="26" customFormat="false" ht="15" hidden="false" customHeight="false" outlineLevel="0" collapsed="false">
      <c r="A26" s="49" t="s">
        <v>112</v>
      </c>
      <c r="C26" s="50"/>
      <c r="D26" s="50"/>
      <c r="E26" s="50"/>
      <c r="F26" s="50"/>
      <c r="G26" s="50"/>
      <c r="H26" s="50"/>
    </row>
    <row r="27" customFormat="false" ht="15" hidden="false" customHeight="false" outlineLevel="0" collapsed="false">
      <c r="A27" s="49" t="s">
        <v>113</v>
      </c>
      <c r="C27" s="50"/>
      <c r="D27" s="50"/>
      <c r="E27" s="50"/>
      <c r="F27" s="50"/>
      <c r="G27" s="50"/>
      <c r="H27" s="50"/>
    </row>
    <row r="28" customFormat="false" ht="15" hidden="false" customHeight="false" outlineLevel="0" collapsed="false">
      <c r="A28" s="49" t="s">
        <v>114</v>
      </c>
      <c r="C28" s="50"/>
      <c r="D28" s="50"/>
      <c r="E28" s="50"/>
      <c r="F28" s="50"/>
      <c r="G28" s="50"/>
      <c r="H28" s="50"/>
    </row>
    <row r="29" customFormat="false" ht="15" hidden="false" customHeight="false" outlineLevel="0" collapsed="false">
      <c r="A29" s="49" t="s">
        <v>115</v>
      </c>
      <c r="C29" s="50"/>
      <c r="D29" s="50"/>
      <c r="E29" s="50"/>
      <c r="F29" s="50"/>
      <c r="G29" s="50"/>
      <c r="H29" s="50"/>
    </row>
    <row r="30" customFormat="false" ht="15" hidden="false" customHeight="false" outlineLevel="0" collapsed="false">
      <c r="A30" s="49" t="s">
        <v>116</v>
      </c>
      <c r="C30" s="50"/>
      <c r="D30" s="50"/>
      <c r="E30" s="50"/>
      <c r="F30" s="50"/>
      <c r="G30" s="50"/>
      <c r="H30" s="50"/>
    </row>
    <row r="31" customFormat="false" ht="15" hidden="false" customHeight="false" outlineLevel="0" collapsed="false">
      <c r="A31" s="49" t="s">
        <v>117</v>
      </c>
      <c r="C31" s="50"/>
      <c r="D31" s="50"/>
      <c r="E31" s="50"/>
      <c r="F31" s="50"/>
      <c r="G31" s="50"/>
      <c r="H31" s="50"/>
    </row>
    <row r="32" customFormat="false" ht="15" hidden="false" customHeight="false" outlineLevel="0" collapsed="false">
      <c r="A32" s="49" t="s">
        <v>118</v>
      </c>
      <c r="C32" s="50"/>
      <c r="D32" s="50"/>
      <c r="E32" s="50"/>
      <c r="F32" s="50"/>
      <c r="G32" s="50"/>
      <c r="H32" s="50"/>
    </row>
    <row r="33" customFormat="false" ht="15" hidden="false" customHeight="false" outlineLevel="0" collapsed="false">
      <c r="A33" s="49" t="s">
        <v>119</v>
      </c>
      <c r="C33" s="50"/>
      <c r="D33" s="50"/>
      <c r="E33" s="50"/>
      <c r="F33" s="50"/>
      <c r="G33" s="50"/>
      <c r="H33" s="50"/>
    </row>
    <row r="34" customFormat="false" ht="15" hidden="false" customHeight="false" outlineLevel="0" collapsed="false">
      <c r="A34" s="49" t="s">
        <v>120</v>
      </c>
      <c r="C34" s="50"/>
      <c r="D34" s="50"/>
      <c r="E34" s="50"/>
      <c r="F34" s="50"/>
      <c r="G34" s="50"/>
      <c r="H34" s="50"/>
    </row>
    <row r="35" customFormat="false" ht="15" hidden="false" customHeight="false" outlineLevel="0" collapsed="false">
      <c r="A35" s="49" t="s">
        <v>121</v>
      </c>
      <c r="C35" s="50"/>
      <c r="D35" s="50"/>
      <c r="E35" s="50"/>
      <c r="F35" s="50"/>
      <c r="G35" s="50"/>
      <c r="H35" s="50"/>
    </row>
    <row r="36" customFormat="false" ht="15" hidden="false" customHeight="false" outlineLevel="0" collapsed="false">
      <c r="A36" s="49" t="s">
        <v>122</v>
      </c>
      <c r="C36" s="50"/>
      <c r="D36" s="50"/>
      <c r="E36" s="50"/>
      <c r="F36" s="50"/>
      <c r="G36" s="50"/>
      <c r="H36" s="50"/>
    </row>
    <row r="37" customFormat="false" ht="15" hidden="false" customHeight="false" outlineLevel="0" collapsed="false">
      <c r="A37" s="49" t="s">
        <v>123</v>
      </c>
      <c r="C37" s="50"/>
      <c r="D37" s="50"/>
      <c r="E37" s="50"/>
      <c r="F37" s="50"/>
      <c r="G37" s="50"/>
      <c r="H37" s="50"/>
    </row>
    <row r="38" customFormat="false" ht="15" hidden="false" customHeight="false" outlineLevel="0" collapsed="false">
      <c r="A38" s="49" t="s">
        <v>124</v>
      </c>
      <c r="C38" s="50"/>
      <c r="D38" s="50"/>
      <c r="E38" s="50"/>
      <c r="F38" s="50"/>
      <c r="G38" s="50"/>
      <c r="H38" s="50"/>
    </row>
    <row r="39" customFormat="false" ht="15" hidden="false" customHeight="false" outlineLevel="0" collapsed="false">
      <c r="A39" s="49" t="s">
        <v>125</v>
      </c>
      <c r="C39" s="50"/>
      <c r="D39" s="50"/>
      <c r="E39" s="50"/>
      <c r="F39" s="50"/>
      <c r="G39" s="50"/>
      <c r="H39" s="50"/>
    </row>
    <row r="40" customFormat="false" ht="15" hidden="false" customHeight="false" outlineLevel="0" collapsed="false">
      <c r="A40" s="49" t="s">
        <v>126</v>
      </c>
      <c r="C40" s="50"/>
      <c r="D40" s="50"/>
      <c r="E40" s="50"/>
      <c r="F40" s="50"/>
      <c r="G40" s="50"/>
      <c r="H40" s="50"/>
    </row>
    <row r="41" customFormat="false" ht="15" hidden="false" customHeight="false" outlineLevel="0" collapsed="false">
      <c r="A41" s="49" t="s">
        <v>127</v>
      </c>
      <c r="C41" s="50"/>
      <c r="D41" s="50"/>
      <c r="E41" s="50"/>
      <c r="F41" s="50"/>
      <c r="G41" s="50"/>
      <c r="H41" s="50"/>
    </row>
    <row r="42" customFormat="false" ht="15" hidden="false" customHeight="false" outlineLevel="0" collapsed="false">
      <c r="A42" s="49" t="s">
        <v>93</v>
      </c>
      <c r="C42" s="50"/>
      <c r="D42" s="50"/>
      <c r="E42" s="50"/>
      <c r="F42" s="50"/>
      <c r="G42" s="50"/>
      <c r="H42" s="50"/>
    </row>
    <row r="43" customFormat="false" ht="15" hidden="false" customHeight="false" outlineLevel="0" collapsed="false">
      <c r="A43" s="49" t="s">
        <v>128</v>
      </c>
      <c r="C43" s="50"/>
      <c r="D43" s="50"/>
      <c r="E43" s="50"/>
      <c r="F43" s="50"/>
      <c r="G43" s="50"/>
      <c r="H43" s="50"/>
    </row>
    <row r="44" customFormat="false" ht="15" hidden="false" customHeight="false" outlineLevel="0" collapsed="false">
      <c r="A44" s="49" t="s">
        <v>129</v>
      </c>
      <c r="C44" s="50"/>
      <c r="D44" s="50"/>
      <c r="E44" s="50"/>
      <c r="F44" s="50"/>
      <c r="G44" s="50"/>
      <c r="H44" s="50"/>
    </row>
    <row r="45" customFormat="false" ht="15" hidden="false" customHeight="false" outlineLevel="0" collapsed="false">
      <c r="A45" s="49" t="s">
        <v>130</v>
      </c>
      <c r="C45" s="50"/>
      <c r="D45" s="50"/>
      <c r="E45" s="50"/>
      <c r="F45" s="50"/>
      <c r="G45" s="50"/>
      <c r="H45" s="50"/>
    </row>
    <row r="46" customFormat="false" ht="15" hidden="false" customHeight="false" outlineLevel="0" collapsed="false">
      <c r="A46" s="49" t="s">
        <v>131</v>
      </c>
      <c r="C46" s="50"/>
      <c r="D46" s="50"/>
      <c r="E46" s="50"/>
      <c r="F46" s="50"/>
      <c r="G46" s="50"/>
      <c r="H46" s="50"/>
    </row>
    <row r="47" customFormat="false" ht="15" hidden="false" customHeight="false" outlineLevel="0" collapsed="false">
      <c r="A47" s="49" t="s">
        <v>132</v>
      </c>
      <c r="C47" s="50"/>
      <c r="D47" s="50"/>
      <c r="E47" s="50"/>
      <c r="F47" s="50"/>
      <c r="G47" s="50"/>
      <c r="H47" s="50"/>
    </row>
    <row r="48" customFormat="false" ht="15" hidden="false" customHeight="false" outlineLevel="0" collapsed="false">
      <c r="A48" s="49" t="s">
        <v>133</v>
      </c>
      <c r="C48" s="50"/>
      <c r="D48" s="50"/>
      <c r="E48" s="50"/>
      <c r="F48" s="50"/>
      <c r="G48" s="50"/>
      <c r="H48" s="50"/>
    </row>
    <row r="49" customFormat="false" ht="15" hidden="false" customHeight="false" outlineLevel="0" collapsed="false">
      <c r="A49" s="49" t="s">
        <v>134</v>
      </c>
      <c r="C49" s="50"/>
      <c r="D49" s="50"/>
      <c r="E49" s="50"/>
      <c r="F49" s="50"/>
      <c r="G49" s="50"/>
      <c r="H49" s="50"/>
    </row>
    <row r="50" customFormat="false" ht="15" hidden="false" customHeight="false" outlineLevel="0" collapsed="false">
      <c r="A50" s="49" t="s">
        <v>38</v>
      </c>
      <c r="C50" s="50"/>
      <c r="D50" s="50"/>
      <c r="E50" s="50"/>
      <c r="F50" s="50"/>
      <c r="G50" s="50"/>
      <c r="H50" s="50"/>
    </row>
    <row r="51" customFormat="false" ht="15" hidden="false" customHeight="false" outlineLevel="0" collapsed="false">
      <c r="A51" s="49" t="s">
        <v>135</v>
      </c>
      <c r="C51" s="50"/>
      <c r="D51" s="50"/>
      <c r="E51" s="50"/>
      <c r="F51" s="50"/>
      <c r="G51" s="50"/>
      <c r="H51" s="5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C58" activeCellId="0" sqref="C58"/>
    </sheetView>
  </sheetViews>
  <sheetFormatPr defaultColWidth="8.7109375" defaultRowHeight="15" zeroHeight="false" outlineLevelRow="0" outlineLevelCol="0"/>
  <cols>
    <col collapsed="false" customWidth="true" hidden="false" outlineLevel="0" max="1" min="1" style="1" width="46"/>
    <col collapsed="false" customWidth="true" hidden="false" outlineLevel="0" max="2" min="2" style="1" width="24"/>
    <col collapsed="false" customWidth="true" hidden="false" outlineLevel="0" max="3" min="3" style="1" width="30"/>
    <col collapsed="false" customWidth="true" hidden="false" outlineLevel="0" max="5" min="4" style="1" width="14"/>
    <col collapsed="false" customWidth="true" hidden="false" outlineLevel="0" max="6" min="6" style="1" width="40"/>
    <col collapsed="false" customWidth="true" hidden="false" outlineLevel="0" max="9" min="9" style="1" width="10.43"/>
    <col collapsed="false" customWidth="true" hidden="false" outlineLevel="0" max="12" min="12" style="1" width="12.43"/>
  </cols>
  <sheetData>
    <row r="1" customFormat="false" ht="21.75" hidden="false" customHeight="true" outlineLevel="0" collapsed="false">
      <c r="A1" s="2" t="s">
        <v>136</v>
      </c>
    </row>
    <row r="2" customFormat="false" ht="15" hidden="false" customHeight="true" outlineLevel="0" collapsed="false">
      <c r="A2" s="32" t="s">
        <v>137</v>
      </c>
    </row>
    <row r="4" customFormat="false" ht="15" hidden="false" customHeight="true" outlineLevel="0" collapsed="false">
      <c r="A4" s="33" t="s">
        <v>138</v>
      </c>
    </row>
    <row r="5" customFormat="false" ht="25.5" hidden="false" customHeight="true" outlineLevel="0" collapsed="false">
      <c r="A5" s="38" t="s">
        <v>139</v>
      </c>
      <c r="B5" s="38" t="s">
        <v>140</v>
      </c>
      <c r="C5" s="38" t="s">
        <v>141</v>
      </c>
      <c r="D5" s="38" t="s">
        <v>142</v>
      </c>
      <c r="E5" s="38" t="s">
        <v>143</v>
      </c>
      <c r="F5" s="38" t="s">
        <v>38</v>
      </c>
    </row>
    <row r="6" customFormat="false" ht="15" hidden="false" customHeight="true" outlineLevel="0" collapsed="false">
      <c r="A6" s="34"/>
      <c r="B6" s="34"/>
      <c r="C6" s="34"/>
      <c r="D6" s="34"/>
      <c r="E6" s="42"/>
      <c r="F6" s="34"/>
    </row>
    <row r="7" customFormat="false" ht="15" hidden="false" customHeight="true" outlineLevel="0" collapsed="false">
      <c r="A7" s="34"/>
      <c r="B7" s="34"/>
      <c r="C7" s="34"/>
      <c r="D7" s="34"/>
      <c r="E7" s="42"/>
      <c r="F7" s="34"/>
      <c r="J7" s="1" t="s">
        <v>144</v>
      </c>
      <c r="K7" s="1" t="s">
        <v>145</v>
      </c>
      <c r="L7" s="1" t="s">
        <v>146</v>
      </c>
    </row>
    <row r="8" customFormat="false" ht="15" hidden="false" customHeight="true" outlineLevel="0" collapsed="false">
      <c r="A8" s="34"/>
      <c r="B8" s="34"/>
      <c r="C8" s="34"/>
      <c r="D8" s="34"/>
      <c r="E8" s="42"/>
      <c r="F8" s="34"/>
      <c r="H8" s="1" t="s">
        <v>147</v>
      </c>
      <c r="I8" s="1" t="s">
        <v>148</v>
      </c>
      <c r="J8" s="1" t="n">
        <v>13.4</v>
      </c>
      <c r="K8" s="1" t="n">
        <f aca="false">44*1.8</f>
        <v>79.2</v>
      </c>
      <c r="L8" s="1" t="n">
        <f aca="false">160*K8</f>
        <v>12672</v>
      </c>
    </row>
    <row r="9" customFormat="false" ht="15" hidden="false" customHeight="true" outlineLevel="0" collapsed="false">
      <c r="A9" s="34"/>
      <c r="B9" s="34"/>
      <c r="C9" s="34"/>
      <c r="D9" s="34"/>
      <c r="E9" s="42"/>
      <c r="F9" s="34"/>
      <c r="I9" s="1" t="s">
        <v>149</v>
      </c>
      <c r="J9" s="1" t="n">
        <v>13.4</v>
      </c>
      <c r="K9" s="1" t="n">
        <f aca="false">44*1.8</f>
        <v>79.2</v>
      </c>
      <c r="L9" s="1" t="n">
        <f aca="false">160*K9</f>
        <v>12672</v>
      </c>
    </row>
    <row r="10" customFormat="false" ht="15" hidden="false" customHeight="true" outlineLevel="0" collapsed="false">
      <c r="A10" s="34"/>
      <c r="B10" s="34"/>
      <c r="C10" s="34"/>
      <c r="D10" s="34"/>
      <c r="E10" s="42"/>
      <c r="F10" s="34"/>
    </row>
    <row r="11" customFormat="false" ht="15" hidden="false" customHeight="true" outlineLevel="0" collapsed="false">
      <c r="A11" s="34"/>
      <c r="B11" s="34"/>
      <c r="C11" s="34"/>
      <c r="D11" s="34"/>
      <c r="E11" s="42"/>
      <c r="F11" s="34"/>
    </row>
    <row r="12" customFormat="false" ht="15" hidden="false" customHeight="true" outlineLevel="0" collapsed="false">
      <c r="A12" s="34"/>
      <c r="B12" s="34"/>
      <c r="C12" s="34"/>
      <c r="D12" s="34"/>
      <c r="E12" s="42"/>
      <c r="F12" s="34"/>
      <c r="I12" s="1" t="s">
        <v>150</v>
      </c>
      <c r="L12" s="1" t="s">
        <v>151</v>
      </c>
      <c r="M12" s="1" t="n">
        <v>27117</v>
      </c>
    </row>
    <row r="13" customFormat="false" ht="15" hidden="false" customHeight="true" outlineLevel="0" collapsed="false">
      <c r="A13" s="34"/>
      <c r="B13" s="34"/>
      <c r="C13" s="34"/>
      <c r="D13" s="34"/>
      <c r="E13" s="42"/>
      <c r="F13" s="34"/>
      <c r="L13" s="1" t="s">
        <v>152</v>
      </c>
      <c r="M13" s="1" t="n">
        <v>28841</v>
      </c>
    </row>
    <row r="14" customFormat="false" ht="15" hidden="false" customHeight="true" outlineLevel="0" collapsed="false">
      <c r="A14" s="34"/>
      <c r="B14" s="34"/>
      <c r="C14" s="34"/>
      <c r="D14" s="34"/>
      <c r="E14" s="42"/>
      <c r="F14" s="34"/>
      <c r="I14" s="1" t="s">
        <v>153</v>
      </c>
      <c r="L14" s="1" t="s">
        <v>151</v>
      </c>
      <c r="M14" s="1" t="n">
        <v>3831</v>
      </c>
    </row>
    <row r="15" customFormat="false" ht="15" hidden="false" customHeight="true" outlineLevel="0" collapsed="false">
      <c r="A15" s="34"/>
      <c r="B15" s="34"/>
      <c r="C15" s="34"/>
      <c r="D15" s="34"/>
      <c r="E15" s="42"/>
      <c r="F15" s="34"/>
      <c r="L15" s="1" t="s">
        <v>152</v>
      </c>
      <c r="M15" s="1" t="n">
        <v>4381</v>
      </c>
    </row>
    <row r="16" customFormat="false" ht="15" hidden="false" customHeight="true" outlineLevel="0" collapsed="false">
      <c r="A16" s="34"/>
      <c r="B16" s="34"/>
      <c r="C16" s="34"/>
      <c r="D16" s="34"/>
      <c r="E16" s="42"/>
      <c r="F16" s="34"/>
    </row>
    <row r="17" customFormat="false" ht="15" hidden="false" customHeight="true" outlineLevel="0" collapsed="false">
      <c r="A17" s="34"/>
      <c r="B17" s="34"/>
      <c r="C17" s="34"/>
      <c r="D17" s="34"/>
      <c r="E17" s="42"/>
      <c r="F17" s="34"/>
    </row>
    <row r="18" customFormat="false" ht="15" hidden="false" customHeight="true" outlineLevel="0" collapsed="false">
      <c r="A18" s="34"/>
      <c r="B18" s="34"/>
      <c r="C18" s="34"/>
      <c r="D18" s="34"/>
      <c r="E18" s="42"/>
      <c r="F18" s="34"/>
      <c r="I18" s="1" t="s">
        <v>154</v>
      </c>
      <c r="M18" s="51" t="n">
        <f aca="false">E7+E8+E9+E10</f>
        <v>0</v>
      </c>
    </row>
    <row r="19" customFormat="false" ht="15" hidden="false" customHeight="true" outlineLevel="0" collapsed="false">
      <c r="A19" s="34"/>
      <c r="B19" s="34"/>
      <c r="C19" s="34"/>
      <c r="D19" s="34"/>
      <c r="E19" s="42"/>
      <c r="F19" s="34"/>
      <c r="I19" s="1" t="s">
        <v>155</v>
      </c>
      <c r="M19" s="51" t="n">
        <f aca="false">E7+E8</f>
        <v>0</v>
      </c>
    </row>
    <row r="20" customFormat="false" ht="15" hidden="false" customHeight="true" outlineLevel="0" collapsed="false">
      <c r="A20" s="34"/>
      <c r="B20" s="34"/>
      <c r="C20" s="34"/>
      <c r="D20" s="34"/>
      <c r="E20" s="42"/>
      <c r="F20" s="34"/>
      <c r="I20" s="1" t="s">
        <v>156</v>
      </c>
      <c r="M20" s="1" t="n">
        <f aca="false">Besiktningsprotokoll!D125</f>
        <v>12193.8</v>
      </c>
    </row>
    <row r="21" customFormat="false" ht="15" hidden="false" customHeight="true" outlineLevel="0" collapsed="false">
      <c r="A21" s="34"/>
      <c r="B21" s="34"/>
      <c r="C21" s="34"/>
      <c r="D21" s="34"/>
      <c r="E21" s="42"/>
      <c r="F21" s="34"/>
      <c r="I21" s="1" t="s">
        <v>157</v>
      </c>
      <c r="M21" s="17" t="n">
        <f aca="false">Besiktningsprotokoll!D146</f>
        <v>0</v>
      </c>
      <c r="O21" s="51"/>
    </row>
    <row r="22" customFormat="false" ht="15" hidden="false" customHeight="true" outlineLevel="0" collapsed="false">
      <c r="A22" s="34"/>
      <c r="B22" s="34"/>
      <c r="C22" s="34"/>
      <c r="D22" s="34"/>
      <c r="E22" s="42"/>
      <c r="F22" s="34"/>
    </row>
    <row r="23" customFormat="false" ht="15" hidden="false" customHeight="true" outlineLevel="0" collapsed="false">
      <c r="A23" s="34"/>
      <c r="B23" s="34"/>
      <c r="C23" s="34"/>
      <c r="D23" s="34"/>
      <c r="E23" s="42"/>
      <c r="F23" s="34"/>
    </row>
    <row r="24" customFormat="false" ht="15" hidden="false" customHeight="true" outlineLevel="0" collapsed="false">
      <c r="A24" s="34"/>
      <c r="B24" s="34"/>
      <c r="C24" s="34"/>
      <c r="D24" s="34"/>
      <c r="E24" s="42"/>
      <c r="F24" s="34"/>
    </row>
    <row r="25" customFormat="false" ht="15" hidden="false" customHeight="true" outlineLevel="0" collapsed="false">
      <c r="A25" s="34"/>
      <c r="B25" s="34"/>
      <c r="C25" s="34"/>
      <c r="D25" s="34"/>
      <c r="E25" s="42"/>
      <c r="F25" s="34"/>
    </row>
    <row r="26" customFormat="false" ht="15" hidden="false" customHeight="true" outlineLevel="0" collapsed="false">
      <c r="A26" s="32" t="s">
        <v>158</v>
      </c>
    </row>
    <row r="27" customFormat="false" ht="15" hidden="false" customHeight="true" outlineLevel="0" collapsed="false">
      <c r="A27" s="33" t="s">
        <v>159</v>
      </c>
    </row>
    <row r="28" customFormat="false" ht="25.5" hidden="false" customHeight="true" outlineLevel="0" collapsed="false">
      <c r="A28" s="38" t="s">
        <v>139</v>
      </c>
      <c r="B28" s="38" t="s">
        <v>142</v>
      </c>
      <c r="C28" s="38" t="s">
        <v>160</v>
      </c>
    </row>
    <row r="29" customFormat="false" ht="15" hidden="false" customHeight="true" outlineLevel="0" collapsed="false">
      <c r="A29" s="34"/>
      <c r="B29" s="34"/>
      <c r="C29" s="42"/>
    </row>
    <row r="30" customFormat="false" ht="15" hidden="false" customHeight="true" outlineLevel="0" collapsed="false">
      <c r="A30" s="34"/>
      <c r="B30" s="34"/>
      <c r="C30" s="42"/>
    </row>
    <row r="31" customFormat="false" ht="15" hidden="false" customHeight="true" outlineLevel="0" collapsed="false">
      <c r="A31" s="34"/>
      <c r="B31" s="34"/>
      <c r="C31" s="42"/>
    </row>
    <row r="32" customFormat="false" ht="15" hidden="false" customHeight="true" outlineLevel="0" collapsed="false">
      <c r="A32" s="34"/>
      <c r="B32" s="34"/>
      <c r="C32" s="42"/>
    </row>
    <row r="33" customFormat="false" ht="15" hidden="false" customHeight="true" outlineLevel="0" collapsed="false">
      <c r="A33" s="34"/>
      <c r="B33" s="34"/>
      <c r="C33" s="42"/>
    </row>
    <row r="34" customFormat="false" ht="15" hidden="false" customHeight="true" outlineLevel="0" collapsed="false">
      <c r="A34" s="34"/>
      <c r="B34" s="34"/>
      <c r="C34" s="42"/>
    </row>
    <row r="35" customFormat="false" ht="15" hidden="false" customHeight="true" outlineLevel="0" collapsed="false">
      <c r="A35" s="34"/>
      <c r="B35" s="34"/>
      <c r="C35" s="42"/>
    </row>
    <row r="36" customFormat="false" ht="15" hidden="false" customHeight="true" outlineLevel="0" collapsed="false">
      <c r="A36" s="34"/>
      <c r="B36" s="34"/>
      <c r="C36" s="42"/>
    </row>
    <row r="37" customFormat="false" ht="15" hidden="false" customHeight="true" outlineLevel="0" collapsed="false">
      <c r="A37" s="3" t="s">
        <v>161</v>
      </c>
      <c r="C37" s="43" t="n">
        <f aca="false">SUM(C29:C36)</f>
        <v>0</v>
      </c>
    </row>
    <row r="39" customFormat="false" ht="15" hidden="false" customHeight="true" outlineLevel="0" collapsed="false">
      <c r="A39" s="33" t="s">
        <v>162</v>
      </c>
    </row>
    <row r="40" customFormat="false" ht="15" hidden="false" customHeight="true" outlineLevel="0" collapsed="false">
      <c r="A40" s="24" t="s">
        <v>163</v>
      </c>
      <c r="B40" s="52" t="n">
        <v>0.35</v>
      </c>
    </row>
    <row r="41" customFormat="false" ht="15" hidden="false" customHeight="true" outlineLevel="0" collapsed="false">
      <c r="A41" s="24" t="s">
        <v>164</v>
      </c>
      <c r="B41" s="40" t="n">
        <v>55</v>
      </c>
    </row>
    <row r="42" customFormat="false" ht="15" hidden="false" customHeight="true" outlineLevel="0" collapsed="false">
      <c r="A42" s="24" t="s">
        <v>165</v>
      </c>
      <c r="B42" s="52" t="n">
        <v>1</v>
      </c>
    </row>
    <row r="43" customFormat="false" ht="15" hidden="false" customHeight="true" outlineLevel="0" collapsed="false">
      <c r="A43" s="24" t="s">
        <v>166</v>
      </c>
      <c r="B43" s="40" t="n">
        <v>25</v>
      </c>
    </row>
    <row r="45" customFormat="false" ht="15" hidden="false" customHeight="true" outlineLevel="0" collapsed="false">
      <c r="A45" s="33" t="s">
        <v>167</v>
      </c>
    </row>
    <row r="46" customFormat="false" ht="25.5" hidden="false" customHeight="true" outlineLevel="0" collapsed="false">
      <c r="A46" s="38" t="s">
        <v>168</v>
      </c>
      <c r="B46" s="38" t="s">
        <v>169</v>
      </c>
      <c r="C46" s="38" t="s">
        <v>170</v>
      </c>
      <c r="D46" s="38" t="s">
        <v>171</v>
      </c>
      <c r="E46" s="38" t="s">
        <v>172</v>
      </c>
      <c r="F46" s="38" t="s">
        <v>173</v>
      </c>
    </row>
    <row r="47" customFormat="false" ht="15" hidden="false" customHeight="true" outlineLevel="0" collapsed="false">
      <c r="A47" s="24" t="s">
        <v>174</v>
      </c>
      <c r="B47" s="43" t="n">
        <f aca="false">SUMIFS($E$6:$E$25,$B$6:$B$25,"Fjärrvärme",$C$6:$C$25,"Värme och tappvarmvatten")</f>
        <v>0</v>
      </c>
      <c r="C47" s="53" t="n">
        <v>1</v>
      </c>
      <c r="D47" s="52" t="n">
        <v>1</v>
      </c>
      <c r="E47" s="35" t="n">
        <f aca="false">'Regler BFS 2026'!$B$5</f>
        <v>0.7</v>
      </c>
      <c r="F47" s="34" t="s">
        <v>174</v>
      </c>
    </row>
    <row r="48" customFormat="false" ht="15" hidden="false" customHeight="true" outlineLevel="0" collapsed="false">
      <c r="A48" s="24" t="s">
        <v>175</v>
      </c>
      <c r="B48" s="43" t="n">
        <f aca="false">SUMIFS($E$6:$E$25,$B$6:$B$25,"El",$C$6:$C$25,"Värmepump")+C62</f>
        <v>0</v>
      </c>
      <c r="C48" s="53" t="n">
        <v>0</v>
      </c>
      <c r="D48" s="52" t="n">
        <v>2.5</v>
      </c>
      <c r="E48" s="35" t="n">
        <f aca="false">'Regler BFS 2026'!$B$4</f>
        <v>1.8</v>
      </c>
      <c r="F48" s="34" t="s">
        <v>176</v>
      </c>
    </row>
    <row r="49" customFormat="false" ht="15" hidden="false" customHeight="true" outlineLevel="0" collapsed="false">
      <c r="A49" s="24" t="s">
        <v>177</v>
      </c>
      <c r="B49" s="43" t="n">
        <f aca="false">SUMIFS($E$6:$E$25,$B$6:$B$25,"El",$C$6:$C$25,"Elvärme")+C63</f>
        <v>0</v>
      </c>
      <c r="C49" s="53" t="n">
        <v>0</v>
      </c>
      <c r="D49" s="52" t="n">
        <v>1</v>
      </c>
      <c r="E49" s="35" t="n">
        <f aca="false">'Regler BFS 2026'!$B$4</f>
        <v>1.8</v>
      </c>
      <c r="F49" s="34" t="s">
        <v>178</v>
      </c>
    </row>
    <row r="50" customFormat="false" ht="15" hidden="false" customHeight="true" outlineLevel="0" collapsed="false">
      <c r="A50" s="24" t="s">
        <v>179</v>
      </c>
      <c r="B50" s="43" t="n">
        <f aca="false">SUMIFS($E$6:$E$25,$B$6:$B$25,"Olja",$C$6:$C$25,"Värme och tappvarmvatten")</f>
        <v>0</v>
      </c>
      <c r="C50" s="53" t="n">
        <v>0</v>
      </c>
      <c r="D50" s="52" t="n">
        <v>0.85</v>
      </c>
      <c r="E50" s="35" t="n">
        <f aca="false">'Regler BFS 2026'!$B$8</f>
        <v>1.8</v>
      </c>
      <c r="F50" s="34" t="s">
        <v>179</v>
      </c>
    </row>
    <row r="51" customFormat="false" ht="15" hidden="false" customHeight="true" outlineLevel="0" collapsed="false">
      <c r="A51" s="24" t="s">
        <v>180</v>
      </c>
      <c r="B51" s="43" t="n">
        <f aca="false">SUMIFS($E$6:$E$25,$B$6:$B$25,"Gas",$C$6:$C$25,"Värme och tappvarmvatten")</f>
        <v>0</v>
      </c>
      <c r="C51" s="53" t="n">
        <v>0</v>
      </c>
      <c r="D51" s="52" t="n">
        <v>0.9</v>
      </c>
      <c r="E51" s="35" t="n">
        <f aca="false">'Regler BFS 2026'!$B$8</f>
        <v>1.8</v>
      </c>
      <c r="F51" s="34" t="s">
        <v>180</v>
      </c>
    </row>
    <row r="52" customFormat="false" ht="15" hidden="false" customHeight="true" outlineLevel="0" collapsed="false">
      <c r="A52" s="24" t="s">
        <v>181</v>
      </c>
      <c r="B52" s="43" t="n">
        <f aca="false">SUMIFS($E$6:$E$25,$B$6:$B$25,"Pellets/flis/briketter",$C$6:$C$25,"Värme och tappvarmvatten")</f>
        <v>0</v>
      </c>
      <c r="C52" s="53" t="n">
        <v>0</v>
      </c>
      <c r="D52" s="52" t="n">
        <v>0.85</v>
      </c>
      <c r="E52" s="35" t="n">
        <f aca="false">'Regler BFS 2026'!$B$7</f>
        <v>0.6</v>
      </c>
      <c r="F52" s="34" t="s">
        <v>182</v>
      </c>
    </row>
    <row r="53" customFormat="false" ht="15" hidden="false" customHeight="true" outlineLevel="0" collapsed="false">
      <c r="A53" s="24" t="s">
        <v>183</v>
      </c>
      <c r="B53" s="43" t="n">
        <f aca="false">SUMIFS($E$6:$E$25,$B$6:$B$25,"Ved",$C$6:$C$25,"Värme och tappvarmvatten")</f>
        <v>0</v>
      </c>
      <c r="C53" s="53" t="n">
        <v>0</v>
      </c>
      <c r="D53" s="52" t="n">
        <v>0.75</v>
      </c>
      <c r="E53" s="35" t="n">
        <f aca="false">'Regler BFS 2026'!$B$7</f>
        <v>0.6</v>
      </c>
      <c r="F53" s="34" t="s">
        <v>183</v>
      </c>
    </row>
    <row r="54" customFormat="false" ht="15" hidden="false" customHeight="true" outlineLevel="0" collapsed="false">
      <c r="A54" s="24" t="s">
        <v>184</v>
      </c>
      <c r="B54" s="43" t="n">
        <f aca="false">SUMIFS($E$6:$E$25,$B$6:$B$25,"Övrigt biobränsle",$C$6:$C$25,"Värme och tappvarmvatten")</f>
        <v>0</v>
      </c>
      <c r="C54" s="53" t="n">
        <v>0</v>
      </c>
      <c r="D54" s="52" t="n">
        <v>0.85</v>
      </c>
      <c r="E54" s="35" t="n">
        <f aca="false">'Regler BFS 2026'!$B$7</f>
        <v>0.6</v>
      </c>
      <c r="F54" s="34" t="s">
        <v>184</v>
      </c>
    </row>
    <row r="55" customFormat="false" ht="15" hidden="false" customHeight="true" outlineLevel="0" collapsed="false">
      <c r="A55" s="3" t="s">
        <v>24</v>
      </c>
      <c r="B55" s="43" t="n">
        <f aca="false">SUM(B47:B54)</f>
        <v>0</v>
      </c>
      <c r="C55" s="54" t="n">
        <f aca="false">SUM(C47:C54)</f>
        <v>1</v>
      </c>
    </row>
    <row r="56" customFormat="false" ht="15" hidden="false" customHeight="true" outlineLevel="0" collapsed="false">
      <c r="A56" s="24" t="s">
        <v>185</v>
      </c>
      <c r="B56" s="42" t="n">
        <v>0</v>
      </c>
    </row>
    <row r="57" customFormat="false" ht="15" hidden="false" customHeight="true" outlineLevel="0" collapsed="false">
      <c r="A57" s="24" t="s">
        <v>186</v>
      </c>
      <c r="B57" s="34" t="s">
        <v>187</v>
      </c>
    </row>
    <row r="59" customFormat="false" ht="15" hidden="false" customHeight="true" outlineLevel="0" collapsed="false">
      <c r="A59" s="33" t="s">
        <v>188</v>
      </c>
    </row>
    <row r="60" customFormat="false" ht="25.5" hidden="false" customHeight="true" outlineLevel="0" collapsed="false">
      <c r="A60" s="38" t="s">
        <v>141</v>
      </c>
      <c r="B60" s="38" t="s">
        <v>189</v>
      </c>
      <c r="C60" s="38" t="s">
        <v>190</v>
      </c>
      <c r="D60" s="38" t="s">
        <v>191</v>
      </c>
      <c r="E60" s="55"/>
    </row>
    <row r="61" customFormat="false" ht="15" hidden="false" customHeight="true" outlineLevel="0" collapsed="false">
      <c r="A61" s="32" t="s">
        <v>192</v>
      </c>
      <c r="B61" s="56"/>
    </row>
    <row r="62" customFormat="false" ht="15" hidden="false" customHeight="true" outlineLevel="0" collapsed="false">
      <c r="A62" s="24" t="s">
        <v>193</v>
      </c>
      <c r="B62" s="43" t="n">
        <f aca="false">SUMIFS($E$6:$E$25,$B$6:$B$25,"El",$C$6:$C$25,"Värmepump")</f>
        <v>0</v>
      </c>
      <c r="C62" s="42" t="n">
        <f aca="false">IF(B62=0,Besiktningsprotokoll!G88,0)</f>
        <v>0</v>
      </c>
      <c r="D62" s="43" t="n">
        <f aca="false">B62+C62</f>
        <v>0</v>
      </c>
      <c r="E62" s="57"/>
    </row>
    <row r="63" customFormat="false" ht="15" hidden="false" customHeight="true" outlineLevel="0" collapsed="false">
      <c r="A63" s="24" t="s">
        <v>177</v>
      </c>
      <c r="B63" s="43" t="n">
        <f aca="false">SUMIFS($E$6:$E$25,$B$6:$B$25,"El",$C$6:$C$25,"Elvärme")</f>
        <v>0</v>
      </c>
      <c r="C63" s="42" t="n">
        <f aca="false">IF(B63=0,Besiktningsprotokoll!D130,0)</f>
        <v>0</v>
      </c>
      <c r="D63" s="43" t="n">
        <f aca="false">B63+C63</f>
        <v>0</v>
      </c>
      <c r="E63" s="57"/>
    </row>
    <row r="64" customFormat="false" ht="15" hidden="false" customHeight="true" outlineLevel="0" collapsed="false">
      <c r="A64" s="24" t="s">
        <v>194</v>
      </c>
      <c r="B64" s="43" t="n">
        <f aca="false">SUMIFS($E$6:$E$25,$B$6:$B$25,"El",$C$6:$C$25,"Komfortkyla")</f>
        <v>0</v>
      </c>
      <c r="C64" s="42" t="n">
        <f aca="false">IF(B64=0,Besiktningsprotokoll!J88,0)</f>
        <v>0</v>
      </c>
      <c r="D64" s="43" t="n">
        <f aca="false">B64+C64</f>
        <v>0</v>
      </c>
      <c r="E64" s="57"/>
    </row>
    <row r="65" customFormat="false" ht="15" hidden="false" customHeight="true" outlineLevel="0" collapsed="false">
      <c r="A65" s="24" t="s">
        <v>195</v>
      </c>
      <c r="B65" s="43" t="n">
        <f aca="false">SUMIFS($E$6:$E$25,$B$6:$B$25,"El",$C$6:$C$25,"Verksamhetsel")</f>
        <v>0</v>
      </c>
      <c r="C65" s="42" t="n">
        <f aca="false">IF(B65=0,Besiktningsprotokoll!E8,0)</f>
        <v>0</v>
      </c>
      <c r="D65" s="43" t="n">
        <f aca="false">B65+C65</f>
        <v>0</v>
      </c>
      <c r="E65" s="57"/>
    </row>
    <row r="66" customFormat="false" ht="15" hidden="false" customHeight="true" outlineLevel="0" collapsed="false">
      <c r="A66" s="24" t="s">
        <v>196</v>
      </c>
      <c r="B66" s="43" t="n">
        <f aca="false">SUMIFS($E$6:$E$25,$B$6:$B$25,"El",$C$6:$C$25,"Hushållsel")</f>
        <v>0</v>
      </c>
      <c r="C66" s="42" t="n">
        <v>0</v>
      </c>
      <c r="D66" s="43" t="n">
        <f aca="false">B66+C66</f>
        <v>0</v>
      </c>
    </row>
    <row r="67" customFormat="false" ht="15" hidden="false" customHeight="true" outlineLevel="0" collapsed="false">
      <c r="A67" s="24" t="s">
        <v>197</v>
      </c>
      <c r="B67" s="43" t="n">
        <f aca="false">SUMIFS($E$6:$E$25,$B$6:$B$25,"El",$C$6:$C$25,"El utanför systemgräns")</f>
        <v>0</v>
      </c>
      <c r="C67" s="42" t="n">
        <v>0</v>
      </c>
      <c r="D67" s="43" t="n">
        <f aca="false">B67+C67</f>
        <v>0</v>
      </c>
    </row>
    <row r="68" customFormat="false" ht="15" hidden="false" customHeight="true" outlineLevel="0" collapsed="false">
      <c r="A68" s="3" t="s">
        <v>198</v>
      </c>
      <c r="D68" s="58" t="n">
        <f aca="false">Besiktningsprotokoll!D125</f>
        <v>12193.8</v>
      </c>
      <c r="E68" s="57"/>
    </row>
    <row r="69" customFormat="false" ht="15" hidden="false" customHeight="true" outlineLevel="0" collapsed="false">
      <c r="A69" s="24" t="s">
        <v>199</v>
      </c>
      <c r="D69" s="43" t="n">
        <f aca="false">SUMIFS($E$6:$E$25,$B$6:$B$25,"Fjärrkyla")</f>
        <v>0</v>
      </c>
    </row>
    <row r="70" customFormat="false" ht="15" hidden="false" customHeight="true" outlineLevel="0" collapsed="false">
      <c r="A70" s="24" t="s">
        <v>200</v>
      </c>
      <c r="D70" s="43" t="n">
        <f aca="false">SUMIFS($E$6:$E$25,$B$6:$B$25,"El")</f>
        <v>0</v>
      </c>
    </row>
  </sheetData>
  <dataValidations count="4">
    <dataValidation allowBlank="true" errorStyle="stop" operator="between" showDropDown="false" showErrorMessage="false" showInputMessage="false" sqref="B6:B25" type="list">
      <formula1>'Regler BFS 2026'!$U$5:$U$12</formula1>
      <formula2>0</formula2>
    </dataValidation>
    <dataValidation allowBlank="true" errorStyle="stop" operator="between" showDropDown="false" showErrorMessage="false" showInputMessage="false" sqref="C6:C25" type="list">
      <formula1>'Regler BFS 2026'!$V$5:$V$11</formula1>
      <formula2>0</formula2>
    </dataValidation>
    <dataValidation allowBlank="true" errorStyle="stop" operator="between" showDropDown="false" showErrorMessage="false" showInputMessage="false" sqref="D6:D25 B29:B36" type="list">
      <formula1>'Regler BFS 2026'!$W$5:$W$11</formula1>
      <formula2>0</formula2>
    </dataValidation>
    <dataValidation allowBlank="true" errorStyle="stop" operator="between" showDropDown="false" showErrorMessage="false" showInputMessage="false" sqref="B57" type="list">
      <formula1>'Regler BFS 2026'!$Y$5:$Y$6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1" topLeftCell="C12" activePane="bottomRight" state="frozen"/>
      <selection pane="topLeft" activeCell="A1" activeCellId="0" sqref="A1"/>
      <selection pane="topRight" activeCell="C1" activeCellId="0" sqref="C1"/>
      <selection pane="bottomLeft" activeCell="A12" activeCellId="0" sqref="A12"/>
      <selection pane="bottomRight" activeCell="A1" activeCellId="0" sqref="A1"/>
    </sheetView>
  </sheetViews>
  <sheetFormatPr defaultColWidth="8.68359375" defaultRowHeight="15" zeroHeight="false" outlineLevelRow="0" outlineLevelCol="0"/>
  <cols>
    <col collapsed="false" customWidth="true" hidden="false" outlineLevel="0" max="1" min="1" style="1" width="52"/>
    <col collapsed="false" customWidth="true" hidden="false" outlineLevel="0" max="2" min="2" style="1" width="11"/>
    <col collapsed="false" customWidth="true" hidden="false" outlineLevel="0" max="9" min="3" style="1" width="13"/>
  </cols>
  <sheetData>
    <row r="1" customFormat="false" ht="21.75" hidden="false" customHeight="true" outlineLevel="0" collapsed="false">
      <c r="A1" s="2" t="s">
        <v>201</v>
      </c>
    </row>
    <row r="2" customFormat="false" ht="15" hidden="false" customHeight="true" outlineLevel="0" collapsed="false">
      <c r="A2" s="32" t="s">
        <v>202</v>
      </c>
    </row>
    <row r="4" customFormat="false" ht="15" hidden="false" customHeight="true" outlineLevel="0" collapsed="false">
      <c r="A4" s="33" t="s">
        <v>203</v>
      </c>
    </row>
    <row r="5" customFormat="false" ht="15" hidden="false" customHeight="true" outlineLevel="0" collapsed="false">
      <c r="A5" s="24" t="s">
        <v>204</v>
      </c>
      <c r="C5" s="42" t="n">
        <v>900</v>
      </c>
    </row>
    <row r="6" customFormat="false" ht="15" hidden="false" customHeight="true" outlineLevel="0" collapsed="false">
      <c r="A6" s="24" t="s">
        <v>205</v>
      </c>
      <c r="C6" s="42"/>
    </row>
    <row r="7" customFormat="false" ht="15" hidden="false" customHeight="true" outlineLevel="0" collapsed="false">
      <c r="A7" s="24" t="s">
        <v>206</v>
      </c>
      <c r="C7" s="42"/>
    </row>
    <row r="8" customFormat="false" ht="15" hidden="false" customHeight="true" outlineLevel="0" collapsed="false">
      <c r="A8" s="24" t="s">
        <v>207</v>
      </c>
      <c r="C8" s="34" t="s">
        <v>203</v>
      </c>
      <c r="D8" s="34"/>
      <c r="E8" s="34"/>
    </row>
    <row r="10" customFormat="false" ht="15" hidden="false" customHeight="true" outlineLevel="0" collapsed="false">
      <c r="A10" s="33" t="s">
        <v>208</v>
      </c>
    </row>
    <row r="11" customFormat="false" ht="15" hidden="false" customHeight="true" outlineLevel="0" collapsed="false">
      <c r="A11" s="3" t="s">
        <v>13</v>
      </c>
      <c r="C11" s="3" t="str">
        <f aca="false">Byggnader!C12</f>
        <v>Byggnad 1</v>
      </c>
      <c r="D11" s="3" t="str">
        <f aca="false">Byggnader!D12</f>
        <v>Byggnad 2</v>
      </c>
      <c r="E11" s="3" t="str">
        <f aca="false">Byggnader!E12</f>
        <v>Byggnad 3</v>
      </c>
      <c r="F11" s="3" t="str">
        <f aca="false">Byggnader!F12</f>
        <v>Byggnad 4</v>
      </c>
      <c r="G11" s="3" t="str">
        <f aca="false">Byggnader!G12</f>
        <v>Byggnad 5</v>
      </c>
      <c r="H11" s="3" t="str">
        <f aca="false">Byggnader!H12</f>
        <v>Byggnad 6</v>
      </c>
      <c r="I11" s="3" t="s">
        <v>24</v>
      </c>
    </row>
    <row r="12" customFormat="false" ht="15" hidden="false" customHeight="true" outlineLevel="0" collapsed="false">
      <c r="A12" s="24" t="s">
        <v>59</v>
      </c>
      <c r="C12" s="59" t="str">
        <f aca="false">IF(Byggnader!C13="","",Byggnader!C13)</f>
        <v/>
      </c>
      <c r="D12" s="59" t="str">
        <f aca="false">IF(Byggnader!D13="","",Byggnader!D13)</f>
        <v/>
      </c>
      <c r="E12" s="59" t="str">
        <f aca="false">IF(Byggnader!E13="","",Byggnader!E13)</f>
        <v/>
      </c>
      <c r="F12" s="59" t="str">
        <f aca="false">IF(Byggnader!F13="","",Byggnader!F13)</f>
        <v/>
      </c>
      <c r="G12" s="59" t="str">
        <f aca="false">IF(Byggnader!G13="","",Byggnader!G13)</f>
        <v/>
      </c>
      <c r="H12" s="59" t="str">
        <f aca="false">IF(Byggnader!H13="","",Byggnader!H13)</f>
        <v/>
      </c>
    </row>
    <row r="13" customFormat="false" ht="15" hidden="false" customHeight="true" outlineLevel="0" collapsed="false">
      <c r="A13" s="24" t="s">
        <v>209</v>
      </c>
      <c r="C13" s="60"/>
      <c r="D13" s="60"/>
      <c r="E13" s="60"/>
      <c r="F13" s="60"/>
      <c r="G13" s="60"/>
      <c r="H13" s="60"/>
      <c r="I13" s="35" t="n">
        <f aca="false">SUM(C13:H13)</f>
        <v>0</v>
      </c>
    </row>
    <row r="14" customFormat="false" ht="15" hidden="false" customHeight="true" outlineLevel="0" collapsed="false">
      <c r="A14" s="24" t="s">
        <v>210</v>
      </c>
      <c r="C14" s="42"/>
      <c r="D14" s="42"/>
      <c r="E14" s="42"/>
      <c r="F14" s="42"/>
      <c r="G14" s="42"/>
      <c r="H14" s="42"/>
      <c r="I14" s="43" t="n">
        <f aca="false">SUM(C14:H14)</f>
        <v>0</v>
      </c>
    </row>
    <row r="15" customFormat="false" ht="15" hidden="false" customHeight="true" outlineLevel="0" collapsed="false">
      <c r="A15" s="24" t="s">
        <v>211</v>
      </c>
      <c r="C15" s="42"/>
      <c r="D15" s="42"/>
      <c r="E15" s="42"/>
      <c r="F15" s="42"/>
      <c r="G15" s="42"/>
      <c r="H15" s="42"/>
      <c r="I15" s="43" t="n">
        <f aca="false">SUM(C15:H15)</f>
        <v>0</v>
      </c>
    </row>
    <row r="16" customFormat="false" ht="15" hidden="false" customHeight="true" outlineLevel="0" collapsed="false">
      <c r="A16" s="3" t="s">
        <v>212</v>
      </c>
      <c r="C16" s="43" t="n">
        <f aca="false">IF(C14&lt;&gt;"",C14,IF($C$6&gt;0,$C$6*IF($I$13&gt;0,C13/$I$13,Byggnader!C33),C13*$C$5))</f>
        <v>0</v>
      </c>
      <c r="D16" s="43" t="n">
        <f aca="false">IF(D14&lt;&gt;"",D14,IF($C$6&gt;0,$C$6*IF($I$13&gt;0,D13/$I$13,Byggnader!D33),D13*$C$5))</f>
        <v>0</v>
      </c>
      <c r="E16" s="43" t="n">
        <f aca="false">IF(E14&lt;&gt;"",E14,IF($C$6&gt;0,$C$6*IF($I$13&gt;0,E13/$I$13,Byggnader!E33),E13*$C$5))</f>
        <v>0</v>
      </c>
      <c r="F16" s="43" t="n">
        <f aca="false">IF(F14&lt;&gt;"",F14,IF($C$6&gt;0,$C$6*IF($I$13&gt;0,F13/$I$13,Byggnader!F33),F13*$C$5))</f>
        <v>0</v>
      </c>
      <c r="G16" s="43" t="n">
        <f aca="false">IF(G14&lt;&gt;"",G14,IF($C$6&gt;0,$C$6*IF($I$13&gt;0,G13/$I$13,Byggnader!G33),G13*$C$5))</f>
        <v>0</v>
      </c>
      <c r="H16" s="43" t="n">
        <f aca="false">IF(H14&lt;&gt;"",H14,IF($C$6&gt;0,$C$6*IF($I$13&gt;0,H13/$I$13,Byggnader!H33),H13*$C$5))</f>
        <v>0</v>
      </c>
      <c r="I16" s="43" t="n">
        <f aca="false">SUM(C16:H16)</f>
        <v>0</v>
      </c>
    </row>
    <row r="17" customFormat="false" ht="15" hidden="false" customHeight="true" outlineLevel="0" collapsed="false">
      <c r="A17" s="24" t="s">
        <v>213</v>
      </c>
      <c r="C17" s="43" t="n">
        <f aca="false">N(C15)+$C$7*IFERROR(C16/$I$16,0)</f>
        <v>0</v>
      </c>
      <c r="D17" s="43" t="n">
        <f aca="false">N(D15)+$C$7*IFERROR(D16/$I$16,0)</f>
        <v>0</v>
      </c>
      <c r="E17" s="43" t="n">
        <f aca="false">N(E15)+$C$7*IFERROR(E16/$I$16,0)</f>
        <v>0</v>
      </c>
      <c r="F17" s="43" t="n">
        <f aca="false">N(F15)+$C$7*IFERROR(F16/$I$16,0)</f>
        <v>0</v>
      </c>
      <c r="G17" s="43" t="n">
        <f aca="false">N(G15)+$C$7*IFERROR(G16/$I$16,0)</f>
        <v>0</v>
      </c>
      <c r="H17" s="43" t="n">
        <f aca="false">N(H15)+$C$7*IFERROR(H16/$I$16,0)</f>
        <v>0</v>
      </c>
      <c r="I17" s="43" t="n">
        <f aca="false">SUM(C17:H17)</f>
        <v>0</v>
      </c>
    </row>
    <row r="18" customFormat="false" ht="15" hidden="false" customHeight="true" outlineLevel="0" collapsed="false">
      <c r="A18" s="3" t="s">
        <v>214</v>
      </c>
      <c r="C18" s="43" t="n">
        <f aca="false">MAX(0,C16-C17)</f>
        <v>0</v>
      </c>
      <c r="D18" s="43" t="n">
        <f aca="false">MAX(0,D16-D17)</f>
        <v>0</v>
      </c>
      <c r="E18" s="43" t="n">
        <f aca="false">MAX(0,E16-E17)</f>
        <v>0</v>
      </c>
      <c r="F18" s="43" t="n">
        <f aca="false">MAX(0,F16-F17)</f>
        <v>0</v>
      </c>
      <c r="G18" s="43" t="n">
        <f aca="false">MAX(0,G16-G17)</f>
        <v>0</v>
      </c>
      <c r="H18" s="43" t="n">
        <f aca="false">MAX(0,H16-H17)</f>
        <v>0</v>
      </c>
      <c r="I18" s="43" t="n">
        <f aca="false">SUM(C18:H18)</f>
        <v>0</v>
      </c>
    </row>
    <row r="20" customFormat="false" ht="15" hidden="false" customHeight="true" outlineLevel="0" collapsed="false">
      <c r="A20" s="33" t="s">
        <v>215</v>
      </c>
    </row>
    <row r="21" customFormat="false" ht="21.75" hidden="false" customHeight="true" outlineLevel="0" collapsed="false">
      <c r="A21" s="3" t="s">
        <v>13</v>
      </c>
      <c r="B21" s="61" t="s">
        <v>216</v>
      </c>
      <c r="C21" s="3" t="str">
        <f aca="false">Byggnader!C12</f>
        <v>Byggnad 1</v>
      </c>
      <c r="D21" s="3" t="str">
        <f aca="false">Byggnader!D12</f>
        <v>Byggnad 2</v>
      </c>
      <c r="E21" s="3" t="str">
        <f aca="false">Byggnader!E12</f>
        <v>Byggnad 3</v>
      </c>
      <c r="F21" s="3" t="str">
        <f aca="false">Byggnader!F12</f>
        <v>Byggnad 4</v>
      </c>
      <c r="G21" s="3" t="str">
        <f aca="false">Byggnader!G12</f>
        <v>Byggnad 5</v>
      </c>
      <c r="H21" s="3" t="str">
        <f aca="false">Byggnader!H12</f>
        <v>Byggnad 6</v>
      </c>
      <c r="I21" s="3" t="s">
        <v>24</v>
      </c>
    </row>
    <row r="22" customFormat="false" ht="15" hidden="false" customHeight="true" outlineLevel="0" collapsed="false">
      <c r="A22" s="24" t="s">
        <v>196</v>
      </c>
      <c r="B22" s="52" t="n">
        <v>1</v>
      </c>
      <c r="C22" s="43" t="n">
        <f aca="false">Normalisering!C143</f>
        <v>0</v>
      </c>
      <c r="D22" s="43" t="n">
        <f aca="false">Normalisering!D143</f>
        <v>0</v>
      </c>
      <c r="E22" s="43" t="n">
        <f aca="false">Normalisering!E143</f>
        <v>0</v>
      </c>
      <c r="F22" s="43" t="n">
        <f aca="false">Normalisering!F143</f>
        <v>0</v>
      </c>
      <c r="G22" s="43" t="n">
        <f aca="false">Normalisering!G143</f>
        <v>0</v>
      </c>
      <c r="H22" s="43" t="n">
        <f aca="false">Normalisering!H143</f>
        <v>0</v>
      </c>
      <c r="I22" s="43" t="n">
        <f aca="false">SUM(C22:H22)</f>
        <v>0</v>
      </c>
    </row>
    <row r="23" customFormat="false" ht="15" hidden="false" customHeight="true" outlineLevel="0" collapsed="false">
      <c r="A23" s="24" t="s">
        <v>23</v>
      </c>
      <c r="B23" s="52" t="n">
        <v>1</v>
      </c>
      <c r="C23" s="43" t="n">
        <f aca="false">Normalisering!C144</f>
        <v>0</v>
      </c>
      <c r="D23" s="43" t="n">
        <f aca="false">Normalisering!D144</f>
        <v>0</v>
      </c>
      <c r="E23" s="43" t="n">
        <f aca="false">Normalisering!E144</f>
        <v>0</v>
      </c>
      <c r="F23" s="43" t="n">
        <f aca="false">Normalisering!F144</f>
        <v>0</v>
      </c>
      <c r="G23" s="43" t="n">
        <f aca="false">Normalisering!G144</f>
        <v>0</v>
      </c>
      <c r="H23" s="43" t="n">
        <f aca="false">Normalisering!H144</f>
        <v>0</v>
      </c>
      <c r="I23" s="43" t="n">
        <f aca="false">SUM(C23:H23)</f>
        <v>0</v>
      </c>
    </row>
    <row r="24" customFormat="false" ht="15" hidden="false" customHeight="true" outlineLevel="0" collapsed="false">
      <c r="A24" s="24" t="s">
        <v>217</v>
      </c>
      <c r="B24" s="52" t="n">
        <v>1</v>
      </c>
      <c r="C24" s="43" t="n">
        <f aca="false">Normalisering!C145</f>
        <v>0</v>
      </c>
      <c r="D24" s="43" t="n">
        <f aca="false">Normalisering!D145</f>
        <v>0</v>
      </c>
      <c r="E24" s="43" t="n">
        <f aca="false">Normalisering!E145</f>
        <v>0</v>
      </c>
      <c r="F24" s="43" t="n">
        <f aca="false">Normalisering!F145</f>
        <v>0</v>
      </c>
      <c r="G24" s="43" t="n">
        <f aca="false">Normalisering!G145</f>
        <v>0</v>
      </c>
      <c r="H24" s="43" t="n">
        <f aca="false">Normalisering!H145</f>
        <v>0</v>
      </c>
      <c r="I24" s="43" t="n">
        <f aca="false">SUM(C24:H24)</f>
        <v>0</v>
      </c>
    </row>
    <row r="25" customFormat="false" ht="15" hidden="false" customHeight="true" outlineLevel="0" collapsed="false">
      <c r="A25" s="24" t="s">
        <v>218</v>
      </c>
      <c r="B25" s="52" t="n">
        <v>1</v>
      </c>
      <c r="C25" s="43" t="n">
        <f aca="false">Normalisering!C137</f>
        <v>0</v>
      </c>
      <c r="D25" s="43" t="n">
        <f aca="false">Normalisering!D137</f>
        <v>0</v>
      </c>
      <c r="E25" s="43" t="n">
        <f aca="false">Normalisering!E137</f>
        <v>0</v>
      </c>
      <c r="F25" s="43" t="n">
        <f aca="false">Normalisering!F137</f>
        <v>0</v>
      </c>
      <c r="G25" s="43" t="n">
        <f aca="false">Normalisering!G137</f>
        <v>0</v>
      </c>
      <c r="H25" s="43" t="n">
        <f aca="false">Normalisering!H137</f>
        <v>0</v>
      </c>
      <c r="I25" s="43" t="n">
        <f aca="false">SUM(C25:H25)</f>
        <v>0</v>
      </c>
    </row>
    <row r="26" customFormat="false" ht="15" hidden="false" customHeight="true" outlineLevel="0" collapsed="false">
      <c r="A26" s="24" t="s">
        <v>193</v>
      </c>
      <c r="B26" s="52" t="n">
        <v>1</v>
      </c>
      <c r="C26" s="43" t="n">
        <f aca="false">Normalisering!C58</f>
        <v>0</v>
      </c>
      <c r="D26" s="43" t="n">
        <f aca="false">Normalisering!D58</f>
        <v>0</v>
      </c>
      <c r="E26" s="43" t="n">
        <f aca="false">Normalisering!E58</f>
        <v>0</v>
      </c>
      <c r="F26" s="43" t="n">
        <f aca="false">Normalisering!F58</f>
        <v>0</v>
      </c>
      <c r="G26" s="43" t="n">
        <f aca="false">Normalisering!G58</f>
        <v>0</v>
      </c>
      <c r="H26" s="43" t="n">
        <f aca="false">Normalisering!H58</f>
        <v>0</v>
      </c>
      <c r="I26" s="43" t="n">
        <f aca="false">SUM(C26:H26)</f>
        <v>0</v>
      </c>
    </row>
    <row r="27" customFormat="false" ht="15" hidden="false" customHeight="true" outlineLevel="0" collapsed="false">
      <c r="A27" s="24" t="s">
        <v>219</v>
      </c>
      <c r="B27" s="52" t="n">
        <v>1</v>
      </c>
      <c r="C27" s="43" t="n">
        <f aca="false">Normalisering!C59+Normalisering!C140</f>
        <v>0</v>
      </c>
      <c r="D27" s="43" t="n">
        <f aca="false">Normalisering!D59+Normalisering!D140</f>
        <v>0</v>
      </c>
      <c r="E27" s="43" t="n">
        <f aca="false">Normalisering!E59+Normalisering!E140</f>
        <v>0</v>
      </c>
      <c r="F27" s="43" t="n">
        <f aca="false">Normalisering!F59+Normalisering!F140</f>
        <v>0</v>
      </c>
      <c r="G27" s="43" t="n">
        <f aca="false">Normalisering!G59+Normalisering!G140</f>
        <v>0</v>
      </c>
      <c r="H27" s="43" t="n">
        <f aca="false">Normalisering!H59+Normalisering!H140</f>
        <v>0</v>
      </c>
      <c r="I27" s="43" t="n">
        <f aca="false">SUM(C27:H27)</f>
        <v>0</v>
      </c>
    </row>
    <row r="28" customFormat="false" ht="15" hidden="false" customHeight="true" outlineLevel="0" collapsed="false">
      <c r="A28" s="24" t="s">
        <v>220</v>
      </c>
      <c r="C28" s="43" t="n">
        <f aca="false">SUM(C22:C27)</f>
        <v>0</v>
      </c>
      <c r="D28" s="43" t="n">
        <f aca="false">SUM(D22:D27)</f>
        <v>0</v>
      </c>
      <c r="E28" s="43" t="n">
        <f aca="false">SUM(E22:E27)</f>
        <v>0</v>
      </c>
      <c r="F28" s="43" t="n">
        <f aca="false">SUM(F22:F27)</f>
        <v>0</v>
      </c>
      <c r="G28" s="43" t="n">
        <f aca="false">SUM(G22:G27)</f>
        <v>0</v>
      </c>
      <c r="H28" s="43" t="n">
        <f aca="false">SUM(H22:H27)</f>
        <v>0</v>
      </c>
      <c r="I28" s="43" t="n">
        <f aca="false">SUM(I22:I27)</f>
        <v>0</v>
      </c>
    </row>
    <row r="29" customFormat="false" ht="15" hidden="false" customHeight="true" outlineLevel="0" collapsed="false">
      <c r="A29" s="24" t="s">
        <v>221</v>
      </c>
      <c r="C29" s="43" t="n">
        <f aca="false">SUMPRODUCT($B$22:$B$27,C22:C27)</f>
        <v>0</v>
      </c>
      <c r="D29" s="43" t="n">
        <f aca="false">SUMPRODUCT($B$22:$B$27,D22:D27)</f>
        <v>0</v>
      </c>
      <c r="E29" s="43" t="n">
        <f aca="false">SUMPRODUCT($B$22:$B$27,E22:E27)</f>
        <v>0</v>
      </c>
      <c r="F29" s="43" t="n">
        <f aca="false">SUMPRODUCT($B$22:$B$27,F22:F27)</f>
        <v>0</v>
      </c>
      <c r="G29" s="43" t="n">
        <f aca="false">SUMPRODUCT($B$22:$B$27,G22:G27)</f>
        <v>0</v>
      </c>
      <c r="H29" s="43" t="n">
        <f aca="false">SUMPRODUCT($B$22:$B$27,H22:H27)</f>
        <v>0</v>
      </c>
      <c r="I29" s="43" t="n">
        <f aca="false">SUMPRODUCT($B$22:$B$27,I22:I27)</f>
        <v>0</v>
      </c>
    </row>
    <row r="30" customFormat="false" ht="15" hidden="false" customHeight="true" outlineLevel="0" collapsed="false">
      <c r="A30" s="3" t="s">
        <v>222</v>
      </c>
      <c r="C30" s="43" t="n">
        <f aca="false">MIN(C28,IF($C$8="Gemensamt för fastigheten",$I$18*IFERROR(C29/$I$29,0),C18))</f>
        <v>0</v>
      </c>
      <c r="D30" s="43" t="n">
        <f aca="false">MIN(D28,IF($C$8="Gemensamt för fastigheten",$I$18*IFERROR(D29/$I$29,0),D18))</f>
        <v>0</v>
      </c>
      <c r="E30" s="43" t="n">
        <f aca="false">MIN(E28,IF($C$8="Gemensamt för fastigheten",$I$18*IFERROR(E29/$I$29,0),E18))</f>
        <v>0</v>
      </c>
      <c r="F30" s="43" t="n">
        <f aca="false">MIN(F28,IF($C$8="Gemensamt för fastigheten",$I$18*IFERROR(F29/$I$29,0),F18))</f>
        <v>0</v>
      </c>
      <c r="G30" s="43" t="n">
        <f aca="false">MIN(G28,IF($C$8="Gemensamt för fastigheten",$I$18*IFERROR(G29/$I$29,0),G18))</f>
        <v>0</v>
      </c>
      <c r="H30" s="43" t="n">
        <f aca="false">MIN(H28,IF($C$8="Gemensamt för fastigheten",$I$18*IFERROR(H29/$I$29,0),H18))</f>
        <v>0</v>
      </c>
      <c r="I30" s="43" t="n">
        <f aca="false">SUM(C30:H30)</f>
        <v>0</v>
      </c>
    </row>
    <row r="32" customFormat="false" ht="15" hidden="false" customHeight="true" outlineLevel="0" collapsed="false">
      <c r="A32" s="33" t="s">
        <v>223</v>
      </c>
    </row>
    <row r="33" customFormat="false" ht="15" hidden="false" customHeight="true" outlineLevel="0" collapsed="false">
      <c r="A33" s="3" t="s">
        <v>13</v>
      </c>
      <c r="C33" s="3" t="str">
        <f aca="false">Byggnader!C12</f>
        <v>Byggnad 1</v>
      </c>
      <c r="D33" s="3" t="str">
        <f aca="false">Byggnader!D12</f>
        <v>Byggnad 2</v>
      </c>
      <c r="E33" s="3" t="str">
        <f aca="false">Byggnader!E12</f>
        <v>Byggnad 3</v>
      </c>
      <c r="F33" s="3" t="str">
        <f aca="false">Byggnader!F12</f>
        <v>Byggnad 4</v>
      </c>
      <c r="G33" s="3" t="str">
        <f aca="false">Byggnader!G12</f>
        <v>Byggnad 5</v>
      </c>
      <c r="H33" s="3" t="str">
        <f aca="false">Byggnader!H12</f>
        <v>Byggnad 6</v>
      </c>
      <c r="I33" s="3" t="s">
        <v>24</v>
      </c>
    </row>
    <row r="34" customFormat="false" ht="15" hidden="false" customHeight="true" outlineLevel="0" collapsed="false">
      <c r="A34" s="24" t="s">
        <v>196</v>
      </c>
      <c r="C34" s="43" t="n">
        <f aca="false">IFERROR(MIN(C22,C$30*$B22*C22/C$29),0)</f>
        <v>0</v>
      </c>
      <c r="D34" s="43" t="n">
        <f aca="false">IFERROR(MIN(D22,D$30*$B22*D22/D$29),0)</f>
        <v>0</v>
      </c>
      <c r="E34" s="43" t="n">
        <f aca="false">IFERROR(MIN(E22,E$30*$B22*E22/E$29),0)</f>
        <v>0</v>
      </c>
      <c r="F34" s="43" t="n">
        <f aca="false">IFERROR(MIN(F22,F$30*$B22*F22/F$29),0)</f>
        <v>0</v>
      </c>
      <c r="G34" s="43" t="n">
        <f aca="false">IFERROR(MIN(G22,G$30*$B22*G22/G$29),0)</f>
        <v>0</v>
      </c>
      <c r="H34" s="43" t="n">
        <f aca="false">IFERROR(MIN(H22,H$30*$B22*H22/H$29),0)</f>
        <v>0</v>
      </c>
      <c r="I34" s="43" t="n">
        <f aca="false">SUM(C34:H34)</f>
        <v>0</v>
      </c>
    </row>
    <row r="35" customFormat="false" ht="15" hidden="false" customHeight="true" outlineLevel="0" collapsed="false">
      <c r="A35" s="24" t="s">
        <v>23</v>
      </c>
      <c r="C35" s="43" t="n">
        <f aca="false">IFERROR(MIN(C23,C$30*$B23*C23/C$29),0)</f>
        <v>0</v>
      </c>
      <c r="D35" s="43" t="n">
        <f aca="false">IFERROR(MIN(D23,D$30*$B23*D23/D$29),0)</f>
        <v>0</v>
      </c>
      <c r="E35" s="43" t="n">
        <f aca="false">IFERROR(MIN(E23,E$30*$B23*E23/E$29),0)</f>
        <v>0</v>
      </c>
      <c r="F35" s="43" t="n">
        <f aca="false">IFERROR(MIN(F23,F$30*$B23*F23/F$29),0)</f>
        <v>0</v>
      </c>
      <c r="G35" s="43" t="n">
        <f aca="false">IFERROR(MIN(G23,G$30*$B23*G23/G$29),0)</f>
        <v>0</v>
      </c>
      <c r="H35" s="43" t="n">
        <f aca="false">IFERROR(MIN(H23,H$30*$B23*H23/H$29),0)</f>
        <v>0</v>
      </c>
      <c r="I35" s="43" t="n">
        <f aca="false">SUM(C35:H35)</f>
        <v>0</v>
      </c>
    </row>
    <row r="36" customFormat="false" ht="15" hidden="false" customHeight="true" outlineLevel="0" collapsed="false">
      <c r="A36" s="24" t="s">
        <v>217</v>
      </c>
      <c r="C36" s="43" t="n">
        <f aca="false">IFERROR(MIN(C24,C$30*$B24*C24/C$29),0)</f>
        <v>0</v>
      </c>
      <c r="D36" s="43" t="n">
        <f aca="false">IFERROR(MIN(D24,D$30*$B24*D24/D$29),0)</f>
        <v>0</v>
      </c>
      <c r="E36" s="43" t="n">
        <f aca="false">IFERROR(MIN(E24,E$30*$B24*E24/E$29),0)</f>
        <v>0</v>
      </c>
      <c r="F36" s="43" t="n">
        <f aca="false">IFERROR(MIN(F24,F$30*$B24*F24/F$29),0)</f>
        <v>0</v>
      </c>
      <c r="G36" s="43" t="n">
        <f aca="false">IFERROR(MIN(G24,G$30*$B24*G24/G$29),0)</f>
        <v>0</v>
      </c>
      <c r="H36" s="43" t="n">
        <f aca="false">IFERROR(MIN(H24,H$30*$B24*H24/H$29),0)</f>
        <v>0</v>
      </c>
      <c r="I36" s="43" t="n">
        <f aca="false">SUM(C36:H36)</f>
        <v>0</v>
      </c>
    </row>
    <row r="37" customFormat="false" ht="15" hidden="false" customHeight="true" outlineLevel="0" collapsed="false">
      <c r="A37" s="24" t="s">
        <v>218</v>
      </c>
      <c r="C37" s="43" t="n">
        <f aca="false">IFERROR(MIN(C25,C$30*$B25*C25/C$29),0)</f>
        <v>0</v>
      </c>
      <c r="D37" s="43" t="n">
        <f aca="false">IFERROR(MIN(D25,D$30*$B25*D25/D$29),0)</f>
        <v>0</v>
      </c>
      <c r="E37" s="43" t="n">
        <f aca="false">IFERROR(MIN(E25,E$30*$B25*E25/E$29),0)</f>
        <v>0</v>
      </c>
      <c r="F37" s="43" t="n">
        <f aca="false">IFERROR(MIN(F25,F$30*$B25*F25/F$29),0)</f>
        <v>0</v>
      </c>
      <c r="G37" s="43" t="n">
        <f aca="false">IFERROR(MIN(G25,G$30*$B25*G25/G$29),0)</f>
        <v>0</v>
      </c>
      <c r="H37" s="43" t="n">
        <f aca="false">IFERROR(MIN(H25,H$30*$B25*H25/H$29),0)</f>
        <v>0</v>
      </c>
      <c r="I37" s="43" t="n">
        <f aca="false">SUM(C37:H37)</f>
        <v>0</v>
      </c>
    </row>
    <row r="38" customFormat="false" ht="15" hidden="false" customHeight="true" outlineLevel="0" collapsed="false">
      <c r="A38" s="24" t="s">
        <v>193</v>
      </c>
      <c r="C38" s="43" t="n">
        <f aca="false">IFERROR(MIN(C26,C$30*$B26*C26/C$29),0)</f>
        <v>0</v>
      </c>
      <c r="D38" s="43" t="n">
        <f aca="false">IFERROR(MIN(D26,D$30*$B26*D26/D$29),0)</f>
        <v>0</v>
      </c>
      <c r="E38" s="43" t="n">
        <f aca="false">IFERROR(MIN(E26,E$30*$B26*E26/E$29),0)</f>
        <v>0</v>
      </c>
      <c r="F38" s="43" t="n">
        <f aca="false">IFERROR(MIN(F26,F$30*$B26*F26/F$29),0)</f>
        <v>0</v>
      </c>
      <c r="G38" s="43" t="n">
        <f aca="false">IFERROR(MIN(G26,G$30*$B26*G26/G$29),0)</f>
        <v>0</v>
      </c>
      <c r="H38" s="43" t="n">
        <f aca="false">IFERROR(MIN(H26,H$30*$B26*H26/H$29),0)</f>
        <v>0</v>
      </c>
      <c r="I38" s="43" t="n">
        <f aca="false">SUM(C38:H38)</f>
        <v>0</v>
      </c>
    </row>
    <row r="39" customFormat="false" ht="15" hidden="false" customHeight="true" outlineLevel="0" collapsed="false">
      <c r="A39" s="24" t="s">
        <v>219</v>
      </c>
      <c r="C39" s="43" t="n">
        <f aca="false">IFERROR(MIN(C27,C$30*$B27*C27/C$29),0)</f>
        <v>0</v>
      </c>
      <c r="D39" s="43" t="n">
        <f aca="false">IFERROR(MIN(D27,D$30*$B27*D27/D$29),0)</f>
        <v>0</v>
      </c>
      <c r="E39" s="43" t="n">
        <f aca="false">IFERROR(MIN(E27,E$30*$B27*E27/E$29),0)</f>
        <v>0</v>
      </c>
      <c r="F39" s="43" t="n">
        <f aca="false">IFERROR(MIN(F27,F$30*$B27*F27/F$29),0)</f>
        <v>0</v>
      </c>
      <c r="G39" s="43" t="n">
        <f aca="false">IFERROR(MIN(G27,G$30*$B27*G27/G$29),0)</f>
        <v>0</v>
      </c>
      <c r="H39" s="43" t="n">
        <f aca="false">IFERROR(MIN(H27,H$30*$B27*H27/H$29),0)</f>
        <v>0</v>
      </c>
      <c r="I39" s="43" t="n">
        <f aca="false">SUM(C39:H39)</f>
        <v>0</v>
      </c>
    </row>
    <row r="40" customFormat="false" ht="15" hidden="false" customHeight="true" outlineLevel="0" collapsed="false">
      <c r="A40" s="3" t="s">
        <v>224</v>
      </c>
      <c r="C40" s="43" t="n">
        <f aca="false">SUM(C34:C39)</f>
        <v>0</v>
      </c>
      <c r="D40" s="43" t="n">
        <f aca="false">SUM(D34:D39)</f>
        <v>0</v>
      </c>
      <c r="E40" s="43" t="n">
        <f aca="false">SUM(E34:E39)</f>
        <v>0</v>
      </c>
      <c r="F40" s="43" t="n">
        <f aca="false">SUM(F34:F39)</f>
        <v>0</v>
      </c>
      <c r="G40" s="43" t="n">
        <f aca="false">SUM(G34:G39)</f>
        <v>0</v>
      </c>
      <c r="H40" s="43" t="n">
        <f aca="false">SUM(H34:H39)</f>
        <v>0</v>
      </c>
      <c r="I40" s="43" t="n">
        <f aca="false">SUM(I34:I39)</f>
        <v>0</v>
      </c>
    </row>
    <row r="42" customFormat="false" ht="15" hidden="false" customHeight="true" outlineLevel="0" collapsed="false">
      <c r="A42" s="33" t="s">
        <v>225</v>
      </c>
    </row>
    <row r="43" customFormat="false" ht="15" hidden="false" customHeight="true" outlineLevel="0" collapsed="false">
      <c r="A43" s="3" t="s">
        <v>13</v>
      </c>
      <c r="C43" s="3" t="str">
        <f aca="false">Byggnader!C12</f>
        <v>Byggnad 1</v>
      </c>
      <c r="D43" s="3" t="str">
        <f aca="false">Byggnader!D12</f>
        <v>Byggnad 2</v>
      </c>
      <c r="E43" s="3" t="str">
        <f aca="false">Byggnader!E12</f>
        <v>Byggnad 3</v>
      </c>
      <c r="F43" s="3" t="str">
        <f aca="false">Byggnader!F12</f>
        <v>Byggnad 4</v>
      </c>
      <c r="G43" s="3" t="str">
        <f aca="false">Byggnader!G12</f>
        <v>Byggnad 5</v>
      </c>
      <c r="H43" s="3" t="str">
        <f aca="false">Byggnader!H12</f>
        <v>Byggnad 6</v>
      </c>
      <c r="I43" s="3" t="s">
        <v>24</v>
      </c>
    </row>
    <row r="44" customFormat="false" ht="15" hidden="false" customHeight="true" outlineLevel="0" collapsed="false">
      <c r="A44" s="24" t="s">
        <v>89</v>
      </c>
      <c r="C44" s="43" t="n">
        <f aca="false">C37</f>
        <v>0</v>
      </c>
      <c r="D44" s="43" t="n">
        <f aca="false">D37</f>
        <v>0</v>
      </c>
      <c r="E44" s="43" t="n">
        <f aca="false">E37</f>
        <v>0</v>
      </c>
      <c r="F44" s="43" t="n">
        <f aca="false">F37</f>
        <v>0</v>
      </c>
      <c r="G44" s="43" t="n">
        <f aca="false">G37</f>
        <v>0</v>
      </c>
      <c r="H44" s="43" t="n">
        <f aca="false">H37</f>
        <v>0</v>
      </c>
      <c r="I44" s="43" t="n">
        <f aca="false">I37</f>
        <v>0</v>
      </c>
    </row>
    <row r="45" customFormat="false" ht="15" hidden="false" customHeight="true" outlineLevel="0" collapsed="false">
      <c r="A45" s="24" t="s">
        <v>90</v>
      </c>
      <c r="C45" s="43" t="n">
        <f aca="false">C38+C39</f>
        <v>0</v>
      </c>
      <c r="D45" s="43" t="n">
        <f aca="false">D38+D39</f>
        <v>0</v>
      </c>
      <c r="E45" s="43" t="n">
        <f aca="false">E38+E39</f>
        <v>0</v>
      </c>
      <c r="F45" s="43" t="n">
        <f aca="false">F38+F39</f>
        <v>0</v>
      </c>
      <c r="G45" s="43" t="n">
        <f aca="false">G38+G39</f>
        <v>0</v>
      </c>
      <c r="H45" s="43" t="n">
        <f aca="false">H38+H39</f>
        <v>0</v>
      </c>
      <c r="I45" s="43" t="n">
        <f aca="false">I38+I39</f>
        <v>0</v>
      </c>
    </row>
    <row r="46" customFormat="false" ht="15" hidden="false" customHeight="true" outlineLevel="0" collapsed="false">
      <c r="A46" s="3" t="s">
        <v>226</v>
      </c>
      <c r="C46" s="35" t="n">
        <f aca="false">IFERROR((C44+C45)*'Regler BFS 2026'!$B$4/Byggnader!C32,0)</f>
        <v>0</v>
      </c>
      <c r="D46" s="35" t="n">
        <f aca="false">IFERROR((D44+D45)*'Regler BFS 2026'!$B$4/Byggnader!D32,0)</f>
        <v>0</v>
      </c>
      <c r="E46" s="35" t="n">
        <f aca="false">IFERROR((E44+E45)*'Regler BFS 2026'!$B$4/Byggnader!E32,0)</f>
        <v>0</v>
      </c>
      <c r="F46" s="35" t="n">
        <f aca="false">IFERROR((F44+F45)*'Regler BFS 2026'!$B$4/Byggnader!F32,0)</f>
        <v>0</v>
      </c>
      <c r="G46" s="35" t="n">
        <f aca="false">IFERROR((G44+G45)*'Regler BFS 2026'!$B$4/Byggnader!G32,0)</f>
        <v>0</v>
      </c>
      <c r="H46" s="35" t="n">
        <f aca="false">IFERROR((H44+H45)*'Regler BFS 2026'!$B$4/Byggnader!H32,0)</f>
        <v>0</v>
      </c>
      <c r="I46" s="35" t="n">
        <f aca="false">IFERROR((I44+I45)*'Regler BFS 2026'!$B$4/Byggnader!I32,0)</f>
        <v>0</v>
      </c>
    </row>
  </sheetData>
  <mergeCells count="1">
    <mergeCell ref="C8:E8"/>
  </mergeCells>
  <dataValidations count="1">
    <dataValidation allowBlank="false" errorStyle="stop" operator="between" showDropDown="false" showErrorMessage="false" showInputMessage="false" sqref="C8" type="list">
      <formula1>'Regler BFS 2026'!$Z$5:$Z$6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6"/>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F31" activeCellId="0" sqref="F31"/>
    </sheetView>
  </sheetViews>
  <sheetFormatPr defaultColWidth="9.28515625" defaultRowHeight="12" zeroHeight="false" outlineLevelRow="0" outlineLevelCol="0"/>
  <cols>
    <col collapsed="false" customWidth="true" hidden="false" outlineLevel="0" max="1" min="1" style="62" width="28.14"/>
    <col collapsed="false" customWidth="true" hidden="false" outlineLevel="0" max="2" min="2" style="62" width="14"/>
    <col collapsed="false" customWidth="true" hidden="false" outlineLevel="0" max="3" min="3" style="62" width="12.28"/>
    <col collapsed="false" customWidth="true" hidden="false" outlineLevel="0" max="4" min="4" style="62" width="14.14"/>
    <col collapsed="false" customWidth="true" hidden="false" outlineLevel="0" max="5" min="5" style="62" width="21.57"/>
    <col collapsed="false" customWidth="true" hidden="false" outlineLevel="0" max="6" min="6" style="62" width="15.14"/>
    <col collapsed="false" customWidth="true" hidden="false" outlineLevel="0" max="7" min="7" style="62" width="29.28"/>
    <col collapsed="false" customWidth="true" hidden="false" outlineLevel="0" max="8" min="8" style="62" width="20.14"/>
    <col collapsed="false" customWidth="true" hidden="false" outlineLevel="0" max="9" min="9" style="62" width="22.85"/>
    <col collapsed="false" customWidth="true" hidden="false" outlineLevel="0" max="12" min="10" style="62" width="25.14"/>
    <col collapsed="false" customWidth="true" hidden="false" outlineLevel="0" max="13" min="13" style="62" width="26.28"/>
    <col collapsed="false" customWidth="true" hidden="false" outlineLevel="0" max="15" min="14" style="62" width="22.28"/>
    <col collapsed="false" customWidth="true" hidden="false" outlineLevel="0" max="16" min="16" style="62" width="18.71"/>
    <col collapsed="false" customWidth="true" hidden="false" outlineLevel="0" max="17" min="17" style="62" width="27.28"/>
    <col collapsed="false" customWidth="true" hidden="false" outlineLevel="0" max="18" min="18" style="62" width="17.71"/>
    <col collapsed="false" customWidth="false" hidden="false" outlineLevel="0" max="16384" min="19" style="62" width="9.28"/>
  </cols>
  <sheetData>
    <row r="1" customFormat="false" ht="31.5" hidden="false" customHeight="true" outlineLevel="0" collapsed="false">
      <c r="A1" s="63" t="s">
        <v>227</v>
      </c>
      <c r="B1" s="63"/>
      <c r="C1" s="63"/>
      <c r="D1" s="63"/>
      <c r="E1" s="63"/>
    </row>
    <row r="2" customFormat="false" ht="12.75" hidden="false" customHeight="true" outlineLevel="0" collapsed="false">
      <c r="A2" s="64" t="s">
        <v>228</v>
      </c>
      <c r="B2" s="64"/>
      <c r="C2" s="64"/>
      <c r="D2" s="64"/>
      <c r="E2" s="64"/>
    </row>
    <row r="3" customFormat="false" ht="12" hidden="false" customHeight="true" outlineLevel="0" collapsed="false">
      <c r="A3" s="65" t="s">
        <v>229</v>
      </c>
      <c r="B3" s="66"/>
      <c r="C3" s="67" t="s">
        <v>230</v>
      </c>
      <c r="D3" s="68" t="s">
        <v>231</v>
      </c>
      <c r="E3" s="69"/>
    </row>
    <row r="4" customFormat="false" ht="12" hidden="false" customHeight="true" outlineLevel="0" collapsed="false">
      <c r="A4" s="70" t="s">
        <v>13</v>
      </c>
      <c r="B4" s="71"/>
      <c r="C4" s="72" t="s">
        <v>232</v>
      </c>
      <c r="D4" s="73" t="s">
        <v>233</v>
      </c>
      <c r="E4" s="74"/>
    </row>
    <row r="5" customFormat="false" ht="12" hidden="false" customHeight="true" outlineLevel="0" collapsed="false">
      <c r="A5" s="70" t="s">
        <v>14</v>
      </c>
      <c r="B5" s="71"/>
      <c r="C5" s="72" t="s">
        <v>234</v>
      </c>
      <c r="D5" s="73" t="s">
        <v>235</v>
      </c>
      <c r="E5" s="74"/>
    </row>
    <row r="6" customFormat="false" ht="12.75" hidden="false" customHeight="true" outlineLevel="0" collapsed="false">
      <c r="A6" s="70" t="s">
        <v>236</v>
      </c>
      <c r="B6" s="75" t="n">
        <f aca="false">Byggnader!I32</f>
        <v>0</v>
      </c>
      <c r="C6" s="76" t="s">
        <v>237</v>
      </c>
      <c r="D6" s="77" t="s">
        <v>238</v>
      </c>
      <c r="E6" s="78"/>
    </row>
    <row r="7" customFormat="false" ht="36" hidden="false" customHeight="true" outlineLevel="0" collapsed="false">
      <c r="A7" s="65" t="s">
        <v>239</v>
      </c>
      <c r="B7" s="79" t="s">
        <v>177</v>
      </c>
      <c r="C7" s="79" t="s">
        <v>240</v>
      </c>
      <c r="D7" s="79"/>
      <c r="E7" s="80" t="s">
        <v>241</v>
      </c>
      <c r="H7" s="81"/>
      <c r="I7" s="81"/>
      <c r="J7" s="81"/>
      <c r="K7" s="81"/>
      <c r="L7" s="81"/>
      <c r="M7" s="81"/>
      <c r="N7" s="81"/>
    </row>
    <row r="8" customFormat="false" ht="12" hidden="false" customHeight="true" outlineLevel="0" collapsed="false">
      <c r="A8" s="65"/>
      <c r="B8" s="73" t="n">
        <f aca="false">D130</f>
        <v>0</v>
      </c>
      <c r="C8" s="82" t="n">
        <f aca="false">D125</f>
        <v>12193.8</v>
      </c>
      <c r="D8" s="82"/>
      <c r="E8" s="83" t="n">
        <f aca="false">D146+D107</f>
        <v>0</v>
      </c>
    </row>
    <row r="9" customFormat="false" ht="16.5" hidden="false" customHeight="true" outlineLevel="0" collapsed="false">
      <c r="A9" s="84"/>
      <c r="B9" s="85" t="s">
        <v>242</v>
      </c>
      <c r="C9" s="85" t="s">
        <v>243</v>
      </c>
      <c r="D9" s="85"/>
      <c r="E9" s="86" t="s">
        <v>244</v>
      </c>
    </row>
    <row r="10" customFormat="false" ht="18" hidden="false" customHeight="true" outlineLevel="0" collapsed="false">
      <c r="A10" s="84"/>
      <c r="B10" s="87" t="n">
        <f aca="false">G88</f>
        <v>0</v>
      </c>
      <c r="C10" s="87" t="n">
        <f aca="false">J88</f>
        <v>0</v>
      </c>
      <c r="D10" s="87"/>
      <c r="E10" s="88"/>
      <c r="H10" s="81"/>
      <c r="I10" s="81"/>
    </row>
    <row r="11" customFormat="false" ht="18" hidden="false" customHeight="true" outlineLevel="0" collapsed="false">
      <c r="A11" s="89" t="s">
        <v>245</v>
      </c>
      <c r="B11" s="89"/>
      <c r="C11" s="89"/>
      <c r="D11" s="89"/>
      <c r="E11" s="89"/>
    </row>
    <row r="12" customFormat="false" ht="12.75" hidden="false" customHeight="true" outlineLevel="0" collapsed="false">
      <c r="A12" s="90"/>
      <c r="B12" s="91" t="s">
        <v>246</v>
      </c>
      <c r="C12" s="92"/>
      <c r="D12" s="92"/>
      <c r="E12" s="93"/>
    </row>
    <row r="13" s="81" customFormat="true" ht="34.5" hidden="false" customHeight="true" outlineLevel="0" collapsed="false">
      <c r="A13" s="94"/>
      <c r="B13" s="95" t="s">
        <v>247</v>
      </c>
      <c r="C13" s="95"/>
      <c r="D13" s="95"/>
      <c r="E13" s="96" t="s">
        <v>38</v>
      </c>
    </row>
    <row r="14" customFormat="false" ht="12" hidden="false" customHeight="true" outlineLevel="0" collapsed="false">
      <c r="A14" s="97" t="s">
        <v>248</v>
      </c>
      <c r="B14" s="73"/>
      <c r="C14" s="73"/>
      <c r="D14" s="73"/>
      <c r="E14" s="98"/>
    </row>
    <row r="15" customFormat="false" ht="12" hidden="false" customHeight="true" outlineLevel="0" collapsed="false">
      <c r="A15" s="97" t="s">
        <v>249</v>
      </c>
      <c r="B15" s="73"/>
      <c r="C15" s="73"/>
      <c r="D15" s="73"/>
      <c r="E15" s="98"/>
      <c r="N15" s="62" t="s">
        <v>250</v>
      </c>
    </row>
    <row r="16" customFormat="false" ht="12" hidden="false" customHeight="true" outlineLevel="0" collapsed="false">
      <c r="A16" s="97" t="s">
        <v>251</v>
      </c>
      <c r="B16" s="73"/>
      <c r="C16" s="73"/>
      <c r="D16" s="73"/>
      <c r="E16" s="98"/>
    </row>
    <row r="17" customFormat="false" ht="12" hidden="false" customHeight="true" outlineLevel="0" collapsed="false">
      <c r="A17" s="97" t="s">
        <v>252</v>
      </c>
      <c r="B17" s="73"/>
      <c r="C17" s="73"/>
      <c r="D17" s="73"/>
      <c r="E17" s="98"/>
    </row>
    <row r="18" customFormat="false" ht="12.75" hidden="false" customHeight="true" outlineLevel="0" collapsed="false">
      <c r="A18" s="97" t="s">
        <v>244</v>
      </c>
      <c r="B18" s="73"/>
      <c r="C18" s="73"/>
      <c r="D18" s="73"/>
      <c r="E18" s="98"/>
    </row>
    <row r="19" customFormat="false" ht="18" hidden="false" customHeight="true" outlineLevel="0" collapsed="false">
      <c r="A19" s="99" t="s">
        <v>253</v>
      </c>
      <c r="B19" s="99"/>
      <c r="C19" s="99"/>
      <c r="D19" s="99"/>
      <c r="E19" s="99"/>
    </row>
    <row r="20" customFormat="false" ht="12" hidden="false" customHeight="true" outlineLevel="0" collapsed="false">
      <c r="A20" s="97"/>
      <c r="B20" s="62" t="s">
        <v>254</v>
      </c>
      <c r="E20" s="74"/>
    </row>
    <row r="21" customFormat="false" ht="12" hidden="false" customHeight="true" outlineLevel="0" collapsed="false">
      <c r="A21" s="100"/>
      <c r="B21" s="85" t="s">
        <v>255</v>
      </c>
      <c r="C21" s="85"/>
      <c r="D21" s="85"/>
      <c r="E21" s="98" t="s">
        <v>38</v>
      </c>
    </row>
    <row r="22" customFormat="false" ht="12" hidden="false" customHeight="true" outlineLevel="0" collapsed="false">
      <c r="A22" s="100" t="s">
        <v>256</v>
      </c>
      <c r="B22" s="73"/>
      <c r="C22" s="73"/>
      <c r="D22" s="73"/>
      <c r="E22" s="98"/>
    </row>
    <row r="23" customFormat="false" ht="12" hidden="false" customHeight="true" outlineLevel="0" collapsed="false">
      <c r="A23" s="100" t="s">
        <v>256</v>
      </c>
      <c r="B23" s="73" t="s">
        <v>257</v>
      </c>
      <c r="C23" s="73"/>
      <c r="D23" s="73"/>
      <c r="E23" s="98" t="s">
        <v>258</v>
      </c>
    </row>
    <row r="24" customFormat="false" ht="12.75" hidden="false" customHeight="true" outlineLevel="0" collapsed="false">
      <c r="A24" s="100" t="s">
        <v>256</v>
      </c>
      <c r="B24" s="101"/>
      <c r="C24" s="101"/>
      <c r="D24" s="101"/>
      <c r="E24" s="102"/>
    </row>
    <row r="25" customFormat="false" ht="18" hidden="false" customHeight="true" outlineLevel="0" collapsed="false">
      <c r="A25" s="99" t="s">
        <v>259</v>
      </c>
      <c r="B25" s="99"/>
      <c r="C25" s="99"/>
      <c r="D25" s="99"/>
      <c r="E25" s="99"/>
      <c r="G25" s="103" t="s">
        <v>260</v>
      </c>
      <c r="H25" s="104"/>
    </row>
    <row r="26" customFormat="false" ht="44.25" hidden="false" customHeight="true" outlineLevel="0" collapsed="false">
      <c r="A26" s="105" t="s">
        <v>261</v>
      </c>
      <c r="B26" s="80"/>
      <c r="C26" s="80"/>
      <c r="D26" s="80"/>
      <c r="E26" s="80"/>
      <c r="G26" s="97" t="s">
        <v>262</v>
      </c>
      <c r="H26" s="106" t="n">
        <v>-20</v>
      </c>
    </row>
    <row r="27" customFormat="false" ht="12" hidden="false" customHeight="true" outlineLevel="0" collapsed="false">
      <c r="A27" s="97" t="s">
        <v>263</v>
      </c>
      <c r="B27" s="107" t="n">
        <f aca="false">Mätdata!E6/2000</f>
        <v>0</v>
      </c>
      <c r="C27" s="107"/>
      <c r="D27" s="107"/>
      <c r="E27" s="107"/>
      <c r="G27" s="97" t="s">
        <v>264</v>
      </c>
      <c r="H27" s="106" t="n">
        <v>-1.7</v>
      </c>
    </row>
    <row r="28" customFormat="false" ht="12" hidden="false" customHeight="true" outlineLevel="0" collapsed="false">
      <c r="A28" s="97" t="s">
        <v>265</v>
      </c>
      <c r="B28" s="108" t="e">
        <f aca="false">B27*1000/(Byggnader!C17+Byggnader!D17)</f>
        <v>#DIV/0!</v>
      </c>
      <c r="C28" s="108"/>
      <c r="D28" s="108"/>
      <c r="E28" s="108"/>
      <c r="G28" s="97" t="s">
        <v>266</v>
      </c>
      <c r="H28" s="106" t="n">
        <v>29.39</v>
      </c>
    </row>
    <row r="29" customFormat="false" ht="12" hidden="false" customHeight="true" outlineLevel="0" collapsed="false">
      <c r="A29" s="97" t="s">
        <v>267</v>
      </c>
      <c r="B29" s="107"/>
      <c r="C29" s="107"/>
      <c r="D29" s="107"/>
      <c r="E29" s="107"/>
      <c r="G29" s="97" t="s">
        <v>268</v>
      </c>
      <c r="H29" s="109" t="n">
        <v>0</v>
      </c>
    </row>
    <row r="30" customFormat="false" ht="18.75" hidden="false" customHeight="true" outlineLevel="0" collapsed="false">
      <c r="A30" s="84" t="s">
        <v>38</v>
      </c>
      <c r="B30" s="110"/>
      <c r="C30" s="110"/>
      <c r="D30" s="110"/>
      <c r="E30" s="110"/>
      <c r="G30" s="84" t="s">
        <v>269</v>
      </c>
      <c r="H30" s="111" t="n">
        <f aca="false">(H27*H26+H28)-(H27*H26+H28)*H29</f>
        <v>63.39</v>
      </c>
    </row>
    <row r="31" customFormat="false" ht="18" hidden="false" customHeight="true" outlineLevel="0" collapsed="false">
      <c r="A31" s="89" t="s">
        <v>270</v>
      </c>
      <c r="B31" s="89"/>
      <c r="C31" s="89"/>
      <c r="D31" s="89"/>
      <c r="E31" s="89"/>
    </row>
    <row r="32" customFormat="false" ht="12" hidden="false" customHeight="true" outlineLevel="0" collapsed="false">
      <c r="A32" s="97"/>
      <c r="B32" s="112"/>
      <c r="E32" s="74" t="s">
        <v>38</v>
      </c>
    </row>
    <row r="33" customFormat="false" ht="17.25" hidden="false" customHeight="true" outlineLevel="0" collapsed="false">
      <c r="A33" s="97" t="s">
        <v>271</v>
      </c>
      <c r="B33" s="73"/>
      <c r="C33" s="73"/>
      <c r="D33" s="73"/>
      <c r="E33" s="98"/>
    </row>
    <row r="34" customFormat="false" ht="12" hidden="false" customHeight="true" outlineLevel="0" collapsed="false">
      <c r="A34" s="97" t="s">
        <v>272</v>
      </c>
      <c r="B34" s="73"/>
      <c r="C34" s="73"/>
      <c r="D34" s="73"/>
      <c r="E34" s="98"/>
    </row>
    <row r="35" customFormat="false" ht="12" hidden="false" customHeight="true" outlineLevel="0" collapsed="false">
      <c r="A35" s="97" t="s">
        <v>273</v>
      </c>
      <c r="B35" s="73"/>
      <c r="C35" s="73"/>
      <c r="D35" s="73"/>
      <c r="E35" s="98"/>
    </row>
    <row r="36" customFormat="false" ht="12" hidden="false" customHeight="true" outlineLevel="0" collapsed="false">
      <c r="A36" s="97" t="s">
        <v>274</v>
      </c>
      <c r="B36" s="73"/>
      <c r="C36" s="73"/>
      <c r="D36" s="73"/>
      <c r="E36" s="98"/>
    </row>
    <row r="37" customFormat="false" ht="12" hidden="false" customHeight="true" outlineLevel="0" collapsed="false">
      <c r="A37" s="97" t="s">
        <v>275</v>
      </c>
      <c r="B37" s="73"/>
      <c r="C37" s="73"/>
      <c r="D37" s="73"/>
      <c r="E37" s="98"/>
    </row>
    <row r="38" customFormat="false" ht="12" hidden="false" customHeight="true" outlineLevel="0" collapsed="false">
      <c r="A38" s="97" t="s">
        <v>276</v>
      </c>
      <c r="B38" s="73"/>
      <c r="C38" s="73"/>
      <c r="D38" s="73"/>
      <c r="E38" s="98"/>
    </row>
    <row r="39" customFormat="false" ht="12" hidden="false" customHeight="true" outlineLevel="0" collapsed="false">
      <c r="A39" s="97" t="s">
        <v>277</v>
      </c>
      <c r="B39" s="73"/>
      <c r="C39" s="73"/>
      <c r="D39" s="73"/>
      <c r="E39" s="98"/>
    </row>
    <row r="40" customFormat="false" ht="12" hidden="false" customHeight="true" outlineLevel="0" collapsed="false">
      <c r="A40" s="97" t="s">
        <v>278</v>
      </c>
      <c r="B40" s="113"/>
      <c r="C40" s="113"/>
      <c r="D40" s="113"/>
      <c r="E40" s="114"/>
    </row>
    <row r="41" customFormat="false" ht="18" hidden="false" customHeight="true" outlineLevel="0" collapsed="false">
      <c r="A41" s="115" t="s">
        <v>279</v>
      </c>
      <c r="B41" s="116"/>
      <c r="C41" s="116"/>
      <c r="D41" s="116"/>
      <c r="E41" s="116"/>
    </row>
    <row r="42" customFormat="false" ht="20.25" hidden="false" customHeight="true" outlineLevel="0" collapsed="false">
      <c r="A42" s="99" t="s">
        <v>280</v>
      </c>
      <c r="B42" s="99"/>
      <c r="C42" s="99"/>
      <c r="D42" s="99"/>
      <c r="E42" s="99"/>
    </row>
    <row r="43" customFormat="false" ht="12" hidden="false" customHeight="true" outlineLevel="0" collapsed="false">
      <c r="A43" s="117" t="s">
        <v>281</v>
      </c>
      <c r="B43" s="118" t="s">
        <v>282</v>
      </c>
      <c r="C43" s="118" t="s">
        <v>283</v>
      </c>
      <c r="D43" s="118" t="s">
        <v>284</v>
      </c>
      <c r="E43" s="119" t="s">
        <v>285</v>
      </c>
    </row>
    <row r="44" customFormat="false" ht="12" hidden="false" customHeight="true" outlineLevel="0" collapsed="false">
      <c r="A44" s="100" t="s">
        <v>286</v>
      </c>
      <c r="B44" s="73"/>
      <c r="C44" s="73"/>
      <c r="D44" s="73"/>
      <c r="E44" s="98"/>
    </row>
    <row r="45" customFormat="false" ht="12" hidden="false" customHeight="true" outlineLevel="0" collapsed="false">
      <c r="A45" s="100" t="s">
        <v>287</v>
      </c>
      <c r="B45" s="73"/>
      <c r="C45" s="73"/>
      <c r="D45" s="73"/>
      <c r="E45" s="98"/>
    </row>
    <row r="46" customFormat="false" ht="12" hidden="false" customHeight="true" outlineLevel="0" collapsed="false">
      <c r="A46" s="100" t="s">
        <v>288</v>
      </c>
      <c r="B46" s="73"/>
      <c r="C46" s="73"/>
      <c r="D46" s="73"/>
      <c r="E46" s="98"/>
    </row>
    <row r="47" customFormat="false" ht="12" hidden="false" customHeight="true" outlineLevel="0" collapsed="false">
      <c r="A47" s="100" t="s">
        <v>244</v>
      </c>
      <c r="B47" s="73"/>
      <c r="C47" s="73"/>
      <c r="D47" s="73"/>
      <c r="E47" s="98"/>
    </row>
    <row r="48" customFormat="false" ht="12.75" hidden="false" customHeight="true" outlineLevel="0" collapsed="false">
      <c r="A48" s="115" t="s">
        <v>279</v>
      </c>
      <c r="B48" s="116"/>
      <c r="C48" s="116"/>
      <c r="D48" s="116"/>
      <c r="E48" s="116"/>
    </row>
    <row r="49" customFormat="false" ht="17.25" hidden="false" customHeight="true" outlineLevel="0" collapsed="false">
      <c r="A49" s="99" t="s">
        <v>289</v>
      </c>
      <c r="B49" s="99"/>
      <c r="C49" s="99"/>
      <c r="D49" s="99"/>
      <c r="E49" s="99"/>
    </row>
    <row r="50" customFormat="false" ht="24.75" hidden="false" customHeight="true" outlineLevel="0" collapsed="false">
      <c r="A50" s="120" t="s">
        <v>281</v>
      </c>
      <c r="B50" s="68"/>
      <c r="C50" s="68"/>
      <c r="D50" s="68"/>
      <c r="E50" s="121" t="s">
        <v>285</v>
      </c>
      <c r="G50" s="122" t="s">
        <v>290</v>
      </c>
      <c r="H50" s="123" t="s">
        <v>281</v>
      </c>
      <c r="I50" s="104" t="s">
        <v>281</v>
      </c>
    </row>
    <row r="51" customFormat="false" ht="12.75" hidden="false" customHeight="true" outlineLevel="0" collapsed="false">
      <c r="A51" s="97" t="s">
        <v>291</v>
      </c>
      <c r="B51" s="73"/>
      <c r="C51" s="73"/>
      <c r="D51" s="73"/>
      <c r="E51" s="98"/>
      <c r="G51" s="124"/>
      <c r="H51" s="70"/>
      <c r="I51" s="125"/>
    </row>
    <row r="52" customFormat="false" ht="12" hidden="false" customHeight="true" outlineLevel="0" collapsed="false">
      <c r="A52" s="100" t="s">
        <v>292</v>
      </c>
      <c r="B52" s="73"/>
      <c r="C52" s="73"/>
      <c r="D52" s="73"/>
      <c r="E52" s="98"/>
      <c r="G52" s="126" t="s">
        <v>293</v>
      </c>
      <c r="H52" s="127"/>
      <c r="I52" s="128"/>
    </row>
    <row r="53" customFormat="false" ht="12" hidden="false" customHeight="true" outlineLevel="0" collapsed="false">
      <c r="A53" s="100" t="s">
        <v>294</v>
      </c>
      <c r="B53" s="73" t="n">
        <f aca="false">0.015*36</f>
        <v>0.54</v>
      </c>
      <c r="C53" s="73" t="n">
        <v>1</v>
      </c>
      <c r="D53" s="73" t="n">
        <v>1</v>
      </c>
      <c r="E53" s="98"/>
      <c r="G53" s="126" t="s">
        <v>295</v>
      </c>
      <c r="H53" s="100"/>
      <c r="I53" s="98"/>
    </row>
    <row r="54" customFormat="false" ht="12" hidden="false" customHeight="true" outlineLevel="0" collapsed="false">
      <c r="A54" s="100" t="s">
        <v>296</v>
      </c>
      <c r="B54" s="73" t="s">
        <v>297</v>
      </c>
      <c r="C54" s="73" t="s">
        <v>297</v>
      </c>
      <c r="D54" s="73" t="s">
        <v>297</v>
      </c>
      <c r="E54" s="98"/>
      <c r="G54" s="126" t="s">
        <v>298</v>
      </c>
      <c r="H54" s="100"/>
      <c r="I54" s="98"/>
    </row>
    <row r="55" customFormat="false" ht="12" hidden="false" customHeight="true" outlineLevel="0" collapsed="false">
      <c r="A55" s="100" t="s">
        <v>299</v>
      </c>
      <c r="B55" s="73" t="n">
        <v>2920</v>
      </c>
      <c r="C55" s="73" t="n">
        <v>8760</v>
      </c>
      <c r="D55" s="73"/>
      <c r="E55" s="98"/>
      <c r="G55" s="126" t="s">
        <v>300</v>
      </c>
      <c r="H55" s="127"/>
      <c r="I55" s="128"/>
    </row>
    <row r="56" customFormat="false" ht="12" hidden="false" customHeight="true" outlineLevel="0" collapsed="false">
      <c r="A56" s="100" t="s">
        <v>301</v>
      </c>
      <c r="B56" s="129" t="n">
        <f aca="false">B55/8760</f>
        <v>0.333333333333333</v>
      </c>
      <c r="C56" s="129" t="n">
        <f aca="false">C55/8760</f>
        <v>1</v>
      </c>
      <c r="D56" s="129"/>
      <c r="E56" s="98"/>
      <c r="G56" s="126"/>
      <c r="H56" s="130"/>
      <c r="I56" s="131"/>
    </row>
    <row r="57" customFormat="false" ht="12.75" hidden="false" customHeight="true" outlineLevel="0" collapsed="false">
      <c r="A57" s="100" t="s">
        <v>302</v>
      </c>
      <c r="B57" s="73" t="n">
        <f aca="false">0.3*(Byggnader!C21+Byggnader!D21)*0.001</f>
        <v>0</v>
      </c>
      <c r="C57" s="73" t="n">
        <v>0.5</v>
      </c>
      <c r="D57" s="73" t="n">
        <v>0.5</v>
      </c>
      <c r="E57" s="98"/>
      <c r="G57" s="132" t="s">
        <v>303</v>
      </c>
      <c r="H57" s="133" t="n">
        <f aca="false">H53*H54*H52*(1-H55)</f>
        <v>0</v>
      </c>
      <c r="I57" s="134" t="n">
        <f aca="false">I53*I54*I52*(1-I55)</f>
        <v>0</v>
      </c>
    </row>
    <row r="58" customFormat="false" ht="15.75" hidden="false" customHeight="true" outlineLevel="0" collapsed="false">
      <c r="A58" s="135" t="s">
        <v>304</v>
      </c>
      <c r="B58" s="136" t="e">
        <f aca="false">B53/B57</f>
        <v>#DIV/0!</v>
      </c>
      <c r="C58" s="136" t="n">
        <f aca="false">C53/C57</f>
        <v>2</v>
      </c>
      <c r="D58" s="101"/>
      <c r="E58" s="102"/>
    </row>
    <row r="59" customFormat="false" ht="15.75" hidden="false" customHeight="true" outlineLevel="0" collapsed="false">
      <c r="A59" s="120" t="s">
        <v>281</v>
      </c>
      <c r="B59" s="68"/>
      <c r="C59" s="68"/>
      <c r="D59" s="68"/>
      <c r="E59" s="121"/>
    </row>
    <row r="60" customFormat="false" ht="15.75" hidden="false" customHeight="true" outlineLevel="0" collapsed="false">
      <c r="A60" s="97" t="s">
        <v>291</v>
      </c>
      <c r="B60" s="73"/>
      <c r="C60" s="73"/>
      <c r="D60" s="73"/>
      <c r="E60" s="98"/>
    </row>
    <row r="61" customFormat="false" ht="15.75" hidden="false" customHeight="true" outlineLevel="0" collapsed="false">
      <c r="A61" s="100" t="s">
        <v>292</v>
      </c>
      <c r="B61" s="73"/>
      <c r="C61" s="73"/>
      <c r="D61" s="73"/>
      <c r="E61" s="98"/>
    </row>
    <row r="62" customFormat="false" ht="15.75" hidden="false" customHeight="true" outlineLevel="0" collapsed="false">
      <c r="A62" s="100" t="s">
        <v>294</v>
      </c>
      <c r="B62" s="73" t="n">
        <v>1</v>
      </c>
      <c r="C62" s="73" t="n">
        <v>1</v>
      </c>
      <c r="D62" s="73" t="n">
        <v>1</v>
      </c>
      <c r="E62" s="98"/>
    </row>
    <row r="63" customFormat="false" ht="15.75" hidden="false" customHeight="true" outlineLevel="0" collapsed="false">
      <c r="A63" s="100" t="s">
        <v>296</v>
      </c>
      <c r="B63" s="73" t="s">
        <v>297</v>
      </c>
      <c r="C63" s="73" t="s">
        <v>297</v>
      </c>
      <c r="D63" s="73" t="s">
        <v>297</v>
      </c>
      <c r="E63" s="98"/>
    </row>
    <row r="64" customFormat="false" ht="15.75" hidden="false" customHeight="true" outlineLevel="0" collapsed="false">
      <c r="A64" s="100" t="s">
        <v>299</v>
      </c>
      <c r="B64" s="73"/>
      <c r="C64" s="73"/>
      <c r="D64" s="73"/>
      <c r="E64" s="98"/>
    </row>
    <row r="65" customFormat="false" ht="15.75" hidden="false" customHeight="true" outlineLevel="0" collapsed="false">
      <c r="A65" s="100" t="s">
        <v>301</v>
      </c>
      <c r="B65" s="129"/>
      <c r="C65" s="129"/>
      <c r="D65" s="129"/>
      <c r="E65" s="98"/>
    </row>
    <row r="66" customFormat="false" ht="15.75" hidden="false" customHeight="true" outlineLevel="0" collapsed="false">
      <c r="A66" s="100" t="s">
        <v>302</v>
      </c>
      <c r="B66" s="73" t="n">
        <v>0.5</v>
      </c>
      <c r="C66" s="73" t="n">
        <v>0.5</v>
      </c>
      <c r="D66" s="73" t="n">
        <v>0.5</v>
      </c>
      <c r="E66" s="98"/>
    </row>
    <row r="67" customFormat="false" ht="15.75" hidden="false" customHeight="true" outlineLevel="0" collapsed="false">
      <c r="A67" s="135" t="s">
        <v>304</v>
      </c>
      <c r="B67" s="101"/>
      <c r="C67" s="101"/>
      <c r="D67" s="101"/>
      <c r="E67" s="102"/>
    </row>
    <row r="68" customFormat="false" ht="15.75" hidden="false" customHeight="true" outlineLevel="0" collapsed="false">
      <c r="A68" s="120" t="s">
        <v>281</v>
      </c>
      <c r="B68" s="68"/>
      <c r="C68" s="68"/>
      <c r="D68" s="68"/>
      <c r="E68" s="121"/>
    </row>
    <row r="69" customFormat="false" ht="15.75" hidden="false" customHeight="true" outlineLevel="0" collapsed="false">
      <c r="A69" s="97" t="s">
        <v>291</v>
      </c>
      <c r="B69" s="73"/>
      <c r="C69" s="73"/>
      <c r="D69" s="73"/>
      <c r="E69" s="98"/>
    </row>
    <row r="70" customFormat="false" ht="15.75" hidden="false" customHeight="true" outlineLevel="0" collapsed="false">
      <c r="A70" s="100" t="s">
        <v>292</v>
      </c>
      <c r="B70" s="73"/>
      <c r="C70" s="73"/>
      <c r="D70" s="73"/>
      <c r="E70" s="98"/>
    </row>
    <row r="71" customFormat="false" ht="15.75" hidden="false" customHeight="true" outlineLevel="0" collapsed="false">
      <c r="A71" s="100" t="s">
        <v>294</v>
      </c>
      <c r="B71" s="73" t="n">
        <v>1</v>
      </c>
      <c r="C71" s="73" t="n">
        <v>1</v>
      </c>
      <c r="D71" s="73" t="n">
        <v>1</v>
      </c>
      <c r="E71" s="98"/>
    </row>
    <row r="72" customFormat="false" ht="15.75" hidden="false" customHeight="true" outlineLevel="0" collapsed="false">
      <c r="A72" s="100" t="s">
        <v>296</v>
      </c>
      <c r="B72" s="73" t="s">
        <v>297</v>
      </c>
      <c r="C72" s="73" t="s">
        <v>297</v>
      </c>
      <c r="D72" s="73" t="s">
        <v>297</v>
      </c>
      <c r="E72" s="98"/>
    </row>
    <row r="73" customFormat="false" ht="15.75" hidden="false" customHeight="true" outlineLevel="0" collapsed="false">
      <c r="A73" s="100" t="s">
        <v>299</v>
      </c>
      <c r="B73" s="73"/>
      <c r="C73" s="73"/>
      <c r="D73" s="73"/>
      <c r="E73" s="98"/>
    </row>
    <row r="74" customFormat="false" ht="15.75" hidden="false" customHeight="true" outlineLevel="0" collapsed="false">
      <c r="A74" s="100" t="s">
        <v>301</v>
      </c>
      <c r="B74" s="129"/>
      <c r="C74" s="129"/>
      <c r="D74" s="129"/>
      <c r="E74" s="98"/>
    </row>
    <row r="75" customFormat="false" ht="15.75" hidden="false" customHeight="true" outlineLevel="0" collapsed="false">
      <c r="A75" s="100" t="s">
        <v>302</v>
      </c>
      <c r="B75" s="73" t="n">
        <v>0.5</v>
      </c>
      <c r="C75" s="73" t="n">
        <v>0.5</v>
      </c>
      <c r="D75" s="73" t="n">
        <v>0.5</v>
      </c>
      <c r="E75" s="98"/>
    </row>
    <row r="76" customFormat="false" ht="15.75" hidden="false" customHeight="true" outlineLevel="0" collapsed="false">
      <c r="A76" s="135" t="s">
        <v>304</v>
      </c>
      <c r="B76" s="101"/>
      <c r="C76" s="101"/>
      <c r="D76" s="101"/>
      <c r="E76" s="102"/>
    </row>
    <row r="77" customFormat="false" ht="15.75" hidden="false" customHeight="true" outlineLevel="0" collapsed="false">
      <c r="A77" s="137" t="s">
        <v>305</v>
      </c>
      <c r="B77" s="138" t="n">
        <f aca="false">Byggnader!I32</f>
        <v>0</v>
      </c>
      <c r="C77" s="68"/>
      <c r="D77" s="68"/>
      <c r="E77" s="121"/>
    </row>
    <row r="78" customFormat="false" ht="15.75" hidden="false" customHeight="true" outlineLevel="0" collapsed="false">
      <c r="A78" s="139" t="s">
        <v>306</v>
      </c>
      <c r="B78" s="140" t="e">
        <f aca="false">(B56*B57+C56*C57+D56*D57+B65*B66+C65*C66+D65*D66+B74*B75+C74*C75+D74*D75)*1000/B77</f>
        <v>#DIV/0!</v>
      </c>
      <c r="C78" s="73"/>
      <c r="D78" s="73"/>
      <c r="E78" s="98"/>
    </row>
    <row r="79" customFormat="false" ht="15.75" hidden="false" customHeight="true" outlineLevel="0" collapsed="false">
      <c r="A79" s="94"/>
      <c r="B79" s="113"/>
      <c r="C79" s="113"/>
      <c r="D79" s="113"/>
      <c r="E79" s="114"/>
    </row>
    <row r="80" customFormat="false" ht="64.5" hidden="false" customHeight="true" outlineLevel="0" collapsed="false">
      <c r="A80" s="141" t="s">
        <v>307</v>
      </c>
      <c r="B80" s="142"/>
      <c r="C80" s="142"/>
      <c r="D80" s="142"/>
      <c r="E80" s="142"/>
    </row>
    <row r="81" customFormat="false" ht="17.25" hidden="false" customHeight="true" outlineLevel="0" collapsed="false">
      <c r="A81" s="99" t="s">
        <v>308</v>
      </c>
      <c r="B81" s="99"/>
      <c r="C81" s="99"/>
      <c r="D81" s="99"/>
      <c r="E81" s="99"/>
    </row>
    <row r="82" customFormat="false" ht="24.75" hidden="false" customHeight="true" outlineLevel="0" collapsed="false">
      <c r="A82" s="90"/>
      <c r="B82" s="91"/>
      <c r="C82" s="92"/>
      <c r="D82" s="92"/>
      <c r="E82" s="93"/>
    </row>
    <row r="83" customFormat="false" ht="16.5" hidden="false" customHeight="true" outlineLevel="0" collapsed="false">
      <c r="A83" s="143" t="s">
        <v>193</v>
      </c>
      <c r="B83" s="118" t="s">
        <v>309</v>
      </c>
      <c r="C83" s="118" t="s">
        <v>310</v>
      </c>
      <c r="D83" s="118" t="s">
        <v>311</v>
      </c>
      <c r="E83" s="119" t="s">
        <v>38</v>
      </c>
    </row>
    <row r="84" customFormat="false" ht="18" hidden="false" customHeight="true" outlineLevel="0" collapsed="false">
      <c r="A84" s="100" t="s">
        <v>312</v>
      </c>
      <c r="B84" s="73"/>
      <c r="C84" s="73"/>
      <c r="D84" s="73"/>
      <c r="E84" s="98"/>
    </row>
    <row r="85" customFormat="false" ht="12" hidden="false" customHeight="true" outlineLevel="0" collapsed="false">
      <c r="A85" s="100" t="s">
        <v>313</v>
      </c>
      <c r="B85" s="73"/>
      <c r="C85" s="73"/>
      <c r="D85" s="73"/>
      <c r="E85" s="98"/>
      <c r="F85" s="144" t="s">
        <v>314</v>
      </c>
      <c r="G85" s="145"/>
      <c r="H85" s="146" t="s">
        <v>315</v>
      </c>
      <c r="I85" s="147"/>
      <c r="J85" s="148"/>
    </row>
    <row r="86" customFormat="false" ht="12" hidden="false" customHeight="true" outlineLevel="0" collapsed="false">
      <c r="A86" s="100" t="s">
        <v>316</v>
      </c>
      <c r="B86" s="73"/>
      <c r="C86" s="73"/>
      <c r="D86" s="73"/>
      <c r="E86" s="98"/>
      <c r="F86" s="149" t="s">
        <v>317</v>
      </c>
      <c r="G86" s="150" t="n">
        <f aca="false">B85+C85+D85</f>
        <v>0</v>
      </c>
      <c r="H86" s="151" t="s">
        <v>317</v>
      </c>
      <c r="I86" s="152"/>
      <c r="J86" s="153" t="n">
        <f aca="false">B89+C89+D89</f>
        <v>0</v>
      </c>
    </row>
    <row r="87" customFormat="false" ht="12.75" hidden="false" customHeight="true" outlineLevel="0" collapsed="false">
      <c r="A87" s="115" t="s">
        <v>318</v>
      </c>
      <c r="B87" s="101" t="n">
        <f aca="false">B86+C86+D86</f>
        <v>0</v>
      </c>
      <c r="C87" s="101"/>
      <c r="D87" s="101"/>
      <c r="E87" s="102"/>
      <c r="F87" s="149" t="s">
        <v>319</v>
      </c>
      <c r="G87" s="154" t="n">
        <v>5000</v>
      </c>
      <c r="H87" s="151" t="s">
        <v>320</v>
      </c>
      <c r="I87" s="152"/>
      <c r="J87" s="155" t="n">
        <v>760</v>
      </c>
    </row>
    <row r="88" customFormat="false" ht="12.75" hidden="false" customHeight="true" outlineLevel="0" collapsed="false">
      <c r="A88" s="143" t="s">
        <v>321</v>
      </c>
      <c r="B88" s="118" t="s">
        <v>322</v>
      </c>
      <c r="C88" s="118" t="s">
        <v>323</v>
      </c>
      <c r="D88" s="118" t="s">
        <v>324</v>
      </c>
      <c r="E88" s="98"/>
      <c r="F88" s="156" t="s">
        <v>325</v>
      </c>
      <c r="G88" s="154" t="n">
        <f aca="false">G87*G86</f>
        <v>0</v>
      </c>
      <c r="H88" s="157" t="s">
        <v>326</v>
      </c>
      <c r="I88" s="158"/>
      <c r="J88" s="159" t="n">
        <f aca="false">J87*J86</f>
        <v>0</v>
      </c>
    </row>
    <row r="89" customFormat="false" ht="12" hidden="false" customHeight="true" outlineLevel="0" collapsed="false">
      <c r="A89" s="100" t="s">
        <v>313</v>
      </c>
      <c r="B89" s="73"/>
      <c r="C89" s="73"/>
      <c r="D89" s="73"/>
      <c r="E89" s="98"/>
    </row>
    <row r="90" customFormat="false" ht="12" hidden="false" customHeight="true" outlineLevel="0" collapsed="false">
      <c r="A90" s="100" t="s">
        <v>327</v>
      </c>
      <c r="B90" s="73"/>
      <c r="C90" s="73"/>
      <c r="D90" s="73"/>
      <c r="E90" s="160"/>
    </row>
    <row r="91" customFormat="false" ht="12.75" hidden="false" customHeight="true" outlineLevel="0" collapsed="false">
      <c r="A91" s="115" t="s">
        <v>328</v>
      </c>
      <c r="B91" s="101" t="n">
        <f aca="false">B90+C90+D90</f>
        <v>0</v>
      </c>
      <c r="C91" s="101"/>
      <c r="D91" s="101"/>
      <c r="E91" s="102"/>
    </row>
    <row r="92" customFormat="false" ht="12" hidden="false" customHeight="true" outlineLevel="0" collapsed="false">
      <c r="A92" s="89" t="s">
        <v>329</v>
      </c>
      <c r="B92" s="89"/>
      <c r="C92" s="89"/>
      <c r="D92" s="89"/>
      <c r="E92" s="89"/>
    </row>
    <row r="93" customFormat="false" ht="24" hidden="false" customHeight="true" outlineLevel="0" collapsed="false">
      <c r="A93" s="117" t="s">
        <v>330</v>
      </c>
      <c r="B93" s="118"/>
      <c r="C93" s="118"/>
      <c r="D93" s="118"/>
      <c r="E93" s="118"/>
    </row>
    <row r="94" customFormat="false" ht="22.5" hidden="false" customHeight="true" outlineLevel="0" collapsed="false">
      <c r="A94" s="100"/>
      <c r="B94" s="73" t="s">
        <v>331</v>
      </c>
      <c r="C94" s="73" t="s">
        <v>38</v>
      </c>
      <c r="D94" s="73"/>
      <c r="E94" s="73"/>
    </row>
    <row r="95" customFormat="false" ht="12" hidden="false" customHeight="true" outlineLevel="0" collapsed="false">
      <c r="A95" s="100" t="s">
        <v>332</v>
      </c>
      <c r="B95" s="73" t="n">
        <v>55</v>
      </c>
      <c r="C95" s="73"/>
      <c r="D95" s="73"/>
      <c r="E95" s="73"/>
    </row>
    <row r="96" customFormat="false" ht="12" hidden="false" customHeight="true" outlineLevel="0" collapsed="false">
      <c r="A96" s="100" t="s">
        <v>333</v>
      </c>
      <c r="B96" s="73" t="n">
        <v>50</v>
      </c>
      <c r="C96" s="73"/>
      <c r="D96" s="73"/>
      <c r="E96" s="73"/>
    </row>
    <row r="97" customFormat="false" ht="12" hidden="false" customHeight="true" outlineLevel="0" collapsed="false">
      <c r="A97" s="100" t="s">
        <v>334</v>
      </c>
      <c r="B97" s="73"/>
      <c r="C97" s="73"/>
      <c r="D97" s="73"/>
      <c r="E97" s="73"/>
    </row>
    <row r="98" customFormat="false" ht="12.75" hidden="false" customHeight="true" outlineLevel="0" collapsed="false">
      <c r="A98" s="161" t="s">
        <v>307</v>
      </c>
      <c r="B98" s="113"/>
      <c r="C98" s="113"/>
      <c r="D98" s="113"/>
      <c r="E98" s="113"/>
    </row>
    <row r="99" customFormat="false" ht="24.75" hidden="false" customHeight="true" outlineLevel="0" collapsed="false">
      <c r="A99" s="162"/>
      <c r="B99" s="162"/>
      <c r="C99" s="162"/>
      <c r="D99" s="162"/>
      <c r="E99" s="162"/>
    </row>
    <row r="100" customFormat="false" ht="12" hidden="false" customHeight="true" outlineLevel="0" collapsed="false">
      <c r="A100" s="99" t="s">
        <v>335</v>
      </c>
      <c r="B100" s="99"/>
      <c r="C100" s="99"/>
      <c r="D100" s="99"/>
      <c r="E100" s="99"/>
    </row>
    <row r="101" customFormat="false" ht="15.75" hidden="false" customHeight="true" outlineLevel="0" collapsed="false">
      <c r="A101" s="163" t="s">
        <v>336</v>
      </c>
      <c r="B101" s="91"/>
      <c r="C101" s="92"/>
      <c r="D101" s="92"/>
      <c r="E101" s="93"/>
    </row>
    <row r="102" customFormat="false" ht="33.75" hidden="false" customHeight="true" outlineLevel="0" collapsed="false">
      <c r="A102" s="164"/>
      <c r="B102" s="85" t="s">
        <v>337</v>
      </c>
      <c r="C102" s="85" t="s">
        <v>338</v>
      </c>
      <c r="D102" s="85" t="s">
        <v>339</v>
      </c>
      <c r="E102" s="86" t="s">
        <v>38</v>
      </c>
    </row>
    <row r="103" customFormat="false" ht="12" hidden="false" customHeight="true" outlineLevel="0" collapsed="false">
      <c r="A103" s="100" t="s">
        <v>340</v>
      </c>
      <c r="B103" s="73"/>
      <c r="C103" s="73"/>
      <c r="D103" s="165"/>
      <c r="E103" s="98"/>
    </row>
    <row r="104" customFormat="false" ht="12" hidden="false" customHeight="true" outlineLevel="0" collapsed="false">
      <c r="A104" s="100" t="s">
        <v>341</v>
      </c>
      <c r="B104" s="73"/>
      <c r="C104" s="165"/>
      <c r="D104" s="165"/>
      <c r="E104" s="98"/>
    </row>
    <row r="105" customFormat="false" ht="12" hidden="false" customHeight="true" outlineLevel="0" collapsed="false">
      <c r="A105" s="100"/>
      <c r="B105" s="73"/>
      <c r="C105" s="73"/>
      <c r="D105" s="165"/>
      <c r="E105" s="98"/>
    </row>
    <row r="106" customFormat="false" ht="12" hidden="false" customHeight="true" outlineLevel="0" collapsed="false">
      <c r="A106" s="100"/>
      <c r="B106" s="73"/>
      <c r="C106" s="73"/>
      <c r="D106" s="165"/>
      <c r="E106" s="98"/>
    </row>
    <row r="107" customFormat="false" ht="12.75" hidden="false" customHeight="true" outlineLevel="0" collapsed="false">
      <c r="A107" s="115" t="s">
        <v>342</v>
      </c>
      <c r="B107" s="101"/>
      <c r="C107" s="101"/>
      <c r="D107" s="87" t="n">
        <f aca="false">SUM(D103:D106)</f>
        <v>0</v>
      </c>
      <c r="E107" s="102"/>
    </row>
    <row r="108" customFormat="false" ht="12" hidden="false" customHeight="true" outlineLevel="0" collapsed="false">
      <c r="A108" s="99" t="s">
        <v>343</v>
      </c>
      <c r="B108" s="99"/>
      <c r="C108" s="99"/>
      <c r="D108" s="99"/>
      <c r="E108" s="99"/>
    </row>
    <row r="109" customFormat="false" ht="24.75" hidden="false" customHeight="true" outlineLevel="0" collapsed="false">
      <c r="A109" s="103" t="s">
        <v>344</v>
      </c>
      <c r="B109" s="166"/>
      <c r="C109" s="166"/>
      <c r="D109" s="166"/>
      <c r="E109" s="104"/>
    </row>
    <row r="110" customFormat="false" ht="12.75" hidden="false" customHeight="true" outlineLevel="0" collapsed="false">
      <c r="A110" s="117" t="s">
        <v>345</v>
      </c>
      <c r="B110" s="95" t="s">
        <v>337</v>
      </c>
      <c r="C110" s="95" t="s">
        <v>346</v>
      </c>
      <c r="D110" s="95" t="s">
        <v>347</v>
      </c>
      <c r="E110" s="96" t="s">
        <v>38</v>
      </c>
      <c r="F110" s="24"/>
    </row>
    <row r="111" customFormat="false" ht="12" hidden="false" customHeight="true" outlineLevel="0" collapsed="false">
      <c r="A111" s="100" t="s">
        <v>348</v>
      </c>
      <c r="B111" s="73" t="n">
        <v>0.2</v>
      </c>
      <c r="C111" s="73" t="n">
        <v>6000</v>
      </c>
      <c r="D111" s="73" t="n">
        <f aca="false">C111*B111</f>
        <v>1200</v>
      </c>
      <c r="E111" s="98"/>
      <c r="F111" s="24"/>
    </row>
    <row r="112" customFormat="false" ht="12" hidden="false" customHeight="true" outlineLevel="0" collapsed="false">
      <c r="A112" s="100" t="s">
        <v>349</v>
      </c>
      <c r="B112" s="73" t="n">
        <v>0.075</v>
      </c>
      <c r="C112" s="73" t="n">
        <v>8760</v>
      </c>
      <c r="D112" s="73" t="n">
        <f aca="false">C112*B112</f>
        <v>657</v>
      </c>
      <c r="E112" s="98"/>
      <c r="F112" s="24"/>
    </row>
    <row r="113" customFormat="false" ht="12" hidden="false" customHeight="true" outlineLevel="0" collapsed="false">
      <c r="A113" s="100" t="s">
        <v>350</v>
      </c>
      <c r="B113" s="73" t="n">
        <v>0.2</v>
      </c>
      <c r="C113" s="73" t="n">
        <v>8760</v>
      </c>
      <c r="D113" s="73" t="n">
        <f aca="false">B53*B55</f>
        <v>1576.8</v>
      </c>
      <c r="E113" s="98"/>
      <c r="F113" s="24"/>
    </row>
    <row r="114" customFormat="false" ht="12" hidden="false" customHeight="true" outlineLevel="0" collapsed="false">
      <c r="A114" s="100" t="s">
        <v>351</v>
      </c>
      <c r="B114" s="73"/>
      <c r="C114" s="73"/>
      <c r="D114" s="73" t="n">
        <f aca="false">C53*C55</f>
        <v>8760</v>
      </c>
      <c r="E114" s="98"/>
      <c r="F114" s="24"/>
    </row>
    <row r="115" customFormat="false" ht="12" hidden="false" customHeight="true" outlineLevel="0" collapsed="false">
      <c r="A115" s="100"/>
      <c r="B115" s="73"/>
      <c r="C115" s="73"/>
      <c r="D115" s="73"/>
      <c r="E115" s="86"/>
      <c r="F115" s="24"/>
    </row>
    <row r="116" customFormat="false" ht="12" hidden="false" customHeight="true" outlineLevel="0" collapsed="false">
      <c r="A116" s="100"/>
      <c r="B116" s="73"/>
      <c r="C116" s="73"/>
      <c r="D116" s="73"/>
      <c r="E116" s="98"/>
      <c r="F116" s="24"/>
    </row>
    <row r="117" customFormat="false" ht="12" hidden="false" customHeight="true" outlineLevel="0" collapsed="false">
      <c r="A117" s="167"/>
      <c r="B117" s="73"/>
      <c r="C117" s="73"/>
      <c r="D117" s="73"/>
      <c r="E117" s="98"/>
      <c r="F117" s="24"/>
    </row>
    <row r="118" customFormat="false" ht="12" hidden="false" customHeight="true" outlineLevel="0" collapsed="false">
      <c r="A118" s="100"/>
      <c r="B118" s="73"/>
      <c r="C118" s="73"/>
      <c r="D118" s="73"/>
      <c r="E118" s="98"/>
      <c r="F118" s="24"/>
    </row>
    <row r="119" customFormat="false" ht="12" hidden="false" customHeight="true" outlineLevel="0" collapsed="false">
      <c r="A119" s="100"/>
      <c r="B119" s="73"/>
      <c r="C119" s="73"/>
      <c r="D119" s="73"/>
      <c r="E119" s="98"/>
      <c r="F119" s="24"/>
    </row>
    <row r="120" customFormat="false" ht="12" hidden="false" customHeight="true" outlineLevel="0" collapsed="false">
      <c r="A120" s="100"/>
      <c r="B120" s="73"/>
      <c r="C120" s="165"/>
      <c r="D120" s="73"/>
      <c r="E120" s="98"/>
      <c r="F120" s="24"/>
    </row>
    <row r="121" customFormat="false" ht="12" hidden="false" customHeight="true" outlineLevel="0" collapsed="false">
      <c r="A121" s="100"/>
      <c r="B121" s="73"/>
      <c r="C121" s="165"/>
      <c r="D121" s="73"/>
      <c r="E121" s="98"/>
      <c r="F121" s="24"/>
    </row>
    <row r="122" customFormat="false" ht="12" hidden="false" customHeight="true" outlineLevel="0" collapsed="false">
      <c r="A122" s="100"/>
      <c r="B122" s="73"/>
      <c r="C122" s="165"/>
      <c r="D122" s="73"/>
      <c r="E122" s="98"/>
      <c r="F122" s="24"/>
    </row>
    <row r="123" customFormat="false" ht="12" hidden="false" customHeight="true" outlineLevel="0" collapsed="false">
      <c r="A123" s="100" t="s">
        <v>352</v>
      </c>
      <c r="B123" s="73"/>
      <c r="C123" s="73"/>
      <c r="D123" s="73"/>
      <c r="E123" s="98"/>
      <c r="F123" s="24"/>
    </row>
    <row r="124" customFormat="false" ht="12" hidden="false" customHeight="true" outlineLevel="0" collapsed="false">
      <c r="A124" s="100" t="s">
        <v>353</v>
      </c>
      <c r="B124" s="73"/>
      <c r="C124" s="73"/>
      <c r="D124" s="73"/>
      <c r="E124" s="98"/>
      <c r="F124" s="24"/>
    </row>
    <row r="125" customFormat="false" ht="12.75" hidden="false" customHeight="true" outlineLevel="0" collapsed="false">
      <c r="A125" s="115" t="s">
        <v>354</v>
      </c>
      <c r="B125" s="101"/>
      <c r="C125" s="101"/>
      <c r="D125" s="101" t="n">
        <f aca="false">SUM(D111:D124)</f>
        <v>12193.8</v>
      </c>
      <c r="E125" s="102"/>
    </row>
    <row r="126" customFormat="false" ht="13.5" hidden="false" customHeight="true" outlineLevel="0" collapsed="false">
      <c r="A126" s="99" t="s">
        <v>355</v>
      </c>
      <c r="B126" s="99"/>
      <c r="C126" s="99"/>
      <c r="D126" s="99"/>
      <c r="E126" s="99"/>
    </row>
    <row r="127" customFormat="false" ht="12" hidden="false" customHeight="true" outlineLevel="0" collapsed="false">
      <c r="A127" s="100" t="s">
        <v>177</v>
      </c>
      <c r="B127" s="95" t="s">
        <v>337</v>
      </c>
      <c r="C127" s="95" t="s">
        <v>346</v>
      </c>
      <c r="D127" s="95" t="s">
        <v>347</v>
      </c>
      <c r="E127" s="96" t="s">
        <v>38</v>
      </c>
    </row>
    <row r="128" customFormat="false" ht="12" hidden="false" customHeight="true" outlineLevel="0" collapsed="false">
      <c r="A128" s="100"/>
      <c r="B128" s="73"/>
      <c r="C128" s="73"/>
      <c r="D128" s="73"/>
      <c r="E128" s="98"/>
    </row>
    <row r="129" customFormat="false" ht="12" hidden="false" customHeight="true" outlineLevel="0" collapsed="false">
      <c r="A129" s="100"/>
      <c r="B129" s="73"/>
      <c r="C129" s="73"/>
      <c r="D129" s="73"/>
      <c r="E129" s="98"/>
    </row>
    <row r="130" customFormat="false" ht="12.75" hidden="false" customHeight="true" outlineLevel="0" collapsed="false">
      <c r="A130" s="100" t="s">
        <v>356</v>
      </c>
      <c r="B130" s="73"/>
      <c r="C130" s="73"/>
      <c r="D130" s="73" t="n">
        <f aca="false">SUM(D127:D129)</f>
        <v>0</v>
      </c>
      <c r="E130" s="98"/>
    </row>
    <row r="131" customFormat="false" ht="19.5" hidden="false" customHeight="true" outlineLevel="0" collapsed="false">
      <c r="A131" s="99" t="s">
        <v>357</v>
      </c>
      <c r="B131" s="99"/>
      <c r="C131" s="99"/>
      <c r="D131" s="99"/>
      <c r="E131" s="99"/>
    </row>
    <row r="132" customFormat="false" ht="12" hidden="false" customHeight="true" outlineLevel="0" collapsed="false">
      <c r="A132" s="70" t="s">
        <v>358</v>
      </c>
      <c r="B132" s="73" t="n">
        <v>3</v>
      </c>
      <c r="E132" s="74"/>
    </row>
    <row r="133" customFormat="false" ht="12" hidden="false" customHeight="true" outlineLevel="0" collapsed="false">
      <c r="A133" s="70" t="s">
        <v>359</v>
      </c>
      <c r="B133" s="73" t="n">
        <v>7</v>
      </c>
      <c r="E133" s="74"/>
    </row>
    <row r="134" customFormat="false" ht="12" hidden="false" customHeight="true" outlineLevel="0" collapsed="false">
      <c r="A134" s="70" t="s">
        <v>360</v>
      </c>
      <c r="B134" s="73" t="n">
        <f aca="false">365-52</f>
        <v>313</v>
      </c>
      <c r="E134" s="74"/>
    </row>
    <row r="135" customFormat="false" ht="12.75" hidden="false" customHeight="true" outlineLevel="0" collapsed="false">
      <c r="A135" s="133" t="s">
        <v>361</v>
      </c>
      <c r="B135" s="101" t="n">
        <f aca="false">B132*B133*(C137+C138+C139+C140)</f>
        <v>0</v>
      </c>
      <c r="C135" s="168"/>
      <c r="D135" s="168"/>
      <c r="E135" s="169"/>
      <c r="G135" s="62" t="s">
        <v>362</v>
      </c>
      <c r="H135" s="62" t="n">
        <f aca="false">SUM(C142:C145)</f>
        <v>0</v>
      </c>
      <c r="I135" s="62" t="s">
        <v>363</v>
      </c>
      <c r="J135" s="62" t="n">
        <f aca="false">B135-H135</f>
        <v>0</v>
      </c>
    </row>
    <row r="136" customFormat="false" ht="16.5" hidden="false" customHeight="true" outlineLevel="0" collapsed="false">
      <c r="A136" s="103" t="s">
        <v>364</v>
      </c>
      <c r="B136" s="170" t="s">
        <v>365</v>
      </c>
      <c r="C136" s="170" t="s">
        <v>366</v>
      </c>
      <c r="D136" s="170" t="s">
        <v>367</v>
      </c>
      <c r="E136" s="171" t="s">
        <v>38</v>
      </c>
    </row>
    <row r="137" customFormat="false" ht="12.75" hidden="false" customHeight="true" outlineLevel="0" collapsed="false">
      <c r="A137" s="117" t="s">
        <v>368</v>
      </c>
      <c r="B137" s="118"/>
      <c r="C137" s="118"/>
      <c r="D137" s="118" t="n">
        <f aca="false">IFERROR(C137*$B$132*$B$134*INDEX($H$141:$H$142,MATCH(B137,$G$141:$G$142,0)),0)</f>
        <v>0</v>
      </c>
      <c r="E137" s="98"/>
    </row>
    <row r="138" customFormat="false" ht="12" hidden="false" customHeight="true" outlineLevel="0" collapsed="false">
      <c r="A138" s="100" t="s">
        <v>369</v>
      </c>
      <c r="B138" s="118"/>
      <c r="C138" s="73"/>
      <c r="D138" s="118" t="n">
        <f aca="false">IFERROR(C138*$B$132*$B$134*INDEX($H$141:$H$142,MATCH(B138,$G$141:$G$142,0)),0)</f>
        <v>0</v>
      </c>
      <c r="E138" s="98"/>
    </row>
    <row r="139" customFormat="false" ht="12" hidden="false" customHeight="true" outlineLevel="0" collapsed="false">
      <c r="A139" s="100" t="s">
        <v>370</v>
      </c>
      <c r="B139" s="73"/>
      <c r="C139" s="73"/>
      <c r="D139" s="73" t="n">
        <f aca="false">IFERROR(C139*$B$132*$B$134*INDEX($H$141:$H$142,MATCH(B139,$G$141:$G$142,0)),0)</f>
        <v>0</v>
      </c>
      <c r="E139" s="98"/>
    </row>
    <row r="140" customFormat="false" ht="12.75" hidden="false" customHeight="true" outlineLevel="0" collapsed="false">
      <c r="A140" s="100" t="s">
        <v>371</v>
      </c>
      <c r="B140" s="73"/>
      <c r="C140" s="73"/>
      <c r="D140" s="73" t="n">
        <f aca="false">IFERROR(C140*$B$132*$B$134*INDEX($H$141:$H$142,MATCH(B140,$G$141:$G$142,0)),0)</f>
        <v>0</v>
      </c>
      <c r="E140" s="98"/>
      <c r="G140" s="172" t="s">
        <v>372</v>
      </c>
      <c r="H140" s="172" t="s">
        <v>373</v>
      </c>
      <c r="I140" s="172" t="s">
        <v>374</v>
      </c>
      <c r="J140" s="172" t="s">
        <v>375</v>
      </c>
      <c r="K140" s="172" t="s">
        <v>376</v>
      </c>
      <c r="L140" s="172" t="s">
        <v>375</v>
      </c>
      <c r="M140" s="172" t="s">
        <v>377</v>
      </c>
      <c r="N140" s="172" t="s">
        <v>375</v>
      </c>
    </row>
    <row r="141" customFormat="false" ht="18" hidden="false" customHeight="true" outlineLevel="0" collapsed="false">
      <c r="A141" s="72" t="s">
        <v>378</v>
      </c>
      <c r="B141" s="173" t="s">
        <v>365</v>
      </c>
      <c r="C141" s="173" t="s">
        <v>379</v>
      </c>
      <c r="D141" s="73"/>
      <c r="E141" s="98"/>
      <c r="G141" s="62" t="s">
        <v>380</v>
      </c>
      <c r="H141" s="62" t="n">
        <v>1.4</v>
      </c>
      <c r="I141" s="62" t="s">
        <v>381</v>
      </c>
      <c r="J141" s="62" t="n">
        <v>0.6</v>
      </c>
      <c r="K141" s="62" t="s">
        <v>382</v>
      </c>
      <c r="L141" s="62" t="n">
        <v>0.25</v>
      </c>
      <c r="M141" s="62" t="s">
        <v>383</v>
      </c>
      <c r="N141" s="62" t="n">
        <v>1.2</v>
      </c>
    </row>
    <row r="142" customFormat="false" ht="12" hidden="false" customHeight="true" outlineLevel="0" collapsed="false">
      <c r="A142" s="100" t="s">
        <v>384</v>
      </c>
      <c r="B142" s="73"/>
      <c r="D142" s="165" t="n">
        <f aca="false">IFERROR(D141*$B$134*INDEX($J$141:$J$143,MATCH(B142,$I$141:$I$143,0)),0)</f>
        <v>0</v>
      </c>
      <c r="E142" s="98"/>
      <c r="G142" s="62" t="s">
        <v>385</v>
      </c>
      <c r="H142" s="62" t="n">
        <v>3</v>
      </c>
      <c r="I142" s="62" t="s">
        <v>386</v>
      </c>
      <c r="J142" s="62" t="n">
        <v>0.8</v>
      </c>
      <c r="K142" s="62" t="s">
        <v>387</v>
      </c>
      <c r="L142" s="62" t="n">
        <v>0.8</v>
      </c>
      <c r="M142" s="62" t="s">
        <v>388</v>
      </c>
      <c r="N142" s="62" t="n">
        <v>0.37</v>
      </c>
    </row>
    <row r="143" customFormat="false" ht="12" hidden="false" customHeight="true" outlineLevel="0" collapsed="false">
      <c r="A143" s="100" t="s">
        <v>389</v>
      </c>
      <c r="B143" s="73"/>
      <c r="C143" s="73"/>
      <c r="D143" s="73" t="n">
        <f aca="false">IFERROR(C143*$B$134*INDEX($J$141:$J$143,MATCH(B143,$I$141:$I$143,0)),0)</f>
        <v>0</v>
      </c>
      <c r="E143" s="98"/>
      <c r="I143" s="62" t="s">
        <v>390</v>
      </c>
      <c r="J143" s="62" t="n">
        <v>0.3</v>
      </c>
      <c r="K143" s="62" t="s">
        <v>391</v>
      </c>
      <c r="L143" s="62" t="n">
        <v>1</v>
      </c>
    </row>
    <row r="144" customFormat="false" ht="12" hidden="false" customHeight="true" outlineLevel="0" collapsed="false">
      <c r="A144" s="100" t="s">
        <v>392</v>
      </c>
      <c r="B144" s="73"/>
      <c r="C144" s="73"/>
      <c r="D144" s="73" t="n">
        <f aca="false">IFERROR(C144*$B$134*INDEX($L$141:$L$143,MATCH(B144,$K$141:$K$143,0)),0)</f>
        <v>0</v>
      </c>
      <c r="E144" s="98"/>
    </row>
    <row r="145" customFormat="false" ht="12" hidden="false" customHeight="true" outlineLevel="0" collapsed="false">
      <c r="A145" s="100" t="s">
        <v>393</v>
      </c>
      <c r="B145" s="73"/>
      <c r="C145" s="73"/>
      <c r="D145" s="73" t="n">
        <f aca="false">IFERROR(C145*$B$134*INDEX($N$141:$N$142,MATCH(B145,$M$141:$M$142,0)),0)</f>
        <v>0</v>
      </c>
      <c r="E145" s="98"/>
    </row>
    <row r="146" customFormat="false" ht="12.75" hidden="false" customHeight="true" outlineLevel="0" collapsed="false">
      <c r="A146" s="115" t="s">
        <v>342</v>
      </c>
      <c r="B146" s="101"/>
      <c r="C146" s="101"/>
      <c r="D146" s="87" t="n">
        <f aca="false">SUM(D137:D145)</f>
        <v>0</v>
      </c>
      <c r="E146" s="102"/>
    </row>
  </sheetData>
  <mergeCells count="43">
    <mergeCell ref="A1:E1"/>
    <mergeCell ref="A2:E2"/>
    <mergeCell ref="A7:A8"/>
    <mergeCell ref="C7:D7"/>
    <mergeCell ref="C8:D8"/>
    <mergeCell ref="A9:A10"/>
    <mergeCell ref="C9:D9"/>
    <mergeCell ref="C10:D10"/>
    <mergeCell ref="A11:E11"/>
    <mergeCell ref="A19:E19"/>
    <mergeCell ref="A25:E25"/>
    <mergeCell ref="B26:E26"/>
    <mergeCell ref="B27:E27"/>
    <mergeCell ref="B28:E28"/>
    <mergeCell ref="B29:E29"/>
    <mergeCell ref="B30:E30"/>
    <mergeCell ref="A31:E31"/>
    <mergeCell ref="B33:D33"/>
    <mergeCell ref="B34:D34"/>
    <mergeCell ref="B35:D35"/>
    <mergeCell ref="B36:D36"/>
    <mergeCell ref="B37:D37"/>
    <mergeCell ref="B38:D38"/>
    <mergeCell ref="B39:D39"/>
    <mergeCell ref="B40:D40"/>
    <mergeCell ref="B41:E41"/>
    <mergeCell ref="A42:E42"/>
    <mergeCell ref="B48:E48"/>
    <mergeCell ref="A49:E49"/>
    <mergeCell ref="B80:E80"/>
    <mergeCell ref="A81:E81"/>
    <mergeCell ref="A92:E92"/>
    <mergeCell ref="B93:E93"/>
    <mergeCell ref="C94:E94"/>
    <mergeCell ref="C95:E95"/>
    <mergeCell ref="C96:E96"/>
    <mergeCell ref="C97:E97"/>
    <mergeCell ref="B98:E98"/>
    <mergeCell ref="A99:E99"/>
    <mergeCell ref="A100:E100"/>
    <mergeCell ref="A108:E108"/>
    <mergeCell ref="A126:E126"/>
    <mergeCell ref="A131:E131"/>
  </mergeCells>
  <dataValidations count="4">
    <dataValidation allowBlank="true" errorStyle="stop" operator="between" showDropDown="false" showErrorMessage="false" showInputMessage="false" sqref="B137:B140" type="list">
      <formula1>$G$141:$G$142</formula1>
      <formula2>0</formula2>
    </dataValidation>
    <dataValidation allowBlank="true" errorStyle="stop" operator="between" showDropDown="false" showErrorMessage="false" showInputMessage="false" sqref="B142:B143" type="list">
      <formula1>$I$141:$I$143</formula1>
      <formula2>0</formula2>
    </dataValidation>
    <dataValidation allowBlank="true" errorStyle="stop" operator="between" showDropDown="false" showErrorMessage="false" showInputMessage="false" sqref="B144" type="list">
      <formula1>$K$141:$K$143</formula1>
      <formula2>0</formula2>
    </dataValidation>
    <dataValidation allowBlank="true" errorStyle="stop" operator="between" showDropDown="false" showErrorMessage="false" showInputMessage="false" sqref="B145" type="list">
      <formula1>$M$141:$M$142</formula1>
      <formula2>0</formula2>
    </dataValidation>
  </dataValidations>
  <hyperlinks>
    <hyperlink ref="D6" r:id="rId2" display="peter.persson@hsb.se"/>
  </hyperlinks>
  <printOptions headings="false" gridLines="false" gridLinesSet="true" horizontalCentered="false" verticalCentered="false"/>
  <pageMargins left="0.7875" right="0.697222222222222" top="1.18680555555556" bottom="0.984027777777778" header="0.511805555555556" footer="0.511805555555556"/>
  <pageSetup paperSize="1" scale="100" fitToWidth="1" fitToHeight="1" pageOrder="downThenOver" orientation="portrait" blackAndWhite="false" draft="false" cellComments="none" horizontalDpi="300" verticalDpi="300" copies="1"/>
  <headerFooter differentFirst="false" differentOddEven="false">
    <oddHeader>&amp;L&amp;A&amp;C&amp;D</oddHeader>
    <oddFooter>&amp;R&amp;P</oddFooter>
  </headerFooter>
  <drawing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02:K582"/>
  <sheetViews>
    <sheetView showFormulas="false" showGridLines="true" showRowColHeaders="true" showZeros="true" rightToLeft="false" tabSelected="false" showOutlineSymbols="true" defaultGridColor="true" view="normal" topLeftCell="A199" colorId="64" zoomScale="100" zoomScaleNormal="100" zoomScalePageLayoutView="100" workbookViewId="0">
      <selection pane="topLeft" activeCell="L618" activeCellId="0" sqref="L618"/>
    </sheetView>
  </sheetViews>
  <sheetFormatPr defaultColWidth="8.7109375" defaultRowHeight="15" zeroHeight="false" outlineLevelRow="0" outlineLevelCol="0"/>
  <sheetData>
    <row r="202" customFormat="false" ht="15" hidden="false" customHeight="true" outlineLevel="0" collapsed="false">
      <c r="K202" s="1" t="n">
        <v>2022</v>
      </c>
    </row>
    <row r="428" customFormat="false" ht="15" hidden="false" customHeight="true" outlineLevel="0" collapsed="false">
      <c r="G428" s="1" t="s">
        <v>394</v>
      </c>
    </row>
    <row r="581" customFormat="false" ht="15" hidden="false" customHeight="true" outlineLevel="0" collapsed="false">
      <c r="B581" s="1" t="s">
        <v>395</v>
      </c>
    </row>
    <row r="582" customFormat="false" ht="15" hidden="false" customHeight="true" outlineLevel="0" collapsed="false">
      <c r="B582" s="1" t="s">
        <v>250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5"/>
  <sheetViews>
    <sheetView showFormulas="false" showGridLines="true" showRowColHeaders="true" showZeros="true" rightToLeft="false" tabSelected="false" showOutlineSymbols="true" defaultGridColor="true" view="normal" topLeftCell="A1" colorId="64" zoomScale="145" zoomScaleNormal="145" zoomScalePageLayoutView="100" workbookViewId="0">
      <pane xSplit="2" ySplit="3" topLeftCell="C124" activePane="bottomRight" state="frozen"/>
      <selection pane="topLeft" activeCell="A1" activeCellId="0" sqref="A1"/>
      <selection pane="topRight" activeCell="C1" activeCellId="0" sqref="C1"/>
      <selection pane="bottomLeft" activeCell="A124" activeCellId="0" sqref="A124"/>
      <selection pane="bottomRight" activeCell="C138" activeCellId="0" sqref="C138"/>
    </sheetView>
  </sheetViews>
  <sheetFormatPr defaultColWidth="8.7109375" defaultRowHeight="15" zeroHeight="false" outlineLevelRow="0" outlineLevelCol="0"/>
  <cols>
    <col collapsed="false" customWidth="true" hidden="false" outlineLevel="0" max="1" min="1" style="1" width="50"/>
    <col collapsed="false" customWidth="true" hidden="false" outlineLevel="0" max="2" min="2" style="1" width="10"/>
    <col collapsed="false" customWidth="true" hidden="false" outlineLevel="0" max="9" min="3" style="1" width="13"/>
  </cols>
  <sheetData>
    <row r="1" customFormat="false" ht="21.75" hidden="false" customHeight="true" outlineLevel="0" collapsed="false">
      <c r="A1" s="2" t="s">
        <v>396</v>
      </c>
    </row>
    <row r="2" customFormat="false" ht="15" hidden="false" customHeight="true" outlineLevel="0" collapsed="false">
      <c r="A2" s="32" t="s">
        <v>397</v>
      </c>
    </row>
    <row r="4" customFormat="false" ht="15" hidden="false" customHeight="true" outlineLevel="0" collapsed="false">
      <c r="A4" s="33" t="s">
        <v>398</v>
      </c>
    </row>
    <row r="5" customFormat="false" ht="15" hidden="false" customHeight="true" outlineLevel="0" collapsed="false">
      <c r="A5" s="24" t="s">
        <v>399</v>
      </c>
      <c r="B5" s="52" t="n">
        <v>0.05</v>
      </c>
    </row>
    <row r="6" customFormat="false" ht="15" hidden="false" customHeight="true" outlineLevel="0" collapsed="false">
      <c r="A6" s="24" t="s">
        <v>400</v>
      </c>
      <c r="B6" s="52" t="n">
        <v>0.7</v>
      </c>
    </row>
    <row r="7" customFormat="false" ht="15" hidden="false" customHeight="true" outlineLevel="0" collapsed="false">
      <c r="A7" s="24" t="s">
        <v>401</v>
      </c>
      <c r="B7" s="40" t="n">
        <v>80</v>
      </c>
    </row>
    <row r="8" customFormat="false" ht="15" hidden="false" customHeight="true" outlineLevel="0" collapsed="false">
      <c r="A8" s="24" t="s">
        <v>402</v>
      </c>
      <c r="B8" s="40" t="n">
        <v>14</v>
      </c>
    </row>
    <row r="9" customFormat="false" ht="15" hidden="false" customHeight="true" outlineLevel="0" collapsed="false">
      <c r="A9" s="24" t="s">
        <v>403</v>
      </c>
      <c r="B9" s="42" t="n">
        <v>6000</v>
      </c>
    </row>
    <row r="10" customFormat="false" ht="15" hidden="false" customHeight="true" outlineLevel="0" collapsed="false">
      <c r="A10" s="24" t="s">
        <v>404</v>
      </c>
      <c r="B10" s="42" t="n">
        <v>100000</v>
      </c>
    </row>
    <row r="12" customFormat="false" ht="15" hidden="false" customHeight="true" outlineLevel="0" collapsed="false">
      <c r="A12" s="33" t="s">
        <v>405</v>
      </c>
    </row>
    <row r="13" customFormat="false" ht="15" hidden="false" customHeight="true" outlineLevel="0" collapsed="false">
      <c r="A13" s="3" t="s">
        <v>13</v>
      </c>
      <c r="C13" s="3" t="str">
        <f aca="false">Byggnader!C12</f>
        <v>Byggnad 1</v>
      </c>
      <c r="D13" s="3" t="str">
        <f aca="false">Byggnader!D12</f>
        <v>Byggnad 2</v>
      </c>
      <c r="E13" s="3" t="str">
        <f aca="false">Byggnader!E12</f>
        <v>Byggnad 3</v>
      </c>
      <c r="F13" s="3" t="str">
        <f aca="false">Byggnader!F12</f>
        <v>Byggnad 4</v>
      </c>
      <c r="G13" s="3" t="str">
        <f aca="false">Byggnader!G12</f>
        <v>Byggnad 5</v>
      </c>
      <c r="H13" s="3" t="str">
        <f aca="false">Byggnader!H12</f>
        <v>Byggnad 6</v>
      </c>
      <c r="I13" s="3" t="s">
        <v>24</v>
      </c>
    </row>
    <row r="14" customFormat="false" ht="15" hidden="false" customHeight="true" outlineLevel="0" collapsed="false">
      <c r="A14" s="24" t="s">
        <v>406</v>
      </c>
      <c r="C14" s="60" t="n">
        <v>21</v>
      </c>
      <c r="D14" s="60" t="n">
        <v>21</v>
      </c>
      <c r="E14" s="60" t="n">
        <v>21</v>
      </c>
      <c r="F14" s="60" t="n">
        <v>21</v>
      </c>
      <c r="G14" s="60" t="n">
        <v>21</v>
      </c>
      <c r="H14" s="60" t="n">
        <v>21</v>
      </c>
    </row>
    <row r="15" customFormat="false" ht="15" hidden="false" customHeight="true" outlineLevel="0" collapsed="false">
      <c r="A15" s="24" t="s">
        <v>407</v>
      </c>
      <c r="C15" s="52" t="n">
        <v>0.35</v>
      </c>
      <c r="D15" s="52" t="n">
        <v>0.35</v>
      </c>
      <c r="E15" s="52" t="n">
        <v>0.35</v>
      </c>
      <c r="F15" s="52" t="n">
        <v>0.35</v>
      </c>
      <c r="G15" s="52" t="n">
        <v>0.35</v>
      </c>
      <c r="H15" s="52" t="n">
        <v>0.35</v>
      </c>
    </row>
    <row r="16" customFormat="false" ht="15" hidden="false" customHeight="true" outlineLevel="0" collapsed="false">
      <c r="A16" s="24" t="s">
        <v>408</v>
      </c>
      <c r="C16" s="52" t="n">
        <v>0</v>
      </c>
      <c r="D16" s="52" t="n">
        <v>0</v>
      </c>
      <c r="E16" s="52" t="n">
        <v>0</v>
      </c>
      <c r="F16" s="52" t="n">
        <v>0</v>
      </c>
      <c r="G16" s="52" t="n">
        <v>0</v>
      </c>
      <c r="H16" s="52" t="n">
        <v>0</v>
      </c>
    </row>
    <row r="17" customFormat="false" ht="15" hidden="false" customHeight="true" outlineLevel="0" collapsed="false">
      <c r="A17" s="24" t="s">
        <v>409</v>
      </c>
      <c r="C17" s="52" t="n">
        <v>1.63</v>
      </c>
      <c r="D17" s="52" t="n">
        <v>1.63</v>
      </c>
      <c r="E17" s="52" t="n">
        <v>1.63</v>
      </c>
      <c r="F17" s="52" t="n">
        <v>1.63</v>
      </c>
      <c r="G17" s="52" t="n">
        <v>1.63</v>
      </c>
      <c r="H17" s="52" t="n">
        <v>1.63</v>
      </c>
    </row>
    <row r="18" customFormat="false" ht="15" hidden="false" customHeight="true" outlineLevel="0" collapsed="false">
      <c r="A18" s="24" t="s">
        <v>410</v>
      </c>
      <c r="C18" s="42" t="n">
        <v>0</v>
      </c>
      <c r="D18" s="42" t="n">
        <v>0</v>
      </c>
      <c r="E18" s="42" t="n">
        <v>0</v>
      </c>
      <c r="F18" s="42" t="n">
        <v>0</v>
      </c>
      <c r="G18" s="42" t="n">
        <v>0</v>
      </c>
      <c r="H18" s="42" t="n">
        <v>0</v>
      </c>
    </row>
    <row r="19" customFormat="false" ht="15" hidden="false" customHeight="true" outlineLevel="0" collapsed="false">
      <c r="A19" s="24" t="s">
        <v>411</v>
      </c>
      <c r="C19" s="34" t="s">
        <v>412</v>
      </c>
      <c r="D19" s="34" t="s">
        <v>412</v>
      </c>
      <c r="E19" s="34" t="s">
        <v>412</v>
      </c>
      <c r="F19" s="34" t="s">
        <v>412</v>
      </c>
      <c r="G19" s="34" t="s">
        <v>412</v>
      </c>
      <c r="H19" s="34" t="s">
        <v>412</v>
      </c>
    </row>
    <row r="20" customFormat="false" ht="15" hidden="false" customHeight="true" outlineLevel="0" collapsed="false">
      <c r="A20" s="24" t="s">
        <v>413</v>
      </c>
      <c r="C20" s="34" t="s">
        <v>412</v>
      </c>
      <c r="D20" s="34" t="s">
        <v>412</v>
      </c>
      <c r="E20" s="34" t="s">
        <v>412</v>
      </c>
      <c r="F20" s="34" t="s">
        <v>412</v>
      </c>
      <c r="G20" s="34" t="s">
        <v>412</v>
      </c>
      <c r="H20" s="34" t="s">
        <v>412</v>
      </c>
    </row>
    <row r="21" customFormat="false" ht="15" hidden="false" customHeight="true" outlineLevel="0" collapsed="false">
      <c r="A21" s="24" t="s">
        <v>414</v>
      </c>
      <c r="C21" s="34" t="s">
        <v>412</v>
      </c>
      <c r="D21" s="34" t="s">
        <v>412</v>
      </c>
      <c r="E21" s="34" t="s">
        <v>412</v>
      </c>
      <c r="F21" s="34" t="s">
        <v>412</v>
      </c>
      <c r="G21" s="34" t="s">
        <v>412</v>
      </c>
      <c r="H21" s="34" t="s">
        <v>412</v>
      </c>
    </row>
    <row r="22" customFormat="false" ht="15" hidden="false" customHeight="true" outlineLevel="0" collapsed="false">
      <c r="A22" s="24" t="s">
        <v>415</v>
      </c>
      <c r="C22" s="34" t="s">
        <v>412</v>
      </c>
      <c r="D22" s="34" t="s">
        <v>412</v>
      </c>
      <c r="E22" s="34" t="s">
        <v>412</v>
      </c>
      <c r="F22" s="34" t="s">
        <v>412</v>
      </c>
      <c r="G22" s="34" t="s">
        <v>412</v>
      </c>
      <c r="H22" s="34" t="s">
        <v>412</v>
      </c>
    </row>
    <row r="24" customFormat="false" ht="15" hidden="false" customHeight="true" outlineLevel="0" collapsed="false">
      <c r="A24" s="33" t="s">
        <v>416</v>
      </c>
    </row>
    <row r="25" customFormat="false" ht="15" hidden="false" customHeight="true" outlineLevel="0" collapsed="false">
      <c r="A25" s="3" t="s">
        <v>13</v>
      </c>
      <c r="C25" s="3" t="str">
        <f aca="false">Byggnader!C12</f>
        <v>Byggnad 1</v>
      </c>
      <c r="D25" s="3" t="str">
        <f aca="false">Byggnader!D12</f>
        <v>Byggnad 2</v>
      </c>
      <c r="E25" s="3" t="str">
        <f aca="false">Byggnader!E12</f>
        <v>Byggnad 3</v>
      </c>
      <c r="F25" s="3" t="str">
        <f aca="false">Byggnader!F12</f>
        <v>Byggnad 4</v>
      </c>
      <c r="G25" s="3" t="str">
        <f aca="false">Byggnader!G12</f>
        <v>Byggnad 5</v>
      </c>
      <c r="H25" s="3" t="str">
        <f aca="false">Byggnader!H12</f>
        <v>Byggnad 6</v>
      </c>
      <c r="I25" s="3" t="s">
        <v>24</v>
      </c>
    </row>
    <row r="26" customFormat="false" ht="15" hidden="false" customHeight="true" outlineLevel="0" collapsed="false">
      <c r="A26" s="24" t="s">
        <v>417</v>
      </c>
      <c r="C26" s="43" t="n">
        <f aca="false">Byggnader!C32</f>
        <v>0</v>
      </c>
      <c r="D26" s="43" t="n">
        <f aca="false">Byggnader!D32</f>
        <v>0</v>
      </c>
      <c r="E26" s="43" t="n">
        <f aca="false">Byggnader!E32</f>
        <v>0</v>
      </c>
      <c r="F26" s="43" t="n">
        <f aca="false">Byggnader!F32</f>
        <v>0</v>
      </c>
      <c r="G26" s="43" t="n">
        <f aca="false">Byggnader!G32</f>
        <v>0</v>
      </c>
      <c r="H26" s="43" t="n">
        <f aca="false">Byggnader!H32</f>
        <v>0</v>
      </c>
      <c r="I26" s="43" t="n">
        <f aca="false">SUM(C26:H26)</f>
        <v>0</v>
      </c>
    </row>
    <row r="27" customFormat="false" ht="15" hidden="false" customHeight="true" outlineLevel="0" collapsed="false">
      <c r="A27" s="24" t="s">
        <v>62</v>
      </c>
      <c r="C27" s="43" t="n">
        <f aca="false">IF(Byggnader!C16="Flerbostadshus",(Byggnader!C21+Byggnader!C31),0)</f>
        <v>0</v>
      </c>
      <c r="D27" s="43" t="n">
        <f aca="false">IF(Byggnader!D16="Flerbostadshus",(Byggnader!D21+Byggnader!D31),0)</f>
        <v>0</v>
      </c>
      <c r="E27" s="43" t="n">
        <f aca="false">IF(Byggnader!E16="Flerbostadshus",(Byggnader!E21+Byggnader!E31),0)</f>
        <v>0</v>
      </c>
      <c r="F27" s="43" t="n">
        <f aca="false">IF(Byggnader!F16="Flerbostadshus",(Byggnader!F21+Byggnader!F31),0)</f>
        <v>0</v>
      </c>
      <c r="G27" s="43" t="n">
        <f aca="false">IF(Byggnader!G16="Flerbostadshus",(Byggnader!G21+Byggnader!G31),0)</f>
        <v>0</v>
      </c>
      <c r="H27" s="43" t="n">
        <f aca="false">IF(Byggnader!H16="Flerbostadshus",(Byggnader!H21+Byggnader!H31),0)</f>
        <v>0</v>
      </c>
      <c r="I27" s="43" t="n">
        <f aca="false">SUM(C27:H27)</f>
        <v>0</v>
      </c>
    </row>
    <row r="28" customFormat="false" ht="15" hidden="false" customHeight="true" outlineLevel="0" collapsed="false">
      <c r="A28" s="24" t="s">
        <v>418</v>
      </c>
      <c r="C28" s="43" t="n">
        <f aca="false">IF(AND(Byggnader!C16="En- och tvåbostadshus",C26&lt;90),(Byggnader!C21+Byggnader!C31),0)</f>
        <v>0</v>
      </c>
      <c r="D28" s="43" t="n">
        <f aca="false">IF(AND(Byggnader!D16="En- och tvåbostadshus",D26&lt;90),(Byggnader!D21+Byggnader!D31),0)</f>
        <v>0</v>
      </c>
      <c r="E28" s="43" t="n">
        <f aca="false">IF(AND(Byggnader!E16="En- och tvåbostadshus",E26&lt;90),(Byggnader!E21+Byggnader!E31),0)</f>
        <v>0</v>
      </c>
      <c r="F28" s="43" t="n">
        <f aca="false">IF(AND(Byggnader!F16="En- och tvåbostadshus",F26&lt;90),(Byggnader!F21+Byggnader!F31),0)</f>
        <v>0</v>
      </c>
      <c r="G28" s="43" t="n">
        <f aca="false">IF(AND(Byggnader!G16="En- och tvåbostadshus",G26&lt;90),(Byggnader!G21+Byggnader!G31),0)</f>
        <v>0</v>
      </c>
      <c r="H28" s="43" t="n">
        <f aca="false">IF(AND(Byggnader!H16="En- och tvåbostadshus",H26&lt;90),(Byggnader!H21+Byggnader!H31),0)</f>
        <v>0</v>
      </c>
      <c r="I28" s="43" t="n">
        <f aca="false">SUM(C28:H28)</f>
        <v>0</v>
      </c>
    </row>
    <row r="29" customFormat="false" ht="15" hidden="false" customHeight="true" outlineLevel="0" collapsed="false">
      <c r="A29" s="24" t="s">
        <v>419</v>
      </c>
      <c r="C29" s="43" t="n">
        <f aca="false">IF(AND(Byggnader!C16="En- och tvåbostadshus",C26&gt;=90,C26&lt;130),(Byggnader!C21+Byggnader!C31),0)</f>
        <v>0</v>
      </c>
      <c r="D29" s="43" t="n">
        <f aca="false">IF(AND(Byggnader!D16="En- och tvåbostadshus",D26&gt;=90,D26&lt;130),(Byggnader!D21+Byggnader!D31),0)</f>
        <v>0</v>
      </c>
      <c r="E29" s="43" t="n">
        <f aca="false">IF(AND(Byggnader!E16="En- och tvåbostadshus",E26&gt;=90,E26&lt;130),(Byggnader!E21+Byggnader!E31),0)</f>
        <v>0</v>
      </c>
      <c r="F29" s="43" t="n">
        <f aca="false">IF(AND(Byggnader!F16="En- och tvåbostadshus",F26&gt;=90,F26&lt;130),(Byggnader!F21+Byggnader!F31),0)</f>
        <v>0</v>
      </c>
      <c r="G29" s="43" t="n">
        <f aca="false">IF(AND(Byggnader!G16="En- och tvåbostadshus",G26&gt;=90,G26&lt;130),(Byggnader!G21+Byggnader!G31),0)</f>
        <v>0</v>
      </c>
      <c r="H29" s="43" t="n">
        <f aca="false">IF(AND(Byggnader!H16="En- och tvåbostadshus",H26&gt;=90,H26&lt;130),(Byggnader!H21+Byggnader!H31),0)</f>
        <v>0</v>
      </c>
      <c r="I29" s="43" t="n">
        <f aca="false">SUM(C29:H29)</f>
        <v>0</v>
      </c>
    </row>
    <row r="30" customFormat="false" ht="15" hidden="false" customHeight="true" outlineLevel="0" collapsed="false">
      <c r="A30" s="24" t="s">
        <v>420</v>
      </c>
      <c r="C30" s="43" t="n">
        <f aca="false">IF(AND(Byggnader!C16="En- och tvåbostadshus",C26&gt;=130),(Byggnader!C21+Byggnader!C31),0)</f>
        <v>0</v>
      </c>
      <c r="D30" s="43" t="n">
        <f aca="false">IF(AND(Byggnader!D16="En- och tvåbostadshus",D26&gt;=130),(Byggnader!D21+Byggnader!D31),0)</f>
        <v>0</v>
      </c>
      <c r="E30" s="43" t="n">
        <f aca="false">IF(AND(Byggnader!E16="En- och tvåbostadshus",E26&gt;=130),(Byggnader!E21+Byggnader!E31),0)</f>
        <v>0</v>
      </c>
      <c r="F30" s="43" t="n">
        <f aca="false">IF(AND(Byggnader!F16="En- och tvåbostadshus",F26&gt;=130),(Byggnader!F21+Byggnader!F31),0)</f>
        <v>0</v>
      </c>
      <c r="G30" s="43" t="n">
        <f aca="false">IF(AND(Byggnader!G16="En- och tvåbostadshus",G26&gt;=130),(Byggnader!G21+Byggnader!G31),0)</f>
        <v>0</v>
      </c>
      <c r="H30" s="43" t="n">
        <f aca="false">IF(AND(Byggnader!H16="En- och tvåbostadshus",H26&gt;=130),(Byggnader!H21+Byggnader!H31),0)</f>
        <v>0</v>
      </c>
      <c r="I30" s="43" t="n">
        <f aca="false">SUM(C30:H30)</f>
        <v>0</v>
      </c>
    </row>
    <row r="31" customFormat="false" ht="15" hidden="false" customHeight="true" outlineLevel="0" collapsed="false">
      <c r="A31" s="24" t="s">
        <v>68</v>
      </c>
      <c r="C31" s="43" t="n">
        <f aca="false">Byggnader!C24</f>
        <v>0</v>
      </c>
      <c r="D31" s="43" t="n">
        <f aca="false">Byggnader!D24</f>
        <v>0</v>
      </c>
      <c r="E31" s="43" t="n">
        <f aca="false">Byggnader!E24</f>
        <v>0</v>
      </c>
      <c r="F31" s="43" t="n">
        <f aca="false">Byggnader!F24</f>
        <v>0</v>
      </c>
      <c r="G31" s="43" t="n">
        <f aca="false">Byggnader!G24</f>
        <v>0</v>
      </c>
      <c r="H31" s="43" t="n">
        <f aca="false">Byggnader!H24</f>
        <v>0</v>
      </c>
      <c r="I31" s="43" t="n">
        <f aca="false">SUM(C31:H31)</f>
        <v>0</v>
      </c>
    </row>
    <row r="32" customFormat="false" ht="15" hidden="false" customHeight="true" outlineLevel="0" collapsed="false">
      <c r="A32" s="24" t="s">
        <v>69</v>
      </c>
      <c r="C32" s="43" t="n">
        <f aca="false">Byggnader!C25</f>
        <v>0</v>
      </c>
      <c r="D32" s="43" t="n">
        <f aca="false">Byggnader!D25</f>
        <v>0</v>
      </c>
      <c r="E32" s="43" t="n">
        <f aca="false">Byggnader!E25</f>
        <v>0</v>
      </c>
      <c r="F32" s="43" t="n">
        <f aca="false">Byggnader!F25</f>
        <v>0</v>
      </c>
      <c r="G32" s="43" t="n">
        <f aca="false">Byggnader!G25</f>
        <v>0</v>
      </c>
      <c r="H32" s="43" t="n">
        <f aca="false">Byggnader!H25</f>
        <v>0</v>
      </c>
      <c r="I32" s="43" t="n">
        <f aca="false">SUM(C32:H32)</f>
        <v>0</v>
      </c>
    </row>
    <row r="33" customFormat="false" ht="15" hidden="false" customHeight="true" outlineLevel="0" collapsed="false">
      <c r="A33" s="24" t="s">
        <v>70</v>
      </c>
      <c r="C33" s="43" t="n">
        <f aca="false">Byggnader!C26</f>
        <v>0</v>
      </c>
      <c r="D33" s="43" t="n">
        <f aca="false">Byggnader!D26</f>
        <v>0</v>
      </c>
      <c r="E33" s="43" t="n">
        <f aca="false">Byggnader!E26</f>
        <v>0</v>
      </c>
      <c r="F33" s="43" t="n">
        <f aca="false">Byggnader!F26</f>
        <v>0</v>
      </c>
      <c r="G33" s="43" t="n">
        <f aca="false">Byggnader!G26</f>
        <v>0</v>
      </c>
      <c r="H33" s="43" t="n">
        <f aca="false">Byggnader!H26</f>
        <v>0</v>
      </c>
      <c r="I33" s="43" t="n">
        <f aca="false">SUM(C33:H33)</f>
        <v>0</v>
      </c>
    </row>
    <row r="34" customFormat="false" ht="15" hidden="false" customHeight="true" outlineLevel="0" collapsed="false">
      <c r="A34" s="24" t="s">
        <v>71</v>
      </c>
      <c r="C34" s="43" t="n">
        <f aca="false">Byggnader!C27</f>
        <v>0</v>
      </c>
      <c r="D34" s="43" t="n">
        <f aca="false">Byggnader!D27</f>
        <v>0</v>
      </c>
      <c r="E34" s="43" t="n">
        <f aca="false">Byggnader!E27</f>
        <v>0</v>
      </c>
      <c r="F34" s="43" t="n">
        <f aca="false">Byggnader!F27</f>
        <v>0</v>
      </c>
      <c r="G34" s="43" t="n">
        <f aca="false">Byggnader!G27</f>
        <v>0</v>
      </c>
      <c r="H34" s="43" t="n">
        <f aca="false">Byggnader!H27</f>
        <v>0</v>
      </c>
      <c r="I34" s="43" t="n">
        <f aca="false">SUM(C34:H34)</f>
        <v>0</v>
      </c>
    </row>
    <row r="35" customFormat="false" ht="15" hidden="false" customHeight="true" outlineLevel="0" collapsed="false">
      <c r="A35" s="24" t="s">
        <v>72</v>
      </c>
      <c r="C35" s="43" t="n">
        <f aca="false">Byggnader!C28</f>
        <v>0</v>
      </c>
      <c r="D35" s="43" t="n">
        <f aca="false">Byggnader!D28</f>
        <v>0</v>
      </c>
      <c r="E35" s="43" t="n">
        <f aca="false">Byggnader!E28</f>
        <v>0</v>
      </c>
      <c r="F35" s="43" t="n">
        <f aca="false">Byggnader!F28</f>
        <v>0</v>
      </c>
      <c r="G35" s="43" t="n">
        <f aca="false">Byggnader!G28</f>
        <v>0</v>
      </c>
      <c r="H35" s="43" t="n">
        <f aca="false">Byggnader!H28</f>
        <v>0</v>
      </c>
      <c r="I35" s="43" t="n">
        <f aca="false">SUM(C35:H35)</f>
        <v>0</v>
      </c>
    </row>
    <row r="36" customFormat="false" ht="15" hidden="false" customHeight="true" outlineLevel="0" collapsed="false">
      <c r="A36" s="24" t="s">
        <v>73</v>
      </c>
      <c r="C36" s="43" t="n">
        <f aca="false">Byggnader!C29</f>
        <v>0</v>
      </c>
      <c r="D36" s="43" t="n">
        <f aca="false">Byggnader!D29</f>
        <v>0</v>
      </c>
      <c r="E36" s="43" t="n">
        <f aca="false">Byggnader!E29</f>
        <v>0</v>
      </c>
      <c r="F36" s="43" t="n">
        <f aca="false">Byggnader!F29</f>
        <v>0</v>
      </c>
      <c r="G36" s="43" t="n">
        <f aca="false">Byggnader!G29</f>
        <v>0</v>
      </c>
      <c r="H36" s="43" t="n">
        <f aca="false">Byggnader!H29</f>
        <v>0</v>
      </c>
      <c r="I36" s="43" t="n">
        <f aca="false">SUM(C36:H36)</f>
        <v>0</v>
      </c>
    </row>
    <row r="37" customFormat="false" ht="15" hidden="false" customHeight="true" outlineLevel="0" collapsed="false">
      <c r="A37" s="24" t="s">
        <v>74</v>
      </c>
      <c r="C37" s="43" t="n">
        <f aca="false">Byggnader!C30</f>
        <v>0</v>
      </c>
      <c r="D37" s="43" t="n">
        <f aca="false">Byggnader!D30</f>
        <v>0</v>
      </c>
      <c r="E37" s="43" t="n">
        <f aca="false">Byggnader!E30</f>
        <v>0</v>
      </c>
      <c r="F37" s="43" t="n">
        <f aca="false">Byggnader!F30</f>
        <v>0</v>
      </c>
      <c r="G37" s="43" t="n">
        <f aca="false">Byggnader!G30</f>
        <v>0</v>
      </c>
      <c r="H37" s="43" t="n">
        <f aca="false">Byggnader!H30</f>
        <v>0</v>
      </c>
      <c r="I37" s="43" t="n">
        <f aca="false">SUM(C37:H37)</f>
        <v>0</v>
      </c>
    </row>
    <row r="38" customFormat="false" ht="15" hidden="false" customHeight="true" outlineLevel="0" collapsed="false">
      <c r="A38" s="24" t="s">
        <v>421</v>
      </c>
      <c r="C38" s="43" t="n">
        <f aca="false">SUM(C27:C37)</f>
        <v>0</v>
      </c>
      <c r="D38" s="43" t="n">
        <f aca="false">SUM(D27:D37)</f>
        <v>0</v>
      </c>
      <c r="E38" s="43" t="n">
        <f aca="false">SUM(E27:E37)</f>
        <v>0</v>
      </c>
      <c r="F38" s="43" t="n">
        <f aca="false">SUM(F27:F37)</f>
        <v>0</v>
      </c>
      <c r="G38" s="43" t="n">
        <f aca="false">SUM(G27:G37)</f>
        <v>0</v>
      </c>
      <c r="H38" s="43" t="n">
        <f aca="false">SUM(H27:H37)</f>
        <v>0</v>
      </c>
      <c r="I38" s="43" t="n">
        <f aca="false">SUM(I27:I37)</f>
        <v>0</v>
      </c>
    </row>
    <row r="39" customFormat="false" ht="15" hidden="false" customHeight="true" outlineLevel="0" collapsed="false">
      <c r="A39" s="24" t="s">
        <v>422</v>
      </c>
      <c r="C39" s="35" t="n">
        <f aca="false">IFERROR(SUMPRODUCT(C$27:C$37,'Regler BFS 2026'!$B$12:$B$22)/C$38,0)</f>
        <v>0</v>
      </c>
      <c r="D39" s="35" t="n">
        <f aca="false">IFERROR(SUMPRODUCT(D$27:D$37,'Regler BFS 2026'!$B$12:$B$22)/D$38,0)</f>
        <v>0</v>
      </c>
      <c r="E39" s="35" t="n">
        <f aca="false">IFERROR(SUMPRODUCT(E$27:E$37,'Regler BFS 2026'!$B$12:$B$22)/E$38,0)</f>
        <v>0</v>
      </c>
      <c r="F39" s="35" t="n">
        <f aca="false">IFERROR(SUMPRODUCT(F$27:F$37,'Regler BFS 2026'!$B$12:$B$22)/F$38,0)</f>
        <v>0</v>
      </c>
      <c r="G39" s="35" t="n">
        <f aca="false">IFERROR(SUMPRODUCT(G$27:G$37,'Regler BFS 2026'!$B$12:$B$22)/G$38,0)</f>
        <v>0</v>
      </c>
      <c r="H39" s="35" t="n">
        <f aca="false">IFERROR(SUMPRODUCT(H$27:H$37,'Regler BFS 2026'!$B$12:$B$22)/H$38,0)</f>
        <v>0</v>
      </c>
      <c r="I39" s="35" t="n">
        <f aca="false">IFERROR(SUMPRODUCT(I$27:I$37,'Regler BFS 2026'!$B$12:$B$22)/I$38,0)</f>
        <v>0</v>
      </c>
    </row>
    <row r="40" customFormat="false" ht="15" hidden="false" customHeight="true" outlineLevel="0" collapsed="false">
      <c r="A40" s="24" t="s">
        <v>423</v>
      </c>
      <c r="C40" s="174" t="n">
        <f aca="false">IFERROR(SUMPRODUCT(C$27:C$37,'Regler BFS 2026'!$C$12:$C$22)/C$38,0)</f>
        <v>0</v>
      </c>
      <c r="D40" s="174" t="n">
        <f aca="false">IFERROR(SUMPRODUCT(D$27:D$37,'Regler BFS 2026'!$C$12:$C$22)/D$38,0)</f>
        <v>0</v>
      </c>
      <c r="E40" s="174" t="n">
        <f aca="false">IFERROR(SUMPRODUCT(E$27:E$37,'Regler BFS 2026'!$C$12:$C$22)/E$38,0)</f>
        <v>0</v>
      </c>
      <c r="F40" s="174" t="n">
        <f aca="false">IFERROR(SUMPRODUCT(F$27:F$37,'Regler BFS 2026'!$C$12:$C$22)/F$38,0)</f>
        <v>0</v>
      </c>
      <c r="G40" s="174" t="n">
        <f aca="false">IFERROR(SUMPRODUCT(G$27:G$37,'Regler BFS 2026'!$C$12:$C$22)/G$38,0)</f>
        <v>0</v>
      </c>
      <c r="H40" s="174" t="n">
        <f aca="false">IFERROR(SUMPRODUCT(H$27:H$37,'Regler BFS 2026'!$C$12:$C$22)/H$38,0)</f>
        <v>0</v>
      </c>
      <c r="I40" s="174" t="n">
        <f aca="false">IFERROR(SUMPRODUCT(I$27:I$37,'Regler BFS 2026'!$C$12:$C$22)/I$38,0)</f>
        <v>0</v>
      </c>
    </row>
    <row r="41" customFormat="false" ht="15" hidden="false" customHeight="true" outlineLevel="0" collapsed="false">
      <c r="A41" s="24" t="s">
        <v>424</v>
      </c>
      <c r="C41" s="174" t="n">
        <f aca="false">IFERROR(SUMPRODUCT(C$27:C$37,'Regler BFS 2026'!$D$12:$D$22)/C$38,0)</f>
        <v>0</v>
      </c>
      <c r="D41" s="174" t="n">
        <f aca="false">IFERROR(SUMPRODUCT(D$27:D$37,'Regler BFS 2026'!$D$12:$D$22)/D$38,0)</f>
        <v>0</v>
      </c>
      <c r="E41" s="174" t="n">
        <f aca="false">IFERROR(SUMPRODUCT(E$27:E$37,'Regler BFS 2026'!$D$12:$D$22)/E$38,0)</f>
        <v>0</v>
      </c>
      <c r="F41" s="174" t="n">
        <f aca="false">IFERROR(SUMPRODUCT(F$27:F$37,'Regler BFS 2026'!$D$12:$D$22)/F$38,0)</f>
        <v>0</v>
      </c>
      <c r="G41" s="174" t="n">
        <f aca="false">IFERROR(SUMPRODUCT(G$27:G$37,'Regler BFS 2026'!$D$12:$D$22)/G$38,0)</f>
        <v>0</v>
      </c>
      <c r="H41" s="174" t="n">
        <f aca="false">IFERROR(SUMPRODUCT(H$27:H$37,'Regler BFS 2026'!$D$12:$D$22)/H$38,0)</f>
        <v>0</v>
      </c>
      <c r="I41" s="174" t="n">
        <f aca="false">IFERROR(SUMPRODUCT(I$27:I$37,'Regler BFS 2026'!$D$12:$D$22)/I$38,0)</f>
        <v>0</v>
      </c>
    </row>
    <row r="42" customFormat="false" ht="15" hidden="false" customHeight="true" outlineLevel="0" collapsed="false">
      <c r="A42" s="24" t="s">
        <v>425</v>
      </c>
      <c r="C42" s="35" t="n">
        <f aca="false">IFERROR(SUMPRODUCT(C$27:C$37,'Regler BFS 2026'!$E$12:$E$22)/C$38,0)</f>
        <v>0</v>
      </c>
      <c r="D42" s="35" t="n">
        <f aca="false">IFERROR(SUMPRODUCT(D$27:D$37,'Regler BFS 2026'!$E$12:$E$22)/D$38,0)</f>
        <v>0</v>
      </c>
      <c r="E42" s="35" t="n">
        <f aca="false">IFERROR(SUMPRODUCT(E$27:E$37,'Regler BFS 2026'!$E$12:$E$22)/E$38,0)</f>
        <v>0</v>
      </c>
      <c r="F42" s="35" t="n">
        <f aca="false">IFERROR(SUMPRODUCT(F$27:F$37,'Regler BFS 2026'!$E$12:$E$22)/F$38,0)</f>
        <v>0</v>
      </c>
      <c r="G42" s="35" t="n">
        <f aca="false">IFERROR(SUMPRODUCT(G$27:G$37,'Regler BFS 2026'!$E$12:$E$22)/G$38,0)</f>
        <v>0</v>
      </c>
      <c r="H42" s="35" t="n">
        <f aca="false">IFERROR(SUMPRODUCT(H$27:H$37,'Regler BFS 2026'!$E$12:$E$22)/H$38,0)</f>
        <v>0</v>
      </c>
      <c r="I42" s="35" t="n">
        <f aca="false">IFERROR(SUMPRODUCT(I$27:I$37,'Regler BFS 2026'!$E$12:$E$22)/I$38,0)</f>
        <v>0</v>
      </c>
    </row>
    <row r="44" customFormat="false" ht="15" hidden="false" customHeight="true" outlineLevel="0" collapsed="false">
      <c r="A44" s="33" t="s">
        <v>426</v>
      </c>
    </row>
    <row r="45" customFormat="false" ht="15" hidden="false" customHeight="true" outlineLevel="0" collapsed="false">
      <c r="A45" s="3" t="s">
        <v>13</v>
      </c>
      <c r="C45" s="3" t="str">
        <f aca="false">Byggnader!C12</f>
        <v>Byggnad 1</v>
      </c>
      <c r="D45" s="3" t="str">
        <f aca="false">Byggnader!D12</f>
        <v>Byggnad 2</v>
      </c>
      <c r="E45" s="3" t="str">
        <f aca="false">Byggnader!E12</f>
        <v>Byggnad 3</v>
      </c>
      <c r="F45" s="3" t="str">
        <f aca="false">Byggnader!F12</f>
        <v>Byggnad 4</v>
      </c>
      <c r="G45" s="3" t="str">
        <f aca="false">Byggnader!G12</f>
        <v>Byggnad 5</v>
      </c>
      <c r="H45" s="3" t="str">
        <f aca="false">Byggnader!H12</f>
        <v>Byggnad 6</v>
      </c>
      <c r="I45" s="3" t="s">
        <v>24</v>
      </c>
    </row>
    <row r="46" customFormat="false" ht="15" hidden="false" customHeight="true" outlineLevel="0" collapsed="false">
      <c r="A46" s="24" t="s">
        <v>427</v>
      </c>
      <c r="C46" s="43" t="n">
        <f aca="false">(SUMIFS(Mätdata!$E$6:$E$25,Mätdata!$B$6:$B$25,"El",Mätdata!$C$6:$C$25,"Hushållsel",Mätdata!$D$6:$D$25,Byggnader!C$12)+SUMIFS(Mätdata!$E$6:$E$25,Mätdata!$B$6:$B$25,"El",Mätdata!$C$6:$C$25,"Hushållsel",Mätdata!$D$6:$D$25,"Alla")*Byggnader!C$44)+Mätdata!$C$66*Byggnader!C$44</f>
        <v>0</v>
      </c>
      <c r="D46" s="43" t="n">
        <f aca="false">(SUMIFS(Mätdata!$E$6:$E$25,Mätdata!$B$6:$B$25,"El",Mätdata!$C$6:$C$25,"Hushållsel",Mätdata!$D$6:$D$25,Byggnader!D$12)+SUMIFS(Mätdata!$E$6:$E$25,Mätdata!$B$6:$B$25,"El",Mätdata!$C$6:$C$25,"Hushållsel",Mätdata!$D$6:$D$25,"Alla")*Byggnader!D$44)+Mätdata!$C$66*Byggnader!D$44</f>
        <v>0</v>
      </c>
      <c r="E46" s="43" t="n">
        <f aca="false">(SUMIFS(Mätdata!$E$6:$E$25,Mätdata!$B$6:$B$25,"El",Mätdata!$C$6:$C$25,"Hushållsel",Mätdata!$D$6:$D$25,Byggnader!E$12)+SUMIFS(Mätdata!$E$6:$E$25,Mätdata!$B$6:$B$25,"El",Mätdata!$C$6:$C$25,"Hushållsel",Mätdata!$D$6:$D$25,"Alla")*Byggnader!E$44)+Mätdata!$C$66*Byggnader!E$44</f>
        <v>0</v>
      </c>
      <c r="F46" s="43" t="n">
        <f aca="false">(SUMIFS(Mätdata!$E$6:$E$25,Mätdata!$B$6:$B$25,"El",Mätdata!$C$6:$C$25,"Hushållsel",Mätdata!$D$6:$D$25,Byggnader!F$12)+SUMIFS(Mätdata!$E$6:$E$25,Mätdata!$B$6:$B$25,"El",Mätdata!$C$6:$C$25,"Hushållsel",Mätdata!$D$6:$D$25,"Alla")*Byggnader!F$44)+Mätdata!$C$66*Byggnader!F$44</f>
        <v>0</v>
      </c>
      <c r="G46" s="43" t="n">
        <f aca="false">(SUMIFS(Mätdata!$E$6:$E$25,Mätdata!$B$6:$B$25,"El",Mätdata!$C$6:$C$25,"Hushållsel",Mätdata!$D$6:$D$25,Byggnader!G$12)+SUMIFS(Mätdata!$E$6:$E$25,Mätdata!$B$6:$B$25,"El",Mätdata!$C$6:$C$25,"Hushållsel",Mätdata!$D$6:$D$25,"Alla")*Byggnader!G$44)+Mätdata!$C$66*Byggnader!G$44</f>
        <v>0</v>
      </c>
      <c r="H46" s="43" t="n">
        <f aca="false">(SUMIFS(Mätdata!$E$6:$E$25,Mätdata!$B$6:$B$25,"El",Mätdata!$C$6:$C$25,"Hushållsel",Mätdata!$D$6:$D$25,Byggnader!H$12)+SUMIFS(Mätdata!$E$6:$E$25,Mätdata!$B$6:$B$25,"El",Mätdata!$C$6:$C$25,"Hushållsel",Mätdata!$D$6:$D$25,"Alla")*Byggnader!H$44)+Mätdata!$C$66*Byggnader!H$44</f>
        <v>0</v>
      </c>
      <c r="I46" s="43" t="n">
        <f aca="false">SUM(C46:H46)</f>
        <v>0</v>
      </c>
    </row>
    <row r="47" customFormat="false" ht="15" hidden="false" customHeight="true" outlineLevel="0" collapsed="false">
      <c r="A47" s="24" t="s">
        <v>428</v>
      </c>
      <c r="C47" s="174" t="n">
        <f aca="false">IFERROR(Byggnader!C18*C17*$B$7*$B$8/24/C26,0)</f>
        <v>0</v>
      </c>
      <c r="D47" s="174" t="n">
        <f aca="false">IFERROR(Byggnader!D18*D17*$B$7*$B$8/24/D26,0)</f>
        <v>0</v>
      </c>
      <c r="E47" s="174" t="n">
        <f aca="false">IFERROR(Byggnader!E18*E17*$B$7*$B$8/24/E26,0)</f>
        <v>0</v>
      </c>
      <c r="F47" s="174" t="n">
        <f aca="false">IFERROR(Byggnader!F18*F17*$B$7*$B$8/24/F26,0)</f>
        <v>0</v>
      </c>
      <c r="G47" s="174" t="n">
        <f aca="false">IFERROR(Byggnader!G18*G17*$B$7*$B$8/24/G26,0)</f>
        <v>0</v>
      </c>
      <c r="H47" s="174" t="n">
        <f aca="false">IFERROR(Byggnader!H18*H17*$B$7*$B$8/24/H26,0)</f>
        <v>0</v>
      </c>
    </row>
    <row r="48" customFormat="false" ht="15" hidden="false" customHeight="true" outlineLevel="0" collapsed="false">
      <c r="A48" s="24" t="s">
        <v>429</v>
      </c>
      <c r="C48" s="174" t="n">
        <f aca="false">IFERROR((C46+C18)*$B$6*1000/8760/C26,0)</f>
        <v>0</v>
      </c>
      <c r="D48" s="174" t="n">
        <f aca="false">IFERROR((D46+D18)*$B$6*1000/8760/D26,0)</f>
        <v>0</v>
      </c>
      <c r="E48" s="174" t="n">
        <f aca="false">IFERROR((E46+E18)*$B$6*1000/8760/E26,0)</f>
        <v>0</v>
      </c>
      <c r="F48" s="174" t="n">
        <f aca="false">IFERROR((F46+F18)*$B$6*1000/8760/F26,0)</f>
        <v>0</v>
      </c>
      <c r="G48" s="174" t="n">
        <f aca="false">IFERROR((G46+G18)*$B$6*1000/8760/G26,0)</f>
        <v>0</v>
      </c>
      <c r="H48" s="174" t="n">
        <f aca="false">IFERROR((H46+H18)*$B$6*1000/8760/H26,0)</f>
        <v>0</v>
      </c>
    </row>
    <row r="49" customFormat="false" ht="15" hidden="false" customHeight="true" outlineLevel="0" collapsed="false">
      <c r="A49" s="3" t="s">
        <v>430</v>
      </c>
      <c r="C49" s="174" t="n">
        <f aca="false">C47+C48</f>
        <v>0</v>
      </c>
      <c r="D49" s="174" t="n">
        <f aca="false">D47+D48</f>
        <v>0</v>
      </c>
      <c r="E49" s="174" t="n">
        <f aca="false">E47+E48</f>
        <v>0</v>
      </c>
      <c r="F49" s="174" t="n">
        <f aca="false">F47+F48</f>
        <v>0</v>
      </c>
      <c r="G49" s="174" t="n">
        <f aca="false">G47+G48</f>
        <v>0</v>
      </c>
      <c r="H49" s="174" t="n">
        <f aca="false">H47+H48</f>
        <v>0</v>
      </c>
      <c r="I49" s="174" t="n">
        <f aca="false">IFERROR(SUMPRODUCT(C49:H49,C26:H26)/I26,0)</f>
        <v>0</v>
      </c>
    </row>
    <row r="50" customFormat="false" ht="15" hidden="false" customHeight="true" outlineLevel="0" collapsed="false">
      <c r="A50" s="24" t="s">
        <v>431</v>
      </c>
      <c r="C50" s="43" t="n">
        <f aca="false">SUMIF(Mätdata!$B$29:$B$36,Byggnader!C$12,Mätdata!$C$29:$C$36)+SUMIF(Mätdata!$B$29:$B$36,"Alla",Mätdata!$C$29:$C$36)*Byggnader!C$42</f>
        <v>0</v>
      </c>
      <c r="D50" s="43" t="n">
        <f aca="false">SUMIF(Mätdata!$B$29:$B$36,Byggnader!D$12,Mätdata!$C$29:$C$36)+SUMIF(Mätdata!$B$29:$B$36,"Alla",Mätdata!$C$29:$C$36)*Byggnader!D$42</f>
        <v>0</v>
      </c>
      <c r="E50" s="43" t="n">
        <f aca="false">SUMIF(Mätdata!$B$29:$B$36,Byggnader!E$12,Mätdata!$C$29:$C$36)+SUMIF(Mätdata!$B$29:$B$36,"Alla",Mätdata!$C$29:$C$36)*Byggnader!E$42</f>
        <v>0</v>
      </c>
      <c r="F50" s="43" t="n">
        <f aca="false">SUMIF(Mätdata!$B$29:$B$36,Byggnader!F$12,Mätdata!$C$29:$C$36)+SUMIF(Mätdata!$B$29:$B$36,"Alla",Mätdata!$C$29:$C$36)*Byggnader!F$42</f>
        <v>0</v>
      </c>
      <c r="G50" s="43" t="n">
        <f aca="false">SUMIF(Mätdata!$B$29:$B$36,Byggnader!G$12,Mätdata!$C$29:$C$36)+SUMIF(Mätdata!$B$29:$B$36,"Alla",Mätdata!$C$29:$C$36)*Byggnader!G$42</f>
        <v>0</v>
      </c>
      <c r="H50" s="43" t="n">
        <f aca="false">SUMIF(Mätdata!$B$29:$B$36,Byggnader!H$12,Mätdata!$C$29:$C$36)+SUMIF(Mätdata!$B$29:$B$36,"Alla",Mätdata!$C$29:$C$36)*Byggnader!H$42</f>
        <v>0</v>
      </c>
      <c r="I50" s="43" t="n">
        <f aca="false">SUM(C50:H50)</f>
        <v>0</v>
      </c>
    </row>
    <row r="51" customFormat="false" ht="15" hidden="false" customHeight="true" outlineLevel="0" collapsed="false">
      <c r="A51" s="24" t="s">
        <v>432</v>
      </c>
      <c r="C51" s="43" t="n">
        <f aca="false">IF(Mätdata!$C$37&gt;0,C50*Mätdata!$B$40*Mätdata!$B$41,Mätdata!$B$43*C26)</f>
        <v>0</v>
      </c>
      <c r="D51" s="43" t="n">
        <f aca="false">IF(Mätdata!$C$37&gt;0,D50*Mätdata!$B$40*Mätdata!$B$41,Mätdata!$B$43*D26)</f>
        <v>0</v>
      </c>
      <c r="E51" s="43" t="n">
        <f aca="false">IF(Mätdata!$C$37&gt;0,E50*Mätdata!$B$40*Mätdata!$B$41,Mätdata!$B$43*E26)</f>
        <v>0</v>
      </c>
      <c r="F51" s="43" t="n">
        <f aca="false">IF(Mätdata!$C$37&gt;0,F50*Mätdata!$B$40*Mätdata!$B$41,Mätdata!$B$43*F26)</f>
        <v>0</v>
      </c>
      <c r="G51" s="43" t="n">
        <f aca="false">IF(Mätdata!$C$37&gt;0,G50*Mätdata!$B$40*Mätdata!$B$41,Mätdata!$B$43*G26)</f>
        <v>0</v>
      </c>
      <c r="H51" s="43" t="n">
        <f aca="false">IF(Mätdata!$C$37&gt;0,H50*Mätdata!$B$40*Mätdata!$B$41,Mätdata!$B$43*H26)</f>
        <v>0</v>
      </c>
      <c r="I51" s="43" t="n">
        <f aca="false">SUM(C51:H51)</f>
        <v>0</v>
      </c>
    </row>
    <row r="52" customFormat="false" ht="15" hidden="false" customHeight="true" outlineLevel="0" collapsed="false">
      <c r="A52" s="24" t="s">
        <v>433</v>
      </c>
      <c r="C52" s="35" t="n">
        <f aca="false">IFERROR(C51/C26,0)</f>
        <v>0</v>
      </c>
      <c r="D52" s="35" t="n">
        <f aca="false">IFERROR(D51/D26,0)</f>
        <v>0</v>
      </c>
      <c r="E52" s="35" t="n">
        <f aca="false">IFERROR(E51/E26,0)</f>
        <v>0</v>
      </c>
      <c r="F52" s="35" t="n">
        <f aca="false">IFERROR(F51/F26,0)</f>
        <v>0</v>
      </c>
      <c r="G52" s="35" t="n">
        <f aca="false">IFERROR(G51/G26,0)</f>
        <v>0</v>
      </c>
      <c r="H52" s="35" t="n">
        <f aca="false">IFERROR(H51/H26,0)</f>
        <v>0</v>
      </c>
      <c r="I52" s="35" t="n">
        <f aca="false">IFERROR(I51/I26,0)</f>
        <v>0</v>
      </c>
    </row>
    <row r="53" customFormat="false" ht="15" hidden="false" customHeight="true" outlineLevel="0" collapsed="false">
      <c r="A53" s="24" t="s">
        <v>434</v>
      </c>
      <c r="C53" s="43" t="n">
        <f aca="false">IFERROR(C51/Mätdata!$B$42,0)</f>
        <v>0</v>
      </c>
      <c r="D53" s="43" t="n">
        <f aca="false">IFERROR(D51/Mätdata!$B$42,0)</f>
        <v>0</v>
      </c>
      <c r="E53" s="43" t="n">
        <f aca="false">IFERROR(E51/Mätdata!$B$42,0)</f>
        <v>0</v>
      </c>
      <c r="F53" s="43" t="n">
        <f aca="false">IFERROR(F51/Mätdata!$B$42,0)</f>
        <v>0</v>
      </c>
      <c r="G53" s="43" t="n">
        <f aca="false">IFERROR(G51/Mätdata!$B$42,0)</f>
        <v>0</v>
      </c>
      <c r="H53" s="43" t="n">
        <f aca="false">IFERROR(H51/Mätdata!$B$42,0)</f>
        <v>0</v>
      </c>
      <c r="I53" s="43" t="n">
        <f aca="false">SUM(C53:H53)</f>
        <v>0</v>
      </c>
    </row>
    <row r="55" customFormat="false" ht="15" hidden="false" customHeight="true" outlineLevel="0" collapsed="false">
      <c r="A55" s="33" t="s">
        <v>435</v>
      </c>
    </row>
    <row r="56" customFormat="false" ht="15" hidden="false" customHeight="true" outlineLevel="0" collapsed="false">
      <c r="A56" s="3" t="s">
        <v>13</v>
      </c>
      <c r="C56" s="3" t="str">
        <f aca="false">Byggnader!C12</f>
        <v>Byggnad 1</v>
      </c>
      <c r="D56" s="3" t="str">
        <f aca="false">Byggnader!D12</f>
        <v>Byggnad 2</v>
      </c>
      <c r="E56" s="3" t="str">
        <f aca="false">Byggnader!E12</f>
        <v>Byggnad 3</v>
      </c>
      <c r="F56" s="3" t="str">
        <f aca="false">Byggnader!F12</f>
        <v>Byggnad 4</v>
      </c>
      <c r="G56" s="3" t="str">
        <f aca="false">Byggnader!G12</f>
        <v>Byggnad 5</v>
      </c>
      <c r="H56" s="3" t="str">
        <f aca="false">Byggnader!H12</f>
        <v>Byggnad 6</v>
      </c>
      <c r="I56" s="3" t="s">
        <v>24</v>
      </c>
    </row>
    <row r="57" customFormat="false" ht="15" hidden="false" customHeight="true" outlineLevel="0" collapsed="false">
      <c r="A57" s="24" t="s">
        <v>174</v>
      </c>
      <c r="C57" s="43" t="n">
        <f aca="false">(SUMIFS(Mätdata!$E$6:$E$25,Mätdata!$B$6:$B$25,"Fjärrvärme",Mätdata!$C$6:$C$25,"Värme och tappvarmvatten",Mätdata!$D$6:$D$25,Byggnader!C$12)+SUMIFS(Mätdata!$E$6:$E$25,Mätdata!$B$6:$B$25,"Fjärrvärme",Mätdata!$C$6:$C$25,"Värme och tappvarmvatten",Mätdata!$D$6:$D$25,"Alla")*Byggnader!C$39)</f>
        <v>0</v>
      </c>
      <c r="D57" s="43" t="n">
        <f aca="false">(SUMIFS(Mätdata!$E$6:$E$25,Mätdata!$B$6:$B$25,"Fjärrvärme",Mätdata!$C$6:$C$25,"Värme och tappvarmvatten",Mätdata!$D$6:$D$25,Byggnader!D$12)+SUMIFS(Mätdata!$E$6:$E$25,Mätdata!$B$6:$B$25,"Fjärrvärme",Mätdata!$C$6:$C$25,"Värme och tappvarmvatten",Mätdata!$D$6:$D$25,"Alla")*Byggnader!D$39)</f>
        <v>0</v>
      </c>
      <c r="E57" s="43" t="n">
        <f aca="false">(SUMIFS(Mätdata!$E$6:$E$25,Mätdata!$B$6:$B$25,"Fjärrvärme",Mätdata!$C$6:$C$25,"Värme och tappvarmvatten",Mätdata!$D$6:$D$25,Byggnader!E$12)+SUMIFS(Mätdata!$E$6:$E$25,Mätdata!$B$6:$B$25,"Fjärrvärme",Mätdata!$C$6:$C$25,"Värme och tappvarmvatten",Mätdata!$D$6:$D$25,"Alla")*Byggnader!E$39)</f>
        <v>0</v>
      </c>
      <c r="F57" s="43" t="n">
        <f aca="false">(SUMIFS(Mätdata!$E$6:$E$25,Mätdata!$B$6:$B$25,"Fjärrvärme",Mätdata!$C$6:$C$25,"Värme och tappvarmvatten",Mätdata!$D$6:$D$25,Byggnader!F$12)+SUMIFS(Mätdata!$E$6:$E$25,Mätdata!$B$6:$B$25,"Fjärrvärme",Mätdata!$C$6:$C$25,"Värme och tappvarmvatten",Mätdata!$D$6:$D$25,"Alla")*Byggnader!F$39)</f>
        <v>0</v>
      </c>
      <c r="G57" s="43" t="n">
        <f aca="false">(SUMIFS(Mätdata!$E$6:$E$25,Mätdata!$B$6:$B$25,"Fjärrvärme",Mätdata!$C$6:$C$25,"Värme och tappvarmvatten",Mätdata!$D$6:$D$25,Byggnader!G$12)+SUMIFS(Mätdata!$E$6:$E$25,Mätdata!$B$6:$B$25,"Fjärrvärme",Mätdata!$C$6:$C$25,"Värme och tappvarmvatten",Mätdata!$D$6:$D$25,"Alla")*Byggnader!G$39)</f>
        <v>0</v>
      </c>
      <c r="H57" s="43" t="n">
        <f aca="false">(SUMIFS(Mätdata!$E$6:$E$25,Mätdata!$B$6:$B$25,"Fjärrvärme",Mätdata!$C$6:$C$25,"Värme och tappvarmvatten",Mätdata!$D$6:$D$25,Byggnader!H$12)+SUMIFS(Mätdata!$E$6:$E$25,Mätdata!$B$6:$B$25,"Fjärrvärme",Mätdata!$C$6:$C$25,"Värme och tappvarmvatten",Mätdata!$D$6:$D$25,"Alla")*Byggnader!H$39)</f>
        <v>0</v>
      </c>
      <c r="I57" s="43" t="n">
        <f aca="false">SUM(C57:H57)</f>
        <v>0</v>
      </c>
    </row>
    <row r="58" customFormat="false" ht="15" hidden="false" customHeight="true" outlineLevel="0" collapsed="false">
      <c r="A58" s="24" t="s">
        <v>175</v>
      </c>
      <c r="C58" s="43" t="n">
        <f aca="false">(SUMIFS(Mätdata!$E$6:$E$25,Mätdata!$B$6:$B$25,"El",Mätdata!$C$6:$C$25,"Värmepump",Mätdata!$D$6:$D$25,Byggnader!C$12)+SUMIFS(Mätdata!$E$6:$E$25,Mätdata!$B$6:$B$25,"El",Mätdata!$C$6:$C$25,"Värmepump",Mätdata!$D$6:$D$25,"Alla")*Byggnader!C$39)+Mätdata!C62*Byggnader!C$39</f>
        <v>0</v>
      </c>
      <c r="D58" s="43" t="n">
        <f aca="false">(SUMIFS(Mätdata!$E$6:$E$25,Mätdata!$B$6:$B$25,"El",Mätdata!$C$6:$C$25,"Värmepump",Mätdata!$D$6:$D$25,Byggnader!D$12)+SUMIFS(Mätdata!$E$6:$E$25,Mätdata!$B$6:$B$25,"El",Mätdata!$C$6:$C$25,"Värmepump",Mätdata!$D$6:$D$25,"Alla")*Byggnader!D$39)+Mätdata!C62*Byggnader!D$39</f>
        <v>0</v>
      </c>
      <c r="E58" s="43" t="n">
        <f aca="false">(SUMIFS(Mätdata!$E$6:$E$25,Mätdata!$B$6:$B$25,"El",Mätdata!$C$6:$C$25,"Värmepump",Mätdata!$D$6:$D$25,Byggnader!E$12)+SUMIFS(Mätdata!$E$6:$E$25,Mätdata!$B$6:$B$25,"El",Mätdata!$C$6:$C$25,"Värmepump",Mätdata!$D$6:$D$25,"Alla")*Byggnader!E$39)+Mätdata!C62*Byggnader!E$39</f>
        <v>0</v>
      </c>
      <c r="F58" s="43" t="n">
        <f aca="false">(SUMIFS(Mätdata!$E$6:$E$25,Mätdata!$B$6:$B$25,"El",Mätdata!$C$6:$C$25,"Värmepump",Mätdata!$D$6:$D$25,Byggnader!F$12)+SUMIFS(Mätdata!$E$6:$E$25,Mätdata!$B$6:$B$25,"El",Mätdata!$C$6:$C$25,"Värmepump",Mätdata!$D$6:$D$25,"Alla")*Byggnader!F$39)+Mätdata!C62*Byggnader!F$39</f>
        <v>0</v>
      </c>
      <c r="G58" s="43" t="n">
        <f aca="false">(SUMIFS(Mätdata!$E$6:$E$25,Mätdata!$B$6:$B$25,"El",Mätdata!$C$6:$C$25,"Värmepump",Mätdata!$D$6:$D$25,Byggnader!G$12)+SUMIFS(Mätdata!$E$6:$E$25,Mätdata!$B$6:$B$25,"El",Mätdata!$C$6:$C$25,"Värmepump",Mätdata!$D$6:$D$25,"Alla")*Byggnader!G$39)+Mätdata!C62*Byggnader!G$39</f>
        <v>0</v>
      </c>
      <c r="H58" s="43" t="n">
        <f aca="false">(SUMIFS(Mätdata!$E$6:$E$25,Mätdata!$B$6:$B$25,"El",Mätdata!$C$6:$C$25,"Värmepump",Mätdata!$D$6:$D$25,Byggnader!H$12)+SUMIFS(Mätdata!$E$6:$E$25,Mätdata!$B$6:$B$25,"El",Mätdata!$C$6:$C$25,"Värmepump",Mätdata!$D$6:$D$25,"Alla")*Byggnader!H$39)+Mätdata!C62*Byggnader!H$39</f>
        <v>0</v>
      </c>
      <c r="I58" s="43" t="n">
        <f aca="false">SUM(C58:H58)</f>
        <v>0</v>
      </c>
    </row>
    <row r="59" customFormat="false" ht="15" hidden="false" customHeight="true" outlineLevel="0" collapsed="false">
      <c r="A59" s="24" t="s">
        <v>177</v>
      </c>
      <c r="C59" s="43" t="n">
        <f aca="false">(SUMIFS(Mätdata!$E$6:$E$25,Mätdata!$B$6:$B$25,"El",Mätdata!$C$6:$C$25,"Elvärme",Mätdata!$D$6:$D$25,Byggnader!C$12)+SUMIFS(Mätdata!$E$6:$E$25,Mätdata!$B$6:$B$25,"El",Mätdata!$C$6:$C$25,"Elvärme",Mätdata!$D$6:$D$25,"Alla")*Byggnader!C$39)+Mätdata!C63*Byggnader!C$39</f>
        <v>0</v>
      </c>
      <c r="D59" s="43" t="n">
        <f aca="false">(SUMIFS(Mätdata!$E$6:$E$25,Mätdata!$B$6:$B$25,"El",Mätdata!$C$6:$C$25,"Elvärme",Mätdata!$D$6:$D$25,Byggnader!D$12)+SUMIFS(Mätdata!$E$6:$E$25,Mätdata!$B$6:$B$25,"El",Mätdata!$C$6:$C$25,"Elvärme",Mätdata!$D$6:$D$25,"Alla")*Byggnader!D$39)+Mätdata!C63*Byggnader!D$39</f>
        <v>0</v>
      </c>
      <c r="E59" s="43" t="n">
        <f aca="false">(SUMIFS(Mätdata!$E$6:$E$25,Mätdata!$B$6:$B$25,"El",Mätdata!$C$6:$C$25,"Elvärme",Mätdata!$D$6:$D$25,Byggnader!E$12)+SUMIFS(Mätdata!$E$6:$E$25,Mätdata!$B$6:$B$25,"El",Mätdata!$C$6:$C$25,"Elvärme",Mätdata!$D$6:$D$25,"Alla")*Byggnader!E$39)+Mätdata!C63*Byggnader!E$39</f>
        <v>0</v>
      </c>
      <c r="F59" s="43" t="n">
        <f aca="false">(SUMIFS(Mätdata!$E$6:$E$25,Mätdata!$B$6:$B$25,"El",Mätdata!$C$6:$C$25,"Elvärme",Mätdata!$D$6:$D$25,Byggnader!F$12)+SUMIFS(Mätdata!$E$6:$E$25,Mätdata!$B$6:$B$25,"El",Mätdata!$C$6:$C$25,"Elvärme",Mätdata!$D$6:$D$25,"Alla")*Byggnader!F$39)+Mätdata!C63*Byggnader!F$39</f>
        <v>0</v>
      </c>
      <c r="G59" s="43" t="n">
        <f aca="false">(SUMIFS(Mätdata!$E$6:$E$25,Mätdata!$B$6:$B$25,"El",Mätdata!$C$6:$C$25,"Elvärme",Mätdata!$D$6:$D$25,Byggnader!G$12)+SUMIFS(Mätdata!$E$6:$E$25,Mätdata!$B$6:$B$25,"El",Mätdata!$C$6:$C$25,"Elvärme",Mätdata!$D$6:$D$25,"Alla")*Byggnader!G$39)+Mätdata!C63*Byggnader!G$39</f>
        <v>0</v>
      </c>
      <c r="H59" s="43" t="n">
        <f aca="false">(SUMIFS(Mätdata!$E$6:$E$25,Mätdata!$B$6:$B$25,"El",Mätdata!$C$6:$C$25,"Elvärme",Mätdata!$D$6:$D$25,Byggnader!H$12)+SUMIFS(Mätdata!$E$6:$E$25,Mätdata!$B$6:$B$25,"El",Mätdata!$C$6:$C$25,"Elvärme",Mätdata!$D$6:$D$25,"Alla")*Byggnader!H$39)+Mätdata!C63*Byggnader!H$39</f>
        <v>0</v>
      </c>
      <c r="I59" s="43" t="n">
        <f aca="false">SUM(C59:H59)</f>
        <v>0</v>
      </c>
    </row>
    <row r="60" customFormat="false" ht="15" hidden="false" customHeight="true" outlineLevel="0" collapsed="false">
      <c r="A60" s="24" t="s">
        <v>179</v>
      </c>
      <c r="C60" s="43" t="n">
        <f aca="false">(SUMIFS(Mätdata!$E$6:$E$25,Mätdata!$B$6:$B$25,"Olja",Mätdata!$C$6:$C$25,"Värme och tappvarmvatten",Mätdata!$D$6:$D$25,Byggnader!C$12)+SUMIFS(Mätdata!$E$6:$E$25,Mätdata!$B$6:$B$25,"Olja",Mätdata!$C$6:$C$25,"Värme och tappvarmvatten",Mätdata!$D$6:$D$25,"Alla")*Byggnader!C$39)</f>
        <v>0</v>
      </c>
      <c r="D60" s="43" t="n">
        <f aca="false">(SUMIFS(Mätdata!$E$6:$E$25,Mätdata!$B$6:$B$25,"Olja",Mätdata!$C$6:$C$25,"Värme och tappvarmvatten",Mätdata!$D$6:$D$25,Byggnader!D$12)+SUMIFS(Mätdata!$E$6:$E$25,Mätdata!$B$6:$B$25,"Olja",Mätdata!$C$6:$C$25,"Värme och tappvarmvatten",Mätdata!$D$6:$D$25,"Alla")*Byggnader!D$39)</f>
        <v>0</v>
      </c>
      <c r="E60" s="43" t="n">
        <f aca="false">(SUMIFS(Mätdata!$E$6:$E$25,Mätdata!$B$6:$B$25,"Olja",Mätdata!$C$6:$C$25,"Värme och tappvarmvatten",Mätdata!$D$6:$D$25,Byggnader!E$12)+SUMIFS(Mätdata!$E$6:$E$25,Mätdata!$B$6:$B$25,"Olja",Mätdata!$C$6:$C$25,"Värme och tappvarmvatten",Mätdata!$D$6:$D$25,"Alla")*Byggnader!E$39)</f>
        <v>0</v>
      </c>
      <c r="F60" s="43" t="n">
        <f aca="false">(SUMIFS(Mätdata!$E$6:$E$25,Mätdata!$B$6:$B$25,"Olja",Mätdata!$C$6:$C$25,"Värme och tappvarmvatten",Mätdata!$D$6:$D$25,Byggnader!F$12)+SUMIFS(Mätdata!$E$6:$E$25,Mätdata!$B$6:$B$25,"Olja",Mätdata!$C$6:$C$25,"Värme och tappvarmvatten",Mätdata!$D$6:$D$25,"Alla")*Byggnader!F$39)</f>
        <v>0</v>
      </c>
      <c r="G60" s="43" t="n">
        <f aca="false">(SUMIFS(Mätdata!$E$6:$E$25,Mätdata!$B$6:$B$25,"Olja",Mätdata!$C$6:$C$25,"Värme och tappvarmvatten",Mätdata!$D$6:$D$25,Byggnader!G$12)+SUMIFS(Mätdata!$E$6:$E$25,Mätdata!$B$6:$B$25,"Olja",Mätdata!$C$6:$C$25,"Värme och tappvarmvatten",Mätdata!$D$6:$D$25,"Alla")*Byggnader!G$39)</f>
        <v>0</v>
      </c>
      <c r="H60" s="43" t="n">
        <f aca="false">(SUMIFS(Mätdata!$E$6:$E$25,Mätdata!$B$6:$B$25,"Olja",Mätdata!$C$6:$C$25,"Värme och tappvarmvatten",Mätdata!$D$6:$D$25,Byggnader!H$12)+SUMIFS(Mätdata!$E$6:$E$25,Mätdata!$B$6:$B$25,"Olja",Mätdata!$C$6:$C$25,"Värme och tappvarmvatten",Mätdata!$D$6:$D$25,"Alla")*Byggnader!H$39)</f>
        <v>0</v>
      </c>
      <c r="I60" s="43" t="n">
        <f aca="false">SUM(C60:H60)</f>
        <v>0</v>
      </c>
    </row>
    <row r="61" customFormat="false" ht="15" hidden="false" customHeight="true" outlineLevel="0" collapsed="false">
      <c r="A61" s="24" t="s">
        <v>180</v>
      </c>
      <c r="C61" s="43" t="n">
        <f aca="false">(SUMIFS(Mätdata!$E$6:$E$25,Mätdata!$B$6:$B$25,"Gas",Mätdata!$C$6:$C$25,"Värme och tappvarmvatten",Mätdata!$D$6:$D$25,Byggnader!C$12)+SUMIFS(Mätdata!$E$6:$E$25,Mätdata!$B$6:$B$25,"Gas",Mätdata!$C$6:$C$25,"Värme och tappvarmvatten",Mätdata!$D$6:$D$25,"Alla")*Byggnader!C$39)</f>
        <v>0</v>
      </c>
      <c r="D61" s="43" t="n">
        <f aca="false">(SUMIFS(Mätdata!$E$6:$E$25,Mätdata!$B$6:$B$25,"Gas",Mätdata!$C$6:$C$25,"Värme och tappvarmvatten",Mätdata!$D$6:$D$25,Byggnader!D$12)+SUMIFS(Mätdata!$E$6:$E$25,Mätdata!$B$6:$B$25,"Gas",Mätdata!$C$6:$C$25,"Värme och tappvarmvatten",Mätdata!$D$6:$D$25,"Alla")*Byggnader!D$39)</f>
        <v>0</v>
      </c>
      <c r="E61" s="43" t="n">
        <f aca="false">(SUMIFS(Mätdata!$E$6:$E$25,Mätdata!$B$6:$B$25,"Gas",Mätdata!$C$6:$C$25,"Värme och tappvarmvatten",Mätdata!$D$6:$D$25,Byggnader!E$12)+SUMIFS(Mätdata!$E$6:$E$25,Mätdata!$B$6:$B$25,"Gas",Mätdata!$C$6:$C$25,"Värme och tappvarmvatten",Mätdata!$D$6:$D$25,"Alla")*Byggnader!E$39)</f>
        <v>0</v>
      </c>
      <c r="F61" s="43" t="n">
        <f aca="false">(SUMIFS(Mätdata!$E$6:$E$25,Mätdata!$B$6:$B$25,"Gas",Mätdata!$C$6:$C$25,"Värme och tappvarmvatten",Mätdata!$D$6:$D$25,Byggnader!F$12)+SUMIFS(Mätdata!$E$6:$E$25,Mätdata!$B$6:$B$25,"Gas",Mätdata!$C$6:$C$25,"Värme och tappvarmvatten",Mätdata!$D$6:$D$25,"Alla")*Byggnader!F$39)</f>
        <v>0</v>
      </c>
      <c r="G61" s="43" t="n">
        <f aca="false">(SUMIFS(Mätdata!$E$6:$E$25,Mätdata!$B$6:$B$25,"Gas",Mätdata!$C$6:$C$25,"Värme och tappvarmvatten",Mätdata!$D$6:$D$25,Byggnader!G$12)+SUMIFS(Mätdata!$E$6:$E$25,Mätdata!$B$6:$B$25,"Gas",Mätdata!$C$6:$C$25,"Värme och tappvarmvatten",Mätdata!$D$6:$D$25,"Alla")*Byggnader!G$39)</f>
        <v>0</v>
      </c>
      <c r="H61" s="43" t="n">
        <f aca="false">(SUMIFS(Mätdata!$E$6:$E$25,Mätdata!$B$6:$B$25,"Gas",Mätdata!$C$6:$C$25,"Värme och tappvarmvatten",Mätdata!$D$6:$D$25,Byggnader!H$12)+SUMIFS(Mätdata!$E$6:$E$25,Mätdata!$B$6:$B$25,"Gas",Mätdata!$C$6:$C$25,"Värme och tappvarmvatten",Mätdata!$D$6:$D$25,"Alla")*Byggnader!H$39)</f>
        <v>0</v>
      </c>
      <c r="I61" s="43" t="n">
        <f aca="false">SUM(C61:H61)</f>
        <v>0</v>
      </c>
    </row>
    <row r="62" customFormat="false" ht="15" hidden="false" customHeight="true" outlineLevel="0" collapsed="false">
      <c r="A62" s="24" t="s">
        <v>181</v>
      </c>
      <c r="C62" s="43" t="n">
        <f aca="false">(SUMIFS(Mätdata!$E$6:$E$25,Mätdata!$B$6:$B$25,"Pellets/flis/briketter",Mätdata!$C$6:$C$25,"Värme och tappvarmvatten",Mätdata!$D$6:$D$25,Byggnader!C$12)+SUMIFS(Mätdata!$E$6:$E$25,Mätdata!$B$6:$B$25,"Pellets/flis/briketter",Mätdata!$C$6:$C$25,"Värme och tappvarmvatten",Mätdata!$D$6:$D$25,"Alla")*Byggnader!C$39)</f>
        <v>0</v>
      </c>
      <c r="D62" s="43" t="n">
        <f aca="false">(SUMIFS(Mätdata!$E$6:$E$25,Mätdata!$B$6:$B$25,"Pellets/flis/briketter",Mätdata!$C$6:$C$25,"Värme och tappvarmvatten",Mätdata!$D$6:$D$25,Byggnader!D$12)+SUMIFS(Mätdata!$E$6:$E$25,Mätdata!$B$6:$B$25,"Pellets/flis/briketter",Mätdata!$C$6:$C$25,"Värme och tappvarmvatten",Mätdata!$D$6:$D$25,"Alla")*Byggnader!D$39)</f>
        <v>0</v>
      </c>
      <c r="E62" s="43" t="n">
        <f aca="false">(SUMIFS(Mätdata!$E$6:$E$25,Mätdata!$B$6:$B$25,"Pellets/flis/briketter",Mätdata!$C$6:$C$25,"Värme och tappvarmvatten",Mätdata!$D$6:$D$25,Byggnader!E$12)+SUMIFS(Mätdata!$E$6:$E$25,Mätdata!$B$6:$B$25,"Pellets/flis/briketter",Mätdata!$C$6:$C$25,"Värme och tappvarmvatten",Mätdata!$D$6:$D$25,"Alla")*Byggnader!E$39)</f>
        <v>0</v>
      </c>
      <c r="F62" s="43" t="n">
        <f aca="false">(SUMIFS(Mätdata!$E$6:$E$25,Mätdata!$B$6:$B$25,"Pellets/flis/briketter",Mätdata!$C$6:$C$25,"Värme och tappvarmvatten",Mätdata!$D$6:$D$25,Byggnader!F$12)+SUMIFS(Mätdata!$E$6:$E$25,Mätdata!$B$6:$B$25,"Pellets/flis/briketter",Mätdata!$C$6:$C$25,"Värme och tappvarmvatten",Mätdata!$D$6:$D$25,"Alla")*Byggnader!F$39)</f>
        <v>0</v>
      </c>
      <c r="G62" s="43" t="n">
        <f aca="false">(SUMIFS(Mätdata!$E$6:$E$25,Mätdata!$B$6:$B$25,"Pellets/flis/briketter",Mätdata!$C$6:$C$25,"Värme och tappvarmvatten",Mätdata!$D$6:$D$25,Byggnader!G$12)+SUMIFS(Mätdata!$E$6:$E$25,Mätdata!$B$6:$B$25,"Pellets/flis/briketter",Mätdata!$C$6:$C$25,"Värme och tappvarmvatten",Mätdata!$D$6:$D$25,"Alla")*Byggnader!G$39)</f>
        <v>0</v>
      </c>
      <c r="H62" s="43" t="n">
        <f aca="false">(SUMIFS(Mätdata!$E$6:$E$25,Mätdata!$B$6:$B$25,"Pellets/flis/briketter",Mätdata!$C$6:$C$25,"Värme och tappvarmvatten",Mätdata!$D$6:$D$25,Byggnader!H$12)+SUMIFS(Mätdata!$E$6:$E$25,Mätdata!$B$6:$B$25,"Pellets/flis/briketter",Mätdata!$C$6:$C$25,"Värme och tappvarmvatten",Mätdata!$D$6:$D$25,"Alla")*Byggnader!H$39)</f>
        <v>0</v>
      </c>
      <c r="I62" s="43" t="n">
        <f aca="false">SUM(C62:H62)</f>
        <v>0</v>
      </c>
    </row>
    <row r="63" customFormat="false" ht="15" hidden="false" customHeight="true" outlineLevel="0" collapsed="false">
      <c r="A63" s="24" t="s">
        <v>183</v>
      </c>
      <c r="C63" s="43" t="n">
        <f aca="false">(SUMIFS(Mätdata!$E$6:$E$25,Mätdata!$B$6:$B$25,"Ved",Mätdata!$C$6:$C$25,"Värme och tappvarmvatten",Mätdata!$D$6:$D$25,Byggnader!C$12)+SUMIFS(Mätdata!$E$6:$E$25,Mätdata!$B$6:$B$25,"Ved",Mätdata!$C$6:$C$25,"Värme och tappvarmvatten",Mätdata!$D$6:$D$25,"Alla")*Byggnader!C$39)</f>
        <v>0</v>
      </c>
      <c r="D63" s="43" t="n">
        <f aca="false">(SUMIFS(Mätdata!$E$6:$E$25,Mätdata!$B$6:$B$25,"Ved",Mätdata!$C$6:$C$25,"Värme och tappvarmvatten",Mätdata!$D$6:$D$25,Byggnader!D$12)+SUMIFS(Mätdata!$E$6:$E$25,Mätdata!$B$6:$B$25,"Ved",Mätdata!$C$6:$C$25,"Värme och tappvarmvatten",Mätdata!$D$6:$D$25,"Alla")*Byggnader!D$39)</f>
        <v>0</v>
      </c>
      <c r="E63" s="43" t="n">
        <f aca="false">(SUMIFS(Mätdata!$E$6:$E$25,Mätdata!$B$6:$B$25,"Ved",Mätdata!$C$6:$C$25,"Värme och tappvarmvatten",Mätdata!$D$6:$D$25,Byggnader!E$12)+SUMIFS(Mätdata!$E$6:$E$25,Mätdata!$B$6:$B$25,"Ved",Mätdata!$C$6:$C$25,"Värme och tappvarmvatten",Mätdata!$D$6:$D$25,"Alla")*Byggnader!E$39)</f>
        <v>0</v>
      </c>
      <c r="F63" s="43" t="n">
        <f aca="false">(SUMIFS(Mätdata!$E$6:$E$25,Mätdata!$B$6:$B$25,"Ved",Mätdata!$C$6:$C$25,"Värme och tappvarmvatten",Mätdata!$D$6:$D$25,Byggnader!F$12)+SUMIFS(Mätdata!$E$6:$E$25,Mätdata!$B$6:$B$25,"Ved",Mätdata!$C$6:$C$25,"Värme och tappvarmvatten",Mätdata!$D$6:$D$25,"Alla")*Byggnader!F$39)</f>
        <v>0</v>
      </c>
      <c r="G63" s="43" t="n">
        <f aca="false">(SUMIFS(Mätdata!$E$6:$E$25,Mätdata!$B$6:$B$25,"Ved",Mätdata!$C$6:$C$25,"Värme och tappvarmvatten",Mätdata!$D$6:$D$25,Byggnader!G$12)+SUMIFS(Mätdata!$E$6:$E$25,Mätdata!$B$6:$B$25,"Ved",Mätdata!$C$6:$C$25,"Värme och tappvarmvatten",Mätdata!$D$6:$D$25,"Alla")*Byggnader!G$39)</f>
        <v>0</v>
      </c>
      <c r="H63" s="43" t="n">
        <f aca="false">(SUMIFS(Mätdata!$E$6:$E$25,Mätdata!$B$6:$B$25,"Ved",Mätdata!$C$6:$C$25,"Värme och tappvarmvatten",Mätdata!$D$6:$D$25,Byggnader!H$12)+SUMIFS(Mätdata!$E$6:$E$25,Mätdata!$B$6:$B$25,"Ved",Mätdata!$C$6:$C$25,"Värme och tappvarmvatten",Mätdata!$D$6:$D$25,"Alla")*Byggnader!H$39)</f>
        <v>0</v>
      </c>
      <c r="I63" s="43" t="n">
        <f aca="false">SUM(C63:H63)</f>
        <v>0</v>
      </c>
    </row>
    <row r="64" customFormat="false" ht="15" hidden="false" customHeight="true" outlineLevel="0" collapsed="false">
      <c r="A64" s="24" t="s">
        <v>184</v>
      </c>
      <c r="C64" s="43" t="n">
        <f aca="false">(SUMIFS(Mätdata!$E$6:$E$25,Mätdata!$B$6:$B$25,"Övrigt biobränsle",Mätdata!$C$6:$C$25,"Värme och tappvarmvatten",Mätdata!$D$6:$D$25,Byggnader!C$12)+SUMIFS(Mätdata!$E$6:$E$25,Mätdata!$B$6:$B$25,"Övrigt biobränsle",Mätdata!$C$6:$C$25,"Värme och tappvarmvatten",Mätdata!$D$6:$D$25,"Alla")*Byggnader!C$39)</f>
        <v>0</v>
      </c>
      <c r="D64" s="43" t="n">
        <f aca="false">(SUMIFS(Mätdata!$E$6:$E$25,Mätdata!$B$6:$B$25,"Övrigt biobränsle",Mätdata!$C$6:$C$25,"Värme och tappvarmvatten",Mätdata!$D$6:$D$25,Byggnader!D$12)+SUMIFS(Mätdata!$E$6:$E$25,Mätdata!$B$6:$B$25,"Övrigt biobränsle",Mätdata!$C$6:$C$25,"Värme och tappvarmvatten",Mätdata!$D$6:$D$25,"Alla")*Byggnader!D$39)</f>
        <v>0</v>
      </c>
      <c r="E64" s="43" t="n">
        <f aca="false">(SUMIFS(Mätdata!$E$6:$E$25,Mätdata!$B$6:$B$25,"Övrigt biobränsle",Mätdata!$C$6:$C$25,"Värme och tappvarmvatten",Mätdata!$D$6:$D$25,Byggnader!E$12)+SUMIFS(Mätdata!$E$6:$E$25,Mätdata!$B$6:$B$25,"Övrigt biobränsle",Mätdata!$C$6:$C$25,"Värme och tappvarmvatten",Mätdata!$D$6:$D$25,"Alla")*Byggnader!E$39)</f>
        <v>0</v>
      </c>
      <c r="F64" s="43" t="n">
        <f aca="false">(SUMIFS(Mätdata!$E$6:$E$25,Mätdata!$B$6:$B$25,"Övrigt biobränsle",Mätdata!$C$6:$C$25,"Värme och tappvarmvatten",Mätdata!$D$6:$D$25,Byggnader!F$12)+SUMIFS(Mätdata!$E$6:$E$25,Mätdata!$B$6:$B$25,"Övrigt biobränsle",Mätdata!$C$6:$C$25,"Värme och tappvarmvatten",Mätdata!$D$6:$D$25,"Alla")*Byggnader!F$39)</f>
        <v>0</v>
      </c>
      <c r="G64" s="43" t="n">
        <f aca="false">(SUMIFS(Mätdata!$E$6:$E$25,Mätdata!$B$6:$B$25,"Övrigt biobränsle",Mätdata!$C$6:$C$25,"Värme och tappvarmvatten",Mätdata!$D$6:$D$25,Byggnader!G$12)+SUMIFS(Mätdata!$E$6:$E$25,Mätdata!$B$6:$B$25,"Övrigt biobränsle",Mätdata!$C$6:$C$25,"Värme och tappvarmvatten",Mätdata!$D$6:$D$25,"Alla")*Byggnader!G$39)</f>
        <v>0</v>
      </c>
      <c r="H64" s="43" t="n">
        <f aca="false">(SUMIFS(Mätdata!$E$6:$E$25,Mätdata!$B$6:$B$25,"Övrigt biobränsle",Mätdata!$C$6:$C$25,"Värme och tappvarmvatten",Mätdata!$D$6:$D$25,Byggnader!H$12)+SUMIFS(Mätdata!$E$6:$E$25,Mätdata!$B$6:$B$25,"Övrigt biobränsle",Mätdata!$C$6:$C$25,"Värme och tappvarmvatten",Mätdata!$D$6:$D$25,"Alla")*Byggnader!H$39)</f>
        <v>0</v>
      </c>
      <c r="I64" s="43" t="n">
        <f aca="false">SUM(C64:H64)</f>
        <v>0</v>
      </c>
    </row>
    <row r="65" customFormat="false" ht="15" hidden="false" customHeight="true" outlineLevel="0" collapsed="false">
      <c r="A65" s="3" t="s">
        <v>24</v>
      </c>
      <c r="C65" s="43" t="n">
        <f aca="false">SUM(C57:C64)</f>
        <v>0</v>
      </c>
      <c r="D65" s="43" t="n">
        <f aca="false">SUM(D57:D64)</f>
        <v>0</v>
      </c>
      <c r="E65" s="43" t="n">
        <f aca="false">SUM(E57:E64)</f>
        <v>0</v>
      </c>
      <c r="F65" s="43" t="n">
        <f aca="false">SUM(F57:F64)</f>
        <v>0</v>
      </c>
      <c r="G65" s="43" t="n">
        <f aca="false">SUM(G57:G64)</f>
        <v>0</v>
      </c>
      <c r="H65" s="43" t="n">
        <f aca="false">SUM(H57:H64)</f>
        <v>0</v>
      </c>
      <c r="I65" s="43" t="n">
        <f aca="false">SUM(I57:I64)</f>
        <v>0</v>
      </c>
    </row>
    <row r="67" customFormat="false" ht="15" hidden="false" customHeight="true" outlineLevel="0" collapsed="false">
      <c r="A67" s="33" t="s">
        <v>436</v>
      </c>
    </row>
    <row r="68" customFormat="false" ht="15" hidden="false" customHeight="true" outlineLevel="0" collapsed="false">
      <c r="A68" s="3" t="s">
        <v>13</v>
      </c>
      <c r="C68" s="3" t="str">
        <f aca="false">Byggnader!C12</f>
        <v>Byggnad 1</v>
      </c>
      <c r="D68" s="3" t="str">
        <f aca="false">Byggnader!D12</f>
        <v>Byggnad 2</v>
      </c>
      <c r="E68" s="3" t="str">
        <f aca="false">Byggnader!E12</f>
        <v>Byggnad 3</v>
      </c>
      <c r="F68" s="3" t="str">
        <f aca="false">Byggnader!F12</f>
        <v>Byggnad 4</v>
      </c>
      <c r="G68" s="3" t="str">
        <f aca="false">Byggnader!G12</f>
        <v>Byggnad 5</v>
      </c>
      <c r="H68" s="3" t="str">
        <f aca="false">Byggnader!H12</f>
        <v>Byggnad 6</v>
      </c>
      <c r="I68" s="3" t="s">
        <v>24</v>
      </c>
    </row>
    <row r="69" customFormat="false" ht="15" hidden="false" customHeight="true" outlineLevel="0" collapsed="false">
      <c r="A69" s="24" t="s">
        <v>174</v>
      </c>
      <c r="C69" s="43" t="n">
        <f aca="false">IFERROR(MIN(C57,C$53*Mätdata!$C$47/Mätdata!$D$47),0)</f>
        <v>0</v>
      </c>
      <c r="D69" s="43" t="n">
        <f aca="false">IFERROR(MIN(D57,D$53*Mätdata!$C$47/Mätdata!$D$47),0)</f>
        <v>0</v>
      </c>
      <c r="E69" s="43" t="n">
        <f aca="false">IFERROR(MIN(E57,E$53*Mätdata!$C$47/Mätdata!$D$47),0)</f>
        <v>0</v>
      </c>
      <c r="F69" s="43" t="n">
        <f aca="false">IFERROR(MIN(F57,F$53*Mätdata!$C$47/Mätdata!$D$47),0)</f>
        <v>0</v>
      </c>
      <c r="G69" s="43" t="n">
        <f aca="false">IFERROR(MIN(G57,G$53*Mätdata!$C$47/Mätdata!$D$47),0)</f>
        <v>0</v>
      </c>
      <c r="H69" s="43" t="n">
        <f aca="false">IFERROR(MIN(H57,H$53*Mätdata!$C$47/Mätdata!$D$47),0)</f>
        <v>0</v>
      </c>
      <c r="I69" s="43" t="n">
        <f aca="false">SUM(C69:H69)</f>
        <v>0</v>
      </c>
    </row>
    <row r="70" customFormat="false" ht="15" hidden="false" customHeight="true" outlineLevel="0" collapsed="false">
      <c r="A70" s="24" t="s">
        <v>175</v>
      </c>
      <c r="C70" s="43" t="n">
        <f aca="false">IFERROR(MIN(C58,C$53*Mätdata!$C$48/Mätdata!$D$48),0)</f>
        <v>0</v>
      </c>
      <c r="D70" s="43" t="n">
        <f aca="false">IFERROR(MIN(D58,D$53*Mätdata!$C$48/Mätdata!$D$48),0)</f>
        <v>0</v>
      </c>
      <c r="E70" s="43" t="n">
        <f aca="false">IFERROR(MIN(E58,E$53*Mätdata!$C$48/Mätdata!$D$48),0)</f>
        <v>0</v>
      </c>
      <c r="F70" s="43" t="n">
        <f aca="false">IFERROR(MIN(F58,F$53*Mätdata!$C$48/Mätdata!$D$48),0)</f>
        <v>0</v>
      </c>
      <c r="G70" s="43" t="n">
        <f aca="false">IFERROR(MIN(G58,G$53*Mätdata!$C$48/Mätdata!$D$48),0)</f>
        <v>0</v>
      </c>
      <c r="H70" s="43" t="n">
        <f aca="false">IFERROR(MIN(H58,H$53*Mätdata!$C$48/Mätdata!$D$48),0)</f>
        <v>0</v>
      </c>
      <c r="I70" s="43" t="n">
        <f aca="false">SUM(C70:H70)</f>
        <v>0</v>
      </c>
    </row>
    <row r="71" customFormat="false" ht="15" hidden="false" customHeight="true" outlineLevel="0" collapsed="false">
      <c r="A71" s="24" t="s">
        <v>177</v>
      </c>
      <c r="C71" s="43" t="n">
        <f aca="false">IFERROR(MIN(C59,C$53*Mätdata!$C$49/Mätdata!$D$49),0)</f>
        <v>0</v>
      </c>
      <c r="D71" s="43" t="n">
        <f aca="false">IFERROR(MIN(D59,D$53*Mätdata!$C$49/Mätdata!$D$49),0)</f>
        <v>0</v>
      </c>
      <c r="E71" s="43" t="n">
        <f aca="false">IFERROR(MIN(E59,E$53*Mätdata!$C$49/Mätdata!$D$49),0)</f>
        <v>0</v>
      </c>
      <c r="F71" s="43" t="n">
        <f aca="false">IFERROR(MIN(F59,F$53*Mätdata!$C$49/Mätdata!$D$49),0)</f>
        <v>0</v>
      </c>
      <c r="G71" s="43" t="n">
        <f aca="false">IFERROR(MIN(G59,G$53*Mätdata!$C$49/Mätdata!$D$49),0)</f>
        <v>0</v>
      </c>
      <c r="H71" s="43" t="n">
        <f aca="false">IFERROR(MIN(H59,H$53*Mätdata!$C$49/Mätdata!$D$49),0)</f>
        <v>0</v>
      </c>
      <c r="I71" s="43" t="n">
        <f aca="false">SUM(C71:H71)</f>
        <v>0</v>
      </c>
    </row>
    <row r="72" customFormat="false" ht="15" hidden="false" customHeight="true" outlineLevel="0" collapsed="false">
      <c r="A72" s="24" t="s">
        <v>179</v>
      </c>
      <c r="C72" s="43" t="n">
        <f aca="false">IFERROR(MIN(C60,C$53*Mätdata!$C$50/Mätdata!$D$50),0)</f>
        <v>0</v>
      </c>
      <c r="D72" s="43" t="n">
        <f aca="false">IFERROR(MIN(D60,D$53*Mätdata!$C$50/Mätdata!$D$50),0)</f>
        <v>0</v>
      </c>
      <c r="E72" s="43" t="n">
        <f aca="false">IFERROR(MIN(E60,E$53*Mätdata!$C$50/Mätdata!$D$50),0)</f>
        <v>0</v>
      </c>
      <c r="F72" s="43" t="n">
        <f aca="false">IFERROR(MIN(F60,F$53*Mätdata!$C$50/Mätdata!$D$50),0)</f>
        <v>0</v>
      </c>
      <c r="G72" s="43" t="n">
        <f aca="false">IFERROR(MIN(G60,G$53*Mätdata!$C$50/Mätdata!$D$50),0)</f>
        <v>0</v>
      </c>
      <c r="H72" s="43" t="n">
        <f aca="false">IFERROR(MIN(H60,H$53*Mätdata!$C$50/Mätdata!$D$50),0)</f>
        <v>0</v>
      </c>
      <c r="I72" s="43" t="n">
        <f aca="false">SUM(C72:H72)</f>
        <v>0</v>
      </c>
    </row>
    <row r="73" customFormat="false" ht="15" hidden="false" customHeight="true" outlineLevel="0" collapsed="false">
      <c r="A73" s="24" t="s">
        <v>180</v>
      </c>
      <c r="C73" s="43" t="n">
        <f aca="false">IFERROR(MIN(C61,C$53*Mätdata!$C$51/Mätdata!$D$51),0)</f>
        <v>0</v>
      </c>
      <c r="D73" s="43" t="n">
        <f aca="false">IFERROR(MIN(D61,D$53*Mätdata!$C$51/Mätdata!$D$51),0)</f>
        <v>0</v>
      </c>
      <c r="E73" s="43" t="n">
        <f aca="false">IFERROR(MIN(E61,E$53*Mätdata!$C$51/Mätdata!$D$51),0)</f>
        <v>0</v>
      </c>
      <c r="F73" s="43" t="n">
        <f aca="false">IFERROR(MIN(F61,F$53*Mätdata!$C$51/Mätdata!$D$51),0)</f>
        <v>0</v>
      </c>
      <c r="G73" s="43" t="n">
        <f aca="false">IFERROR(MIN(G61,G$53*Mätdata!$C$51/Mätdata!$D$51),0)</f>
        <v>0</v>
      </c>
      <c r="H73" s="43" t="n">
        <f aca="false">IFERROR(MIN(H61,H$53*Mätdata!$C$51/Mätdata!$D$51),0)</f>
        <v>0</v>
      </c>
      <c r="I73" s="43" t="n">
        <f aca="false">SUM(C73:H73)</f>
        <v>0</v>
      </c>
    </row>
    <row r="74" customFormat="false" ht="15" hidden="false" customHeight="true" outlineLevel="0" collapsed="false">
      <c r="A74" s="24" t="s">
        <v>181</v>
      </c>
      <c r="C74" s="43" t="n">
        <f aca="false">IFERROR(MIN(C62,C$53*Mätdata!$C$52/Mätdata!$D$52),0)</f>
        <v>0</v>
      </c>
      <c r="D74" s="43" t="n">
        <f aca="false">IFERROR(MIN(D62,D$53*Mätdata!$C$52/Mätdata!$D$52),0)</f>
        <v>0</v>
      </c>
      <c r="E74" s="43" t="n">
        <f aca="false">IFERROR(MIN(E62,E$53*Mätdata!$C$52/Mätdata!$D$52),0)</f>
        <v>0</v>
      </c>
      <c r="F74" s="43" t="n">
        <f aca="false">IFERROR(MIN(F62,F$53*Mätdata!$C$52/Mätdata!$D$52),0)</f>
        <v>0</v>
      </c>
      <c r="G74" s="43" t="n">
        <f aca="false">IFERROR(MIN(G62,G$53*Mätdata!$C$52/Mätdata!$D$52),0)</f>
        <v>0</v>
      </c>
      <c r="H74" s="43" t="n">
        <f aca="false">IFERROR(MIN(H62,H$53*Mätdata!$C$52/Mätdata!$D$52),0)</f>
        <v>0</v>
      </c>
      <c r="I74" s="43" t="n">
        <f aca="false">SUM(C74:H74)</f>
        <v>0</v>
      </c>
    </row>
    <row r="75" customFormat="false" ht="15" hidden="false" customHeight="true" outlineLevel="0" collapsed="false">
      <c r="A75" s="24" t="s">
        <v>183</v>
      </c>
      <c r="C75" s="43" t="n">
        <f aca="false">IFERROR(MIN(C63,C$53*Mätdata!$C$53/Mätdata!$D$53),0)</f>
        <v>0</v>
      </c>
      <c r="D75" s="43" t="n">
        <f aca="false">IFERROR(MIN(D63,D$53*Mätdata!$C$53/Mätdata!$D$53),0)</f>
        <v>0</v>
      </c>
      <c r="E75" s="43" t="n">
        <f aca="false">IFERROR(MIN(E63,E$53*Mätdata!$C$53/Mätdata!$D$53),0)</f>
        <v>0</v>
      </c>
      <c r="F75" s="43" t="n">
        <f aca="false">IFERROR(MIN(F63,F$53*Mätdata!$C$53/Mätdata!$D$53),0)</f>
        <v>0</v>
      </c>
      <c r="G75" s="43" t="n">
        <f aca="false">IFERROR(MIN(G63,G$53*Mätdata!$C$53/Mätdata!$D$53),0)</f>
        <v>0</v>
      </c>
      <c r="H75" s="43" t="n">
        <f aca="false">IFERROR(MIN(H63,H$53*Mätdata!$C$53/Mätdata!$D$53),0)</f>
        <v>0</v>
      </c>
      <c r="I75" s="43" t="n">
        <f aca="false">SUM(C75:H75)</f>
        <v>0</v>
      </c>
    </row>
    <row r="76" customFormat="false" ht="15" hidden="false" customHeight="true" outlineLevel="0" collapsed="false">
      <c r="A76" s="24" t="s">
        <v>184</v>
      </c>
      <c r="C76" s="43" t="n">
        <f aca="false">IFERROR(MIN(C64,C$53*Mätdata!$C$54/Mätdata!$D$54),0)</f>
        <v>0</v>
      </c>
      <c r="D76" s="43" t="n">
        <f aca="false">IFERROR(MIN(D64,D$53*Mätdata!$C$54/Mätdata!$D$54),0)</f>
        <v>0</v>
      </c>
      <c r="E76" s="43" t="n">
        <f aca="false">IFERROR(MIN(E64,E$53*Mätdata!$C$54/Mätdata!$D$54),0)</f>
        <v>0</v>
      </c>
      <c r="F76" s="43" t="n">
        <f aca="false">IFERROR(MIN(F64,F$53*Mätdata!$C$54/Mätdata!$D$54),0)</f>
        <v>0</v>
      </c>
      <c r="G76" s="43" t="n">
        <f aca="false">IFERROR(MIN(G64,G$53*Mätdata!$C$54/Mätdata!$D$54),0)</f>
        <v>0</v>
      </c>
      <c r="H76" s="43" t="n">
        <f aca="false">IFERROR(MIN(H64,H$53*Mätdata!$C$54/Mätdata!$D$54),0)</f>
        <v>0</v>
      </c>
      <c r="I76" s="43" t="n">
        <f aca="false">SUM(C76:H76)</f>
        <v>0</v>
      </c>
    </row>
    <row r="77" customFormat="false" ht="15" hidden="false" customHeight="true" outlineLevel="0" collapsed="false">
      <c r="A77" s="3" t="s">
        <v>24</v>
      </c>
      <c r="C77" s="43" t="n">
        <f aca="false">SUM(C69:C76)</f>
        <v>0</v>
      </c>
      <c r="D77" s="43" t="n">
        <f aca="false">SUM(D69:D76)</f>
        <v>0</v>
      </c>
      <c r="E77" s="43" t="n">
        <f aca="false">SUM(E69:E76)</f>
        <v>0</v>
      </c>
      <c r="F77" s="43" t="n">
        <f aca="false">SUM(F69:F76)</f>
        <v>0</v>
      </c>
      <c r="G77" s="43" t="n">
        <f aca="false">SUM(G69:G76)</f>
        <v>0</v>
      </c>
      <c r="H77" s="43" t="n">
        <f aca="false">SUM(H69:H76)</f>
        <v>0</v>
      </c>
      <c r="I77" s="43" t="n">
        <f aca="false">SUM(I69:I76)</f>
        <v>0</v>
      </c>
    </row>
    <row r="79" customFormat="false" ht="15" hidden="false" customHeight="true" outlineLevel="0" collapsed="false">
      <c r="A79" s="33" t="s">
        <v>437</v>
      </c>
    </row>
    <row r="80" customFormat="false" ht="15" hidden="false" customHeight="true" outlineLevel="0" collapsed="false">
      <c r="A80" s="3" t="s">
        <v>13</v>
      </c>
      <c r="C80" s="3" t="str">
        <f aca="false">Byggnader!C12</f>
        <v>Byggnad 1</v>
      </c>
      <c r="D80" s="3" t="str">
        <f aca="false">Byggnader!D12</f>
        <v>Byggnad 2</v>
      </c>
      <c r="E80" s="3" t="str">
        <f aca="false">Byggnader!E12</f>
        <v>Byggnad 3</v>
      </c>
      <c r="F80" s="3" t="str">
        <f aca="false">Byggnader!F12</f>
        <v>Byggnad 4</v>
      </c>
      <c r="G80" s="3" t="str">
        <f aca="false">Byggnader!G12</f>
        <v>Byggnad 5</v>
      </c>
      <c r="H80" s="3" t="str">
        <f aca="false">Byggnader!H12</f>
        <v>Byggnad 6</v>
      </c>
      <c r="I80" s="3" t="s">
        <v>24</v>
      </c>
    </row>
    <row r="81" customFormat="false" ht="15" hidden="false" customHeight="true" outlineLevel="0" collapsed="false">
      <c r="A81" s="24" t="s">
        <v>174</v>
      </c>
      <c r="C81" s="43" t="n">
        <f aca="false">MAX(0,C57-C69-IF(Mätdata!$B$57="Räknas bort",Mätdata!$B$56*Byggnader!C$39*IFERROR(Mätdata!$B$47/Mätdata!$B$55,0),0))</f>
        <v>0</v>
      </c>
      <c r="D81" s="43" t="n">
        <f aca="false">MAX(0,D57-D69-IF(Mätdata!$B$57="Räknas bort",Mätdata!$B$56*Byggnader!D$39*IFERROR(Mätdata!$B$47/Mätdata!$B$55,0),0))</f>
        <v>0</v>
      </c>
      <c r="E81" s="43" t="n">
        <f aca="false">MAX(0,E57-E69-IF(Mätdata!$B$57="Räknas bort",Mätdata!$B$56*Byggnader!E$39*IFERROR(Mätdata!$B$47/Mätdata!$B$55,0),0))</f>
        <v>0</v>
      </c>
      <c r="F81" s="43" t="n">
        <f aca="false">MAX(0,F57-F69-IF(Mätdata!$B$57="Räknas bort",Mätdata!$B$56*Byggnader!F$39*IFERROR(Mätdata!$B$47/Mätdata!$B$55,0),0))</f>
        <v>0</v>
      </c>
      <c r="G81" s="43" t="n">
        <f aca="false">MAX(0,G57-G69-IF(Mätdata!$B$57="Räknas bort",Mätdata!$B$56*Byggnader!G$39*IFERROR(Mätdata!$B$47/Mätdata!$B$55,0),0))</f>
        <v>0</v>
      </c>
      <c r="H81" s="43" t="n">
        <f aca="false">MAX(0,H57-H69-IF(Mätdata!$B$57="Räknas bort",Mätdata!$B$56*Byggnader!H$39*IFERROR(Mätdata!$B$47/Mätdata!$B$55,0),0))</f>
        <v>0</v>
      </c>
      <c r="I81" s="43" t="n">
        <f aca="false">SUM(C81:H81)</f>
        <v>0</v>
      </c>
    </row>
    <row r="82" customFormat="false" ht="15" hidden="false" customHeight="true" outlineLevel="0" collapsed="false">
      <c r="A82" s="24" t="s">
        <v>175</v>
      </c>
      <c r="C82" s="43" t="n">
        <f aca="false">MAX(0,C58-C70-IF(Mätdata!$B$57="Räknas bort",Mätdata!$B$56*Byggnader!C$39*IFERROR(Mätdata!$B$48/Mätdata!$B$55,0),0))</f>
        <v>0</v>
      </c>
      <c r="D82" s="43" t="n">
        <f aca="false">MAX(0,D58-D70-IF(Mätdata!$B$57="Räknas bort",Mätdata!$B$56*Byggnader!D$39*IFERROR(Mätdata!$B$48/Mätdata!$B$55,0),0))</f>
        <v>0</v>
      </c>
      <c r="E82" s="43" t="n">
        <f aca="false">MAX(0,E58-E70-IF(Mätdata!$B$57="Räknas bort",Mätdata!$B$56*Byggnader!E$39*IFERROR(Mätdata!$B$48/Mätdata!$B$55,0),0))</f>
        <v>0</v>
      </c>
      <c r="F82" s="43" t="n">
        <f aca="false">MAX(0,F58-F70-IF(Mätdata!$B$57="Räknas bort",Mätdata!$B$56*Byggnader!F$39*IFERROR(Mätdata!$B$48/Mätdata!$B$55,0),0))</f>
        <v>0</v>
      </c>
      <c r="G82" s="43" t="n">
        <f aca="false">MAX(0,G58-G70-IF(Mätdata!$B$57="Räknas bort",Mätdata!$B$56*Byggnader!G$39*IFERROR(Mätdata!$B$48/Mätdata!$B$55,0),0))</f>
        <v>0</v>
      </c>
      <c r="H82" s="43" t="n">
        <f aca="false">MAX(0,H58-H70-IF(Mätdata!$B$57="Räknas bort",Mätdata!$B$56*Byggnader!H$39*IFERROR(Mätdata!$B$48/Mätdata!$B$55,0),0))</f>
        <v>0</v>
      </c>
      <c r="I82" s="43" t="n">
        <f aca="false">SUM(C82:H82)</f>
        <v>0</v>
      </c>
    </row>
    <row r="83" customFormat="false" ht="15" hidden="false" customHeight="true" outlineLevel="0" collapsed="false">
      <c r="A83" s="24" t="s">
        <v>177</v>
      </c>
      <c r="C83" s="43" t="n">
        <f aca="false">MAX(0,C59-C71-IF(Mätdata!$B$57="Räknas bort",Mätdata!$B$56*Byggnader!C$39*IFERROR(Mätdata!$B$49/Mätdata!$B$55,0),0))</f>
        <v>0</v>
      </c>
      <c r="D83" s="43" t="n">
        <f aca="false">MAX(0,D59-D71-IF(Mätdata!$B$57="Räknas bort",Mätdata!$B$56*Byggnader!D$39*IFERROR(Mätdata!$B$49/Mätdata!$B$55,0),0))</f>
        <v>0</v>
      </c>
      <c r="E83" s="43" t="n">
        <f aca="false">MAX(0,E59-E71-IF(Mätdata!$B$57="Räknas bort",Mätdata!$B$56*Byggnader!E$39*IFERROR(Mätdata!$B$49/Mätdata!$B$55,0),0))</f>
        <v>0</v>
      </c>
      <c r="F83" s="43" t="n">
        <f aca="false">MAX(0,F59-F71-IF(Mätdata!$B$57="Räknas bort",Mätdata!$B$56*Byggnader!F$39*IFERROR(Mätdata!$B$49/Mätdata!$B$55,0),0))</f>
        <v>0</v>
      </c>
      <c r="G83" s="43" t="n">
        <f aca="false">MAX(0,G59-G71-IF(Mätdata!$B$57="Räknas bort",Mätdata!$B$56*Byggnader!G$39*IFERROR(Mätdata!$B$49/Mätdata!$B$55,0),0))</f>
        <v>0</v>
      </c>
      <c r="H83" s="43" t="n">
        <f aca="false">MAX(0,H59-H71-IF(Mätdata!$B$57="Räknas bort",Mätdata!$B$56*Byggnader!H$39*IFERROR(Mätdata!$B$49/Mätdata!$B$55,0),0))</f>
        <v>0</v>
      </c>
      <c r="I83" s="43" t="n">
        <f aca="false">SUM(C83:H83)</f>
        <v>0</v>
      </c>
    </row>
    <row r="84" customFormat="false" ht="15" hidden="false" customHeight="true" outlineLevel="0" collapsed="false">
      <c r="A84" s="24" t="s">
        <v>179</v>
      </c>
      <c r="C84" s="43" t="n">
        <f aca="false">MAX(0,C60-C72-IF(Mätdata!$B$57="Räknas bort",Mätdata!$B$56*Byggnader!C$39*IFERROR(Mätdata!$B$50/Mätdata!$B$55,0),0))</f>
        <v>0</v>
      </c>
      <c r="D84" s="43" t="n">
        <f aca="false">MAX(0,D60-D72-IF(Mätdata!$B$57="Räknas bort",Mätdata!$B$56*Byggnader!D$39*IFERROR(Mätdata!$B$50/Mätdata!$B$55,0),0))</f>
        <v>0</v>
      </c>
      <c r="E84" s="43" t="n">
        <f aca="false">MAX(0,E60-E72-IF(Mätdata!$B$57="Räknas bort",Mätdata!$B$56*Byggnader!E$39*IFERROR(Mätdata!$B$50/Mätdata!$B$55,0),0))</f>
        <v>0</v>
      </c>
      <c r="F84" s="43" t="n">
        <f aca="false">MAX(0,F60-F72-IF(Mätdata!$B$57="Räknas bort",Mätdata!$B$56*Byggnader!F$39*IFERROR(Mätdata!$B$50/Mätdata!$B$55,0),0))</f>
        <v>0</v>
      </c>
      <c r="G84" s="43" t="n">
        <f aca="false">MAX(0,G60-G72-IF(Mätdata!$B$57="Räknas bort",Mätdata!$B$56*Byggnader!G$39*IFERROR(Mätdata!$B$50/Mätdata!$B$55,0),0))</f>
        <v>0</v>
      </c>
      <c r="H84" s="43" t="n">
        <f aca="false">MAX(0,H60-H72-IF(Mätdata!$B$57="Räknas bort",Mätdata!$B$56*Byggnader!H$39*IFERROR(Mätdata!$B$50/Mätdata!$B$55,0),0))</f>
        <v>0</v>
      </c>
      <c r="I84" s="43" t="n">
        <f aca="false">SUM(C84:H84)</f>
        <v>0</v>
      </c>
    </row>
    <row r="85" customFormat="false" ht="15" hidden="false" customHeight="true" outlineLevel="0" collapsed="false">
      <c r="A85" s="24" t="s">
        <v>180</v>
      </c>
      <c r="C85" s="43" t="n">
        <f aca="false">MAX(0,C61-C73-IF(Mätdata!$B$57="Räknas bort",Mätdata!$B$56*Byggnader!C$39*IFERROR(Mätdata!$B$51/Mätdata!$B$55,0),0))</f>
        <v>0</v>
      </c>
      <c r="D85" s="43" t="n">
        <f aca="false">MAX(0,D61-D73-IF(Mätdata!$B$57="Räknas bort",Mätdata!$B$56*Byggnader!D$39*IFERROR(Mätdata!$B$51/Mätdata!$B$55,0),0))</f>
        <v>0</v>
      </c>
      <c r="E85" s="43" t="n">
        <f aca="false">MAX(0,E61-E73-IF(Mätdata!$B$57="Räknas bort",Mätdata!$B$56*Byggnader!E$39*IFERROR(Mätdata!$B$51/Mätdata!$B$55,0),0))</f>
        <v>0</v>
      </c>
      <c r="F85" s="43" t="n">
        <f aca="false">MAX(0,F61-F73-IF(Mätdata!$B$57="Räknas bort",Mätdata!$B$56*Byggnader!F$39*IFERROR(Mätdata!$B$51/Mätdata!$B$55,0),0))</f>
        <v>0</v>
      </c>
      <c r="G85" s="43" t="n">
        <f aca="false">MAX(0,G61-G73-IF(Mätdata!$B$57="Räknas bort",Mätdata!$B$56*Byggnader!G$39*IFERROR(Mätdata!$B$51/Mätdata!$B$55,0),0))</f>
        <v>0</v>
      </c>
      <c r="H85" s="43" t="n">
        <f aca="false">MAX(0,H61-H73-IF(Mätdata!$B$57="Räknas bort",Mätdata!$B$56*Byggnader!H$39*IFERROR(Mätdata!$B$51/Mätdata!$B$55,0),0))</f>
        <v>0</v>
      </c>
      <c r="I85" s="43" t="n">
        <f aca="false">SUM(C85:H85)</f>
        <v>0</v>
      </c>
    </row>
    <row r="86" customFormat="false" ht="15" hidden="false" customHeight="true" outlineLevel="0" collapsed="false">
      <c r="A86" s="24" t="s">
        <v>181</v>
      </c>
      <c r="C86" s="43" t="n">
        <f aca="false">MAX(0,C62-C74-IF(Mätdata!$B$57="Räknas bort",Mätdata!$B$56*Byggnader!C$39*IFERROR(Mätdata!$B$52/Mätdata!$B$55,0),0))</f>
        <v>0</v>
      </c>
      <c r="D86" s="43" t="n">
        <f aca="false">MAX(0,D62-D74-IF(Mätdata!$B$57="Räknas bort",Mätdata!$B$56*Byggnader!D$39*IFERROR(Mätdata!$B$52/Mätdata!$B$55,0),0))</f>
        <v>0</v>
      </c>
      <c r="E86" s="43" t="n">
        <f aca="false">MAX(0,E62-E74-IF(Mätdata!$B$57="Räknas bort",Mätdata!$B$56*Byggnader!E$39*IFERROR(Mätdata!$B$52/Mätdata!$B$55,0),0))</f>
        <v>0</v>
      </c>
      <c r="F86" s="43" t="n">
        <f aca="false">MAX(0,F62-F74-IF(Mätdata!$B$57="Räknas bort",Mätdata!$B$56*Byggnader!F$39*IFERROR(Mätdata!$B$52/Mätdata!$B$55,0),0))</f>
        <v>0</v>
      </c>
      <c r="G86" s="43" t="n">
        <f aca="false">MAX(0,G62-G74-IF(Mätdata!$B$57="Räknas bort",Mätdata!$B$56*Byggnader!G$39*IFERROR(Mätdata!$B$52/Mätdata!$B$55,0),0))</f>
        <v>0</v>
      </c>
      <c r="H86" s="43" t="n">
        <f aca="false">MAX(0,H62-H74-IF(Mätdata!$B$57="Räknas bort",Mätdata!$B$56*Byggnader!H$39*IFERROR(Mätdata!$B$52/Mätdata!$B$55,0),0))</f>
        <v>0</v>
      </c>
      <c r="I86" s="43" t="n">
        <f aca="false">SUM(C86:H86)</f>
        <v>0</v>
      </c>
    </row>
    <row r="87" customFormat="false" ht="15" hidden="false" customHeight="true" outlineLevel="0" collapsed="false">
      <c r="A87" s="24" t="s">
        <v>183</v>
      </c>
      <c r="C87" s="43" t="n">
        <f aca="false">MAX(0,C63-C75-IF(Mätdata!$B$57="Räknas bort",Mätdata!$B$56*Byggnader!C$39*IFERROR(Mätdata!$B$53/Mätdata!$B$55,0),0))</f>
        <v>0</v>
      </c>
      <c r="D87" s="43" t="n">
        <f aca="false">MAX(0,D63-D75-IF(Mätdata!$B$57="Räknas bort",Mätdata!$B$56*Byggnader!D$39*IFERROR(Mätdata!$B$53/Mätdata!$B$55,0),0))</f>
        <v>0</v>
      </c>
      <c r="E87" s="43" t="n">
        <f aca="false">MAX(0,E63-E75-IF(Mätdata!$B$57="Räknas bort",Mätdata!$B$56*Byggnader!E$39*IFERROR(Mätdata!$B$53/Mätdata!$B$55,0),0))</f>
        <v>0</v>
      </c>
      <c r="F87" s="43" t="n">
        <f aca="false">MAX(0,F63-F75-IF(Mätdata!$B$57="Räknas bort",Mätdata!$B$56*Byggnader!F$39*IFERROR(Mätdata!$B$53/Mätdata!$B$55,0),0))</f>
        <v>0</v>
      </c>
      <c r="G87" s="43" t="n">
        <f aca="false">MAX(0,G63-G75-IF(Mätdata!$B$57="Räknas bort",Mätdata!$B$56*Byggnader!G$39*IFERROR(Mätdata!$B$53/Mätdata!$B$55,0),0))</f>
        <v>0</v>
      </c>
      <c r="H87" s="43" t="n">
        <f aca="false">MAX(0,H63-H75-IF(Mätdata!$B$57="Räknas bort",Mätdata!$B$56*Byggnader!H$39*IFERROR(Mätdata!$B$53/Mätdata!$B$55,0),0))</f>
        <v>0</v>
      </c>
      <c r="I87" s="43" t="n">
        <f aca="false">SUM(C87:H87)</f>
        <v>0</v>
      </c>
    </row>
    <row r="88" customFormat="false" ht="15" hidden="false" customHeight="true" outlineLevel="0" collapsed="false">
      <c r="A88" s="24" t="s">
        <v>184</v>
      </c>
      <c r="C88" s="43" t="n">
        <f aca="false">MAX(0,C64-C76-IF(Mätdata!$B$57="Räknas bort",Mätdata!$B$56*Byggnader!C$39*IFERROR(Mätdata!$B$54/Mätdata!$B$55,0),0))</f>
        <v>0</v>
      </c>
      <c r="D88" s="43" t="n">
        <f aca="false">MAX(0,D64-D76-IF(Mätdata!$B$57="Räknas bort",Mätdata!$B$56*Byggnader!D$39*IFERROR(Mätdata!$B$54/Mätdata!$B$55,0),0))</f>
        <v>0</v>
      </c>
      <c r="E88" s="43" t="n">
        <f aca="false">MAX(0,E64-E76-IF(Mätdata!$B$57="Räknas bort",Mätdata!$B$56*Byggnader!E$39*IFERROR(Mätdata!$B$54/Mätdata!$B$55,0),0))</f>
        <v>0</v>
      </c>
      <c r="F88" s="43" t="n">
        <f aca="false">MAX(0,F64-F76-IF(Mätdata!$B$57="Räknas bort",Mätdata!$B$56*Byggnader!F$39*IFERROR(Mätdata!$B$54/Mätdata!$B$55,0),0))</f>
        <v>0</v>
      </c>
      <c r="G88" s="43" t="n">
        <f aca="false">MAX(0,G64-G76-IF(Mätdata!$B$57="Räknas bort",Mätdata!$B$56*Byggnader!G$39*IFERROR(Mätdata!$B$54/Mätdata!$B$55,0),0))</f>
        <v>0</v>
      </c>
      <c r="H88" s="43" t="n">
        <f aca="false">MAX(0,H64-H76-IF(Mätdata!$B$57="Räknas bort",Mätdata!$B$56*Byggnader!H$39*IFERROR(Mätdata!$B$54/Mätdata!$B$55,0),0))</f>
        <v>0</v>
      </c>
      <c r="I88" s="43" t="n">
        <f aca="false">SUM(C88:H88)</f>
        <v>0</v>
      </c>
    </row>
    <row r="89" customFormat="false" ht="15" hidden="false" customHeight="true" outlineLevel="0" collapsed="false">
      <c r="A89" s="3" t="s">
        <v>24</v>
      </c>
      <c r="C89" s="43" t="n">
        <f aca="false">SUM(C81:C88)</f>
        <v>0</v>
      </c>
      <c r="D89" s="43" t="n">
        <f aca="false">SUM(D81:D88)</f>
        <v>0</v>
      </c>
      <c r="E89" s="43" t="n">
        <f aca="false">SUM(E81:E88)</f>
        <v>0</v>
      </c>
      <c r="F89" s="43" t="n">
        <f aca="false">SUM(F81:F88)</f>
        <v>0</v>
      </c>
      <c r="G89" s="43" t="n">
        <f aca="false">SUM(G81:G88)</f>
        <v>0</v>
      </c>
      <c r="H89" s="43" t="n">
        <f aca="false">SUM(H81:H88)</f>
        <v>0</v>
      </c>
      <c r="I89" s="43" t="n">
        <f aca="false">SUM(I81:I88)</f>
        <v>0</v>
      </c>
    </row>
    <row r="91" customFormat="false" ht="15" hidden="false" customHeight="true" outlineLevel="0" collapsed="false">
      <c r="A91" s="33" t="s">
        <v>438</v>
      </c>
    </row>
    <row r="92" customFormat="false" ht="15" hidden="false" customHeight="true" outlineLevel="0" collapsed="false">
      <c r="A92" s="3" t="s">
        <v>13</v>
      </c>
      <c r="C92" s="3" t="str">
        <f aca="false">Byggnader!C12</f>
        <v>Byggnad 1</v>
      </c>
      <c r="D92" s="3" t="str">
        <f aca="false">Byggnader!D12</f>
        <v>Byggnad 2</v>
      </c>
      <c r="E92" s="3" t="str">
        <f aca="false">Byggnader!E12</f>
        <v>Byggnad 3</v>
      </c>
      <c r="F92" s="3" t="str">
        <f aca="false">Byggnader!F12</f>
        <v>Byggnad 4</v>
      </c>
      <c r="G92" s="3" t="str">
        <f aca="false">Byggnader!G12</f>
        <v>Byggnad 5</v>
      </c>
      <c r="H92" s="3" t="str">
        <f aca="false">Byggnader!H12</f>
        <v>Byggnad 6</v>
      </c>
      <c r="I92" s="3" t="s">
        <v>24</v>
      </c>
    </row>
    <row r="93" customFormat="false" ht="15" hidden="false" customHeight="true" outlineLevel="0" collapsed="false">
      <c r="A93" s="24" t="s">
        <v>174</v>
      </c>
      <c r="C93" s="43" t="n">
        <f aca="false">C81*Mätdata!$D$47</f>
        <v>0</v>
      </c>
      <c r="D93" s="43" t="n">
        <f aca="false">D81*Mätdata!$D$47</f>
        <v>0</v>
      </c>
      <c r="E93" s="43" t="n">
        <f aca="false">E81*Mätdata!$D$47</f>
        <v>0</v>
      </c>
      <c r="F93" s="43" t="n">
        <f aca="false">F81*Mätdata!$D$47</f>
        <v>0</v>
      </c>
      <c r="G93" s="43" t="n">
        <f aca="false">G81*Mätdata!$D$47</f>
        <v>0</v>
      </c>
      <c r="H93" s="43" t="n">
        <f aca="false">H81*Mätdata!$D$47</f>
        <v>0</v>
      </c>
      <c r="I93" s="43" t="n">
        <f aca="false">SUM(C93:H93)</f>
        <v>0</v>
      </c>
    </row>
    <row r="94" customFormat="false" ht="15" hidden="false" customHeight="true" outlineLevel="0" collapsed="false">
      <c r="A94" s="24" t="s">
        <v>175</v>
      </c>
      <c r="C94" s="43" t="n">
        <f aca="false">C82*Mätdata!$D$48</f>
        <v>0</v>
      </c>
      <c r="D94" s="43" t="n">
        <f aca="false">D82*Mätdata!$D$48</f>
        <v>0</v>
      </c>
      <c r="E94" s="43" t="n">
        <f aca="false">E82*Mätdata!$D$48</f>
        <v>0</v>
      </c>
      <c r="F94" s="43" t="n">
        <f aca="false">F82*Mätdata!$D$48</f>
        <v>0</v>
      </c>
      <c r="G94" s="43" t="n">
        <f aca="false">G82*Mätdata!$D$48</f>
        <v>0</v>
      </c>
      <c r="H94" s="43" t="n">
        <f aca="false">H82*Mätdata!$D$48</f>
        <v>0</v>
      </c>
      <c r="I94" s="43" t="n">
        <f aca="false">SUM(C94:H94)</f>
        <v>0</v>
      </c>
    </row>
    <row r="95" customFormat="false" ht="15" hidden="false" customHeight="true" outlineLevel="0" collapsed="false">
      <c r="A95" s="24" t="s">
        <v>177</v>
      </c>
      <c r="C95" s="43" t="n">
        <f aca="false">C83*Mätdata!$D$49</f>
        <v>0</v>
      </c>
      <c r="D95" s="43" t="n">
        <f aca="false">D83*Mätdata!$D$49</f>
        <v>0</v>
      </c>
      <c r="E95" s="43" t="n">
        <f aca="false">E83*Mätdata!$D$49</f>
        <v>0</v>
      </c>
      <c r="F95" s="43" t="n">
        <f aca="false">F83*Mätdata!$D$49</f>
        <v>0</v>
      </c>
      <c r="G95" s="43" t="n">
        <f aca="false">G83*Mätdata!$D$49</f>
        <v>0</v>
      </c>
      <c r="H95" s="43" t="n">
        <f aca="false">H83*Mätdata!$D$49</f>
        <v>0</v>
      </c>
      <c r="I95" s="43" t="n">
        <f aca="false">SUM(C95:H95)</f>
        <v>0</v>
      </c>
    </row>
    <row r="96" customFormat="false" ht="15" hidden="false" customHeight="true" outlineLevel="0" collapsed="false">
      <c r="A96" s="24" t="s">
        <v>179</v>
      </c>
      <c r="C96" s="43" t="n">
        <f aca="false">C84*Mätdata!$D$50</f>
        <v>0</v>
      </c>
      <c r="D96" s="43" t="n">
        <f aca="false">D84*Mätdata!$D$50</f>
        <v>0</v>
      </c>
      <c r="E96" s="43" t="n">
        <f aca="false">E84*Mätdata!$D$50</f>
        <v>0</v>
      </c>
      <c r="F96" s="43" t="n">
        <f aca="false">F84*Mätdata!$D$50</f>
        <v>0</v>
      </c>
      <c r="G96" s="43" t="n">
        <f aca="false">G84*Mätdata!$D$50</f>
        <v>0</v>
      </c>
      <c r="H96" s="43" t="n">
        <f aca="false">H84*Mätdata!$D$50</f>
        <v>0</v>
      </c>
      <c r="I96" s="43" t="n">
        <f aca="false">SUM(C96:H96)</f>
        <v>0</v>
      </c>
    </row>
    <row r="97" customFormat="false" ht="15" hidden="false" customHeight="true" outlineLevel="0" collapsed="false">
      <c r="A97" s="24" t="s">
        <v>180</v>
      </c>
      <c r="C97" s="43" t="n">
        <f aca="false">C85*Mätdata!$D$51</f>
        <v>0</v>
      </c>
      <c r="D97" s="43" t="n">
        <f aca="false">D85*Mätdata!$D$51</f>
        <v>0</v>
      </c>
      <c r="E97" s="43" t="n">
        <f aca="false">E85*Mätdata!$D$51</f>
        <v>0</v>
      </c>
      <c r="F97" s="43" t="n">
        <f aca="false">F85*Mätdata!$D$51</f>
        <v>0</v>
      </c>
      <c r="G97" s="43" t="n">
        <f aca="false">G85*Mätdata!$D$51</f>
        <v>0</v>
      </c>
      <c r="H97" s="43" t="n">
        <f aca="false">H85*Mätdata!$D$51</f>
        <v>0</v>
      </c>
      <c r="I97" s="43" t="n">
        <f aca="false">SUM(C97:H97)</f>
        <v>0</v>
      </c>
    </row>
    <row r="98" customFormat="false" ht="15" hidden="false" customHeight="true" outlineLevel="0" collapsed="false">
      <c r="A98" s="24" t="s">
        <v>181</v>
      </c>
      <c r="C98" s="43" t="n">
        <f aca="false">C86*Mätdata!$D$52</f>
        <v>0</v>
      </c>
      <c r="D98" s="43" t="n">
        <f aca="false">D86*Mätdata!$D$52</f>
        <v>0</v>
      </c>
      <c r="E98" s="43" t="n">
        <f aca="false">E86*Mätdata!$D$52</f>
        <v>0</v>
      </c>
      <c r="F98" s="43" t="n">
        <f aca="false">F86*Mätdata!$D$52</f>
        <v>0</v>
      </c>
      <c r="G98" s="43" t="n">
        <f aca="false">G86*Mätdata!$D$52</f>
        <v>0</v>
      </c>
      <c r="H98" s="43" t="n">
        <f aca="false">H86*Mätdata!$D$52</f>
        <v>0</v>
      </c>
      <c r="I98" s="43" t="n">
        <f aca="false">SUM(C98:H98)</f>
        <v>0</v>
      </c>
    </row>
    <row r="99" customFormat="false" ht="15" hidden="false" customHeight="true" outlineLevel="0" collapsed="false">
      <c r="A99" s="24" t="s">
        <v>183</v>
      </c>
      <c r="C99" s="43" t="n">
        <f aca="false">C87*Mätdata!$D$53</f>
        <v>0</v>
      </c>
      <c r="D99" s="43" t="n">
        <f aca="false">D87*Mätdata!$D$53</f>
        <v>0</v>
      </c>
      <c r="E99" s="43" t="n">
        <f aca="false">E87*Mätdata!$D$53</f>
        <v>0</v>
      </c>
      <c r="F99" s="43" t="n">
        <f aca="false">F87*Mätdata!$D$53</f>
        <v>0</v>
      </c>
      <c r="G99" s="43" t="n">
        <f aca="false">G87*Mätdata!$D$53</f>
        <v>0</v>
      </c>
      <c r="H99" s="43" t="n">
        <f aca="false">H87*Mätdata!$D$53</f>
        <v>0</v>
      </c>
      <c r="I99" s="43" t="n">
        <f aca="false">SUM(C99:H99)</f>
        <v>0</v>
      </c>
    </row>
    <row r="100" customFormat="false" ht="15" hidden="false" customHeight="true" outlineLevel="0" collapsed="false">
      <c r="A100" s="24" t="s">
        <v>184</v>
      </c>
      <c r="C100" s="43" t="n">
        <f aca="false">C88*Mätdata!$D$54</f>
        <v>0</v>
      </c>
      <c r="D100" s="43" t="n">
        <f aca="false">D88*Mätdata!$D$54</f>
        <v>0</v>
      </c>
      <c r="E100" s="43" t="n">
        <f aca="false">E88*Mätdata!$D$54</f>
        <v>0</v>
      </c>
      <c r="F100" s="43" t="n">
        <f aca="false">F88*Mätdata!$D$54</f>
        <v>0</v>
      </c>
      <c r="G100" s="43" t="n">
        <f aca="false">G88*Mätdata!$D$54</f>
        <v>0</v>
      </c>
      <c r="H100" s="43" t="n">
        <f aca="false">H88*Mätdata!$D$54</f>
        <v>0</v>
      </c>
      <c r="I100" s="43" t="n">
        <f aca="false">SUM(C100:H100)</f>
        <v>0</v>
      </c>
    </row>
    <row r="101" customFormat="false" ht="15" hidden="false" customHeight="true" outlineLevel="0" collapsed="false">
      <c r="A101" s="3" t="s">
        <v>24</v>
      </c>
      <c r="C101" s="43" t="n">
        <f aca="false">SUM(C93:C100)</f>
        <v>0</v>
      </c>
      <c r="D101" s="43" t="n">
        <f aca="false">SUM(D93:D100)</f>
        <v>0</v>
      </c>
      <c r="E101" s="43" t="n">
        <f aca="false">SUM(E93:E100)</f>
        <v>0</v>
      </c>
      <c r="F101" s="43" t="n">
        <f aca="false">SUM(F93:F100)</f>
        <v>0</v>
      </c>
      <c r="G101" s="43" t="n">
        <f aca="false">SUM(G93:G100)</f>
        <v>0</v>
      </c>
      <c r="H101" s="43" t="n">
        <f aca="false">SUM(H93:H100)</f>
        <v>0</v>
      </c>
      <c r="I101" s="43" t="n">
        <f aca="false">SUM(I93:I100)</f>
        <v>0</v>
      </c>
    </row>
    <row r="103" customFormat="false" ht="15" hidden="false" customHeight="true" outlineLevel="0" collapsed="false">
      <c r="A103" s="33" t="s">
        <v>439</v>
      </c>
    </row>
    <row r="104" customFormat="false" ht="15" hidden="false" customHeight="true" outlineLevel="0" collapsed="false">
      <c r="A104" s="3" t="s">
        <v>13</v>
      </c>
      <c r="C104" s="3" t="str">
        <f aca="false">Byggnader!C12</f>
        <v>Byggnad 1</v>
      </c>
      <c r="D104" s="3" t="str">
        <f aca="false">Byggnader!D12</f>
        <v>Byggnad 2</v>
      </c>
      <c r="E104" s="3" t="str">
        <f aca="false">Byggnader!E12</f>
        <v>Byggnad 3</v>
      </c>
      <c r="F104" s="3" t="str">
        <f aca="false">Byggnader!F12</f>
        <v>Byggnad 4</v>
      </c>
      <c r="G104" s="3" t="str">
        <f aca="false">Byggnader!G12</f>
        <v>Byggnad 5</v>
      </c>
      <c r="H104" s="3" t="str">
        <f aca="false">Byggnader!H12</f>
        <v>Byggnad 6</v>
      </c>
      <c r="I104" s="3" t="s">
        <v>24</v>
      </c>
    </row>
    <row r="105" customFormat="false" ht="15" hidden="false" customHeight="true" outlineLevel="0" collapsed="false">
      <c r="A105" s="24" t="s">
        <v>440</v>
      </c>
      <c r="C105" s="43" t="n">
        <f aca="false">IF(C$19="Ja",C101*$B$5*(C$39-C$14),0)</f>
        <v>-0</v>
      </c>
      <c r="D105" s="43" t="n">
        <f aca="false">IF(D$19="Ja",D101*$B$5*(D$39-D$14),0)</f>
        <v>-0</v>
      </c>
      <c r="E105" s="43" t="n">
        <f aca="false">IF(E$19="Ja",E101*$B$5*(E$39-E$14),0)</f>
        <v>-0</v>
      </c>
      <c r="F105" s="43" t="n">
        <f aca="false">IF(F$19="Ja",F101*$B$5*(F$39-F$14),0)</f>
        <v>-0</v>
      </c>
      <c r="G105" s="43" t="n">
        <f aca="false">IF(G$19="Ja",G101*$B$5*(G$39-G$14),0)</f>
        <v>-0</v>
      </c>
      <c r="H105" s="43" t="n">
        <f aca="false">IF(H$19="Ja",H101*$B$5*(H$39-H$14),0)</f>
        <v>-0</v>
      </c>
      <c r="I105" s="43" t="n">
        <f aca="false">SUM(C105:H105)</f>
        <v>0</v>
      </c>
    </row>
    <row r="106" customFormat="false" ht="15" hidden="false" customHeight="true" outlineLevel="0" collapsed="false">
      <c r="A106" s="24" t="s">
        <v>441</v>
      </c>
      <c r="C106" s="43" t="n">
        <f aca="false">IF(C$21="Ja",(C$49-C$41)*C$26*$B$9/1000,0)</f>
        <v>0</v>
      </c>
      <c r="D106" s="43" t="n">
        <f aca="false">IF(D$21="Ja",(D$49-D$41)*D$26*$B$9/1000,0)</f>
        <v>0</v>
      </c>
      <c r="E106" s="43" t="n">
        <f aca="false">IF(E$21="Ja",(E$49-E$41)*E$26*$B$9/1000,0)</f>
        <v>0</v>
      </c>
      <c r="F106" s="43" t="n">
        <f aca="false">IF(F$21="Ja",(F$49-F$41)*F$26*$B$9/1000,0)</f>
        <v>0</v>
      </c>
      <c r="G106" s="43" t="n">
        <f aca="false">IF(G$21="Ja",(G$49-G$41)*G$26*$B$9/1000,0)</f>
        <v>0</v>
      </c>
      <c r="H106" s="43" t="n">
        <f aca="false">IF(H$21="Ja",(H$49-H$41)*H$26*$B$9/1000,0)</f>
        <v>0</v>
      </c>
      <c r="I106" s="43" t="n">
        <f aca="false">SUM(C106:H106)</f>
        <v>0</v>
      </c>
    </row>
    <row r="107" customFormat="false" ht="15" hidden="false" customHeight="true" outlineLevel="0" collapsed="false">
      <c r="A107" s="24" t="s">
        <v>442</v>
      </c>
      <c r="C107" s="43" t="n">
        <f aca="false">IF(C$20="Ja",-1.2*(C$15-C$40)/1000*C$26*$B$10*(1-C$16),0)</f>
        <v>-0</v>
      </c>
      <c r="D107" s="43" t="n">
        <f aca="false">IF(D$20="Ja",-1.2*(D$15-D$40)/1000*D$26*$B$10*(1-D$16),0)</f>
        <v>-0</v>
      </c>
      <c r="E107" s="43" t="n">
        <f aca="false">IF(E$20="Ja",-1.2*(E$15-E$40)/1000*E$26*$B$10*(1-E$16),0)</f>
        <v>-0</v>
      </c>
      <c r="F107" s="43" t="n">
        <f aca="false">IF(F$20="Ja",-1.2*(F$15-F$40)/1000*F$26*$B$10*(1-F$16),0)</f>
        <v>-0</v>
      </c>
      <c r="G107" s="43" t="n">
        <f aca="false">IF(G$20="Ja",-1.2*(G$15-G$40)/1000*G$26*$B$10*(1-G$16),0)</f>
        <v>-0</v>
      </c>
      <c r="H107" s="43" t="n">
        <f aca="false">IF(H$20="Ja",-1.2*(H$15-H$40)/1000*H$26*$B$10*(1-H$16),0)</f>
        <v>-0</v>
      </c>
      <c r="I107" s="43" t="n">
        <f aca="false">SUM(C107:H107)</f>
        <v>0</v>
      </c>
    </row>
    <row r="108" customFormat="false" ht="15" hidden="false" customHeight="true" outlineLevel="0" collapsed="false">
      <c r="A108" s="3" t="s">
        <v>24</v>
      </c>
      <c r="C108" s="43" t="n">
        <f aca="false">SUM(C105:C107)</f>
        <v>0</v>
      </c>
      <c r="D108" s="43" t="n">
        <f aca="false">SUM(D105:D107)</f>
        <v>0</v>
      </c>
      <c r="E108" s="43" t="n">
        <f aca="false">SUM(E105:E107)</f>
        <v>0</v>
      </c>
      <c r="F108" s="43" t="n">
        <f aca="false">SUM(F105:F107)</f>
        <v>0</v>
      </c>
      <c r="G108" s="43" t="n">
        <f aca="false">SUM(G105:G107)</f>
        <v>0</v>
      </c>
      <c r="H108" s="43" t="n">
        <f aca="false">SUM(H105:H107)</f>
        <v>0</v>
      </c>
      <c r="I108" s="43" t="n">
        <f aca="false">SUM(C108:H108)</f>
        <v>0</v>
      </c>
    </row>
    <row r="110" customFormat="false" ht="15" hidden="false" customHeight="true" outlineLevel="0" collapsed="false">
      <c r="A110" s="33" t="s">
        <v>443</v>
      </c>
    </row>
    <row r="111" customFormat="false" ht="15" hidden="false" customHeight="true" outlineLevel="0" collapsed="false">
      <c r="A111" s="3" t="s">
        <v>13</v>
      </c>
      <c r="C111" s="3" t="str">
        <f aca="false">Byggnader!C12</f>
        <v>Byggnad 1</v>
      </c>
      <c r="D111" s="3" t="str">
        <f aca="false">Byggnader!D12</f>
        <v>Byggnad 2</v>
      </c>
      <c r="E111" s="3" t="str">
        <f aca="false">Byggnader!E12</f>
        <v>Byggnad 3</v>
      </c>
      <c r="F111" s="3" t="str">
        <f aca="false">Byggnader!F12</f>
        <v>Byggnad 4</v>
      </c>
      <c r="G111" s="3" t="str">
        <f aca="false">Byggnader!G12</f>
        <v>Byggnad 5</v>
      </c>
      <c r="H111" s="3" t="str">
        <f aca="false">Byggnader!H12</f>
        <v>Byggnad 6</v>
      </c>
      <c r="I111" s="3" t="s">
        <v>24</v>
      </c>
    </row>
    <row r="112" customFormat="false" ht="15" hidden="false" customHeight="true" outlineLevel="0" collapsed="false">
      <c r="A112" s="24" t="s">
        <v>174</v>
      </c>
      <c r="C112" s="43" t="n">
        <f aca="false">MAX(0,C81+IFERROR(C93/C$101*C$108/Mätdata!$D$47,0))</f>
        <v>0</v>
      </c>
      <c r="D112" s="43" t="n">
        <f aca="false">MAX(0,D81+IFERROR(D93/D$101*D$108/Mätdata!$D$47,0))</f>
        <v>0</v>
      </c>
      <c r="E112" s="43" t="n">
        <f aca="false">MAX(0,E81+IFERROR(E93/E$101*E$108/Mätdata!$D$47,0))</f>
        <v>0</v>
      </c>
      <c r="F112" s="43" t="n">
        <f aca="false">MAX(0,F81+IFERROR(F93/F$101*F$108/Mätdata!$D$47,0))</f>
        <v>0</v>
      </c>
      <c r="G112" s="43" t="n">
        <f aca="false">MAX(0,G81+IFERROR(G93/G$101*G$108/Mätdata!$D$47,0))</f>
        <v>0</v>
      </c>
      <c r="H112" s="43" t="n">
        <f aca="false">MAX(0,H81+IFERROR(H93/H$101*H$108/Mätdata!$D$47,0))</f>
        <v>0</v>
      </c>
      <c r="I112" s="43" t="n">
        <f aca="false">SUM(C112:H112)</f>
        <v>0</v>
      </c>
    </row>
    <row r="113" customFormat="false" ht="15" hidden="false" customHeight="true" outlineLevel="0" collapsed="false">
      <c r="A113" s="24" t="s">
        <v>175</v>
      </c>
      <c r="C113" s="43" t="n">
        <f aca="false">MAX(0,C82+IFERROR(C94/C$101*C$108/Mätdata!$D$48,0))</f>
        <v>0</v>
      </c>
      <c r="D113" s="43" t="n">
        <f aca="false">MAX(0,D82+IFERROR(D94/D$101*D$108/Mätdata!$D$48,0))</f>
        <v>0</v>
      </c>
      <c r="E113" s="43" t="n">
        <f aca="false">MAX(0,E82+IFERROR(E94/E$101*E$108/Mätdata!$D$48,0))</f>
        <v>0</v>
      </c>
      <c r="F113" s="43" t="n">
        <f aca="false">MAX(0,F82+IFERROR(F94/F$101*F$108/Mätdata!$D$48,0))</f>
        <v>0</v>
      </c>
      <c r="G113" s="43" t="n">
        <f aca="false">MAX(0,G82+IFERROR(G94/G$101*G$108/Mätdata!$D$48,0))</f>
        <v>0</v>
      </c>
      <c r="H113" s="43" t="n">
        <f aca="false">MAX(0,H82+IFERROR(H94/H$101*H$108/Mätdata!$D$48,0))</f>
        <v>0</v>
      </c>
      <c r="I113" s="43" t="n">
        <f aca="false">SUM(C113:H113)</f>
        <v>0</v>
      </c>
    </row>
    <row r="114" customFormat="false" ht="15" hidden="false" customHeight="true" outlineLevel="0" collapsed="false">
      <c r="A114" s="24" t="s">
        <v>177</v>
      </c>
      <c r="C114" s="43" t="n">
        <f aca="false">MAX(0,C83+IFERROR(C95/C$101*C$108/Mätdata!$D$49,0))</f>
        <v>0</v>
      </c>
      <c r="D114" s="43" t="n">
        <f aca="false">MAX(0,D83+IFERROR(D95/D$101*D$108/Mätdata!$D$49,0))</f>
        <v>0</v>
      </c>
      <c r="E114" s="43" t="n">
        <f aca="false">MAX(0,E83+IFERROR(E95/E$101*E$108/Mätdata!$D$49,0))</f>
        <v>0</v>
      </c>
      <c r="F114" s="43" t="n">
        <f aca="false">MAX(0,F83+IFERROR(F95/F$101*F$108/Mätdata!$D$49,0))</f>
        <v>0</v>
      </c>
      <c r="G114" s="43" t="n">
        <f aca="false">MAX(0,G83+IFERROR(G95/G$101*G$108/Mätdata!$D$49,0))</f>
        <v>0</v>
      </c>
      <c r="H114" s="43" t="n">
        <f aca="false">MAX(0,H83+IFERROR(H95/H$101*H$108/Mätdata!$D$49,0))</f>
        <v>0</v>
      </c>
      <c r="I114" s="43" t="n">
        <f aca="false">SUM(C114:H114)</f>
        <v>0</v>
      </c>
    </row>
    <row r="115" customFormat="false" ht="15" hidden="false" customHeight="true" outlineLevel="0" collapsed="false">
      <c r="A115" s="24" t="s">
        <v>179</v>
      </c>
      <c r="C115" s="43" t="n">
        <f aca="false">MAX(0,C84+IFERROR(C96/C$101*C$108/Mätdata!$D$50,0))</f>
        <v>0</v>
      </c>
      <c r="D115" s="43" t="n">
        <f aca="false">MAX(0,D84+IFERROR(D96/D$101*D$108/Mätdata!$D$50,0))</f>
        <v>0</v>
      </c>
      <c r="E115" s="43" t="n">
        <f aca="false">MAX(0,E84+IFERROR(E96/E$101*E$108/Mätdata!$D$50,0))</f>
        <v>0</v>
      </c>
      <c r="F115" s="43" t="n">
        <f aca="false">MAX(0,F84+IFERROR(F96/F$101*F$108/Mätdata!$D$50,0))</f>
        <v>0</v>
      </c>
      <c r="G115" s="43" t="n">
        <f aca="false">MAX(0,G84+IFERROR(G96/G$101*G$108/Mätdata!$D$50,0))</f>
        <v>0</v>
      </c>
      <c r="H115" s="43" t="n">
        <f aca="false">MAX(0,H84+IFERROR(H96/H$101*H$108/Mätdata!$D$50,0))</f>
        <v>0</v>
      </c>
      <c r="I115" s="43" t="n">
        <f aca="false">SUM(C115:H115)</f>
        <v>0</v>
      </c>
    </row>
    <row r="116" customFormat="false" ht="15" hidden="false" customHeight="true" outlineLevel="0" collapsed="false">
      <c r="A116" s="24" t="s">
        <v>180</v>
      </c>
      <c r="C116" s="43" t="n">
        <f aca="false">MAX(0,C85+IFERROR(C97/C$101*C$108/Mätdata!$D$51,0))</f>
        <v>0</v>
      </c>
      <c r="D116" s="43" t="n">
        <f aca="false">MAX(0,D85+IFERROR(D97/D$101*D$108/Mätdata!$D$51,0))</f>
        <v>0</v>
      </c>
      <c r="E116" s="43" t="n">
        <f aca="false">MAX(0,E85+IFERROR(E97/E$101*E$108/Mätdata!$D$51,0))</f>
        <v>0</v>
      </c>
      <c r="F116" s="43" t="n">
        <f aca="false">MAX(0,F85+IFERROR(F97/F$101*F$108/Mätdata!$D$51,0))</f>
        <v>0</v>
      </c>
      <c r="G116" s="43" t="n">
        <f aca="false">MAX(0,G85+IFERROR(G97/G$101*G$108/Mätdata!$D$51,0))</f>
        <v>0</v>
      </c>
      <c r="H116" s="43" t="n">
        <f aca="false">MAX(0,H85+IFERROR(H97/H$101*H$108/Mätdata!$D$51,0))</f>
        <v>0</v>
      </c>
      <c r="I116" s="43" t="n">
        <f aca="false">SUM(C116:H116)</f>
        <v>0</v>
      </c>
    </row>
    <row r="117" customFormat="false" ht="15" hidden="false" customHeight="true" outlineLevel="0" collapsed="false">
      <c r="A117" s="24" t="s">
        <v>181</v>
      </c>
      <c r="C117" s="43" t="n">
        <f aca="false">MAX(0,C86+IFERROR(C98/C$101*C$108/Mätdata!$D$52,0))</f>
        <v>0</v>
      </c>
      <c r="D117" s="43" t="n">
        <f aca="false">MAX(0,D86+IFERROR(D98/D$101*D$108/Mätdata!$D$52,0))</f>
        <v>0</v>
      </c>
      <c r="E117" s="43" t="n">
        <f aca="false">MAX(0,E86+IFERROR(E98/E$101*E$108/Mätdata!$D$52,0))</f>
        <v>0</v>
      </c>
      <c r="F117" s="43" t="n">
        <f aca="false">MAX(0,F86+IFERROR(F98/F$101*F$108/Mätdata!$D$52,0))</f>
        <v>0</v>
      </c>
      <c r="G117" s="43" t="n">
        <f aca="false">MAX(0,G86+IFERROR(G98/G$101*G$108/Mätdata!$D$52,0))</f>
        <v>0</v>
      </c>
      <c r="H117" s="43" t="n">
        <f aca="false">MAX(0,H86+IFERROR(H98/H$101*H$108/Mätdata!$D$52,0))</f>
        <v>0</v>
      </c>
      <c r="I117" s="43" t="n">
        <f aca="false">SUM(C117:H117)</f>
        <v>0</v>
      </c>
    </row>
    <row r="118" customFormat="false" ht="15" hidden="false" customHeight="true" outlineLevel="0" collapsed="false">
      <c r="A118" s="24" t="s">
        <v>183</v>
      </c>
      <c r="C118" s="43" t="n">
        <f aca="false">MAX(0,C87+IFERROR(C99/C$101*C$108/Mätdata!$D$53,0))</f>
        <v>0</v>
      </c>
      <c r="D118" s="43" t="n">
        <f aca="false">MAX(0,D87+IFERROR(D99/D$101*D$108/Mätdata!$D$53,0))</f>
        <v>0</v>
      </c>
      <c r="E118" s="43" t="n">
        <f aca="false">MAX(0,E87+IFERROR(E99/E$101*E$108/Mätdata!$D$53,0))</f>
        <v>0</v>
      </c>
      <c r="F118" s="43" t="n">
        <f aca="false">MAX(0,F87+IFERROR(F99/F$101*F$108/Mätdata!$D$53,0))</f>
        <v>0</v>
      </c>
      <c r="G118" s="43" t="n">
        <f aca="false">MAX(0,G87+IFERROR(G99/G$101*G$108/Mätdata!$D$53,0))</f>
        <v>0</v>
      </c>
      <c r="H118" s="43" t="n">
        <f aca="false">MAX(0,H87+IFERROR(H99/H$101*H$108/Mätdata!$D$53,0))</f>
        <v>0</v>
      </c>
      <c r="I118" s="43" t="n">
        <f aca="false">SUM(C118:H118)</f>
        <v>0</v>
      </c>
    </row>
    <row r="119" customFormat="false" ht="15" hidden="false" customHeight="true" outlineLevel="0" collapsed="false">
      <c r="A119" s="24" t="s">
        <v>184</v>
      </c>
      <c r="C119" s="43" t="n">
        <f aca="false">MAX(0,C88+IFERROR(C100/C$101*C$108/Mätdata!$D$54,0))</f>
        <v>0</v>
      </c>
      <c r="D119" s="43" t="n">
        <f aca="false">MAX(0,D88+IFERROR(D100/D$101*D$108/Mätdata!$D$54,0))</f>
        <v>0</v>
      </c>
      <c r="E119" s="43" t="n">
        <f aca="false">MAX(0,E88+IFERROR(E100/E$101*E$108/Mätdata!$D$54,0))</f>
        <v>0</v>
      </c>
      <c r="F119" s="43" t="n">
        <f aca="false">MAX(0,F88+IFERROR(F100/F$101*F$108/Mätdata!$D$54,0))</f>
        <v>0</v>
      </c>
      <c r="G119" s="43" t="n">
        <f aca="false">MAX(0,G88+IFERROR(G100/G$101*G$108/Mätdata!$D$54,0))</f>
        <v>0</v>
      </c>
      <c r="H119" s="43" t="n">
        <f aca="false">MAX(0,H88+IFERROR(H100/H$101*H$108/Mätdata!$D$54,0))</f>
        <v>0</v>
      </c>
      <c r="I119" s="43" t="n">
        <f aca="false">SUM(C119:H119)</f>
        <v>0</v>
      </c>
    </row>
    <row r="120" customFormat="false" ht="15" hidden="false" customHeight="true" outlineLevel="0" collapsed="false">
      <c r="A120" s="3" t="s">
        <v>24</v>
      </c>
      <c r="C120" s="43" t="n">
        <f aca="false">SUM(C112:C119)</f>
        <v>0</v>
      </c>
      <c r="D120" s="43" t="n">
        <f aca="false">SUM(D112:D119)</f>
        <v>0</v>
      </c>
      <c r="E120" s="43" t="n">
        <f aca="false">SUM(E112:E119)</f>
        <v>0</v>
      </c>
      <c r="F120" s="43" t="n">
        <f aca="false">SUM(F112:F119)</f>
        <v>0</v>
      </c>
      <c r="G120" s="43" t="n">
        <f aca="false">SUM(G112:G119)</f>
        <v>0</v>
      </c>
      <c r="H120" s="43" t="n">
        <f aca="false">SUM(H112:H119)</f>
        <v>0</v>
      </c>
      <c r="I120" s="43" t="n">
        <f aca="false">SUM(I112:I119)</f>
        <v>0</v>
      </c>
    </row>
    <row r="122" customFormat="false" ht="15" hidden="false" customHeight="true" outlineLevel="0" collapsed="false">
      <c r="A122" s="33" t="s">
        <v>444</v>
      </c>
    </row>
    <row r="123" customFormat="false" ht="15" hidden="false" customHeight="true" outlineLevel="0" collapsed="false">
      <c r="A123" s="3" t="s">
        <v>13</v>
      </c>
      <c r="C123" s="3" t="str">
        <f aca="false">Byggnader!C12</f>
        <v>Byggnad 1</v>
      </c>
      <c r="D123" s="3" t="str">
        <f aca="false">Byggnader!D12</f>
        <v>Byggnad 2</v>
      </c>
      <c r="E123" s="3" t="str">
        <f aca="false">Byggnader!E12</f>
        <v>Byggnad 3</v>
      </c>
      <c r="F123" s="3" t="str">
        <f aca="false">Byggnader!F12</f>
        <v>Byggnad 4</v>
      </c>
      <c r="G123" s="3" t="str">
        <f aca="false">Byggnader!G12</f>
        <v>Byggnad 5</v>
      </c>
      <c r="H123" s="3" t="str">
        <f aca="false">Byggnader!H12</f>
        <v>Byggnad 6</v>
      </c>
      <c r="I123" s="3" t="s">
        <v>24</v>
      </c>
    </row>
    <row r="124" customFormat="false" ht="15" hidden="false" customHeight="true" outlineLevel="0" collapsed="false">
      <c r="A124" s="24" t="s">
        <v>174</v>
      </c>
      <c r="C124" s="43" t="n">
        <f aca="false">IF(C$22="Ja",IFERROR(C$42*C$26/Mätdata!$B$42*Mätdata!$C$47/Mätdata!$D$47,0),C69)</f>
        <v>0</v>
      </c>
      <c r="D124" s="43" t="n">
        <f aca="false">IF(D$22="Ja",IFERROR(D$42*D$26/Mätdata!$B$42*Mätdata!$C$47/Mätdata!$D$47,0),D69)</f>
        <v>0</v>
      </c>
      <c r="E124" s="43" t="n">
        <f aca="false">IF(E$22="Ja",IFERROR(E$42*E$26/Mätdata!$B$42*Mätdata!$C$47/Mätdata!$D$47,0),E69)</f>
        <v>0</v>
      </c>
      <c r="F124" s="43" t="n">
        <f aca="false">IF(F$22="Ja",IFERROR(F$42*F$26/Mätdata!$B$42*Mätdata!$C$47/Mätdata!$D$47,0),F69)</f>
        <v>0</v>
      </c>
      <c r="G124" s="43" t="n">
        <f aca="false">IF(G$22="Ja",IFERROR(G$42*G$26/Mätdata!$B$42*Mätdata!$C$47/Mätdata!$D$47,0),G69)</f>
        <v>0</v>
      </c>
      <c r="H124" s="43" t="n">
        <f aca="false">IF(H$22="Ja",IFERROR(H$42*H$26/Mätdata!$B$42*Mätdata!$C$47/Mätdata!$D$47,0),H69)</f>
        <v>0</v>
      </c>
      <c r="I124" s="43" t="n">
        <f aca="false">SUM(C124:H124)</f>
        <v>0</v>
      </c>
    </row>
    <row r="125" customFormat="false" ht="15" hidden="false" customHeight="true" outlineLevel="0" collapsed="false">
      <c r="A125" s="24" t="s">
        <v>175</v>
      </c>
      <c r="C125" s="43" t="n">
        <f aca="false">IF(C$22="Ja",IFERROR(C$42*C$26/Mätdata!$B$42*Mätdata!$C$48/Mätdata!$D$48,0),C70)</f>
        <v>0</v>
      </c>
      <c r="D125" s="43" t="n">
        <f aca="false">IF(D$22="Ja",IFERROR(D$42*D$26/Mätdata!$B$42*Mätdata!$C$48/Mätdata!$D$48,0),D70)</f>
        <v>0</v>
      </c>
      <c r="E125" s="43" t="n">
        <f aca="false">IF(E$22="Ja",IFERROR(E$42*E$26/Mätdata!$B$42*Mätdata!$C$48/Mätdata!$D$48,0),E70)</f>
        <v>0</v>
      </c>
      <c r="F125" s="43" t="n">
        <f aca="false">IF(F$22="Ja",IFERROR(F$42*F$26/Mätdata!$B$42*Mätdata!$C$48/Mätdata!$D$48,0),F70)</f>
        <v>0</v>
      </c>
      <c r="G125" s="43" t="n">
        <f aca="false">IF(G$22="Ja",IFERROR(G$42*G$26/Mätdata!$B$42*Mätdata!$C$48/Mätdata!$D$48,0),G70)</f>
        <v>0</v>
      </c>
      <c r="H125" s="43" t="n">
        <f aca="false">IF(H$22="Ja",IFERROR(H$42*H$26/Mätdata!$B$42*Mätdata!$C$48/Mätdata!$D$48,0),H70)</f>
        <v>0</v>
      </c>
      <c r="I125" s="43" t="n">
        <f aca="false">SUM(C125:H125)</f>
        <v>0</v>
      </c>
    </row>
    <row r="126" customFormat="false" ht="15" hidden="false" customHeight="true" outlineLevel="0" collapsed="false">
      <c r="A126" s="24" t="s">
        <v>177</v>
      </c>
      <c r="C126" s="43" t="n">
        <f aca="false">IF(C$22="Ja",IFERROR(C$42*C$26/Mätdata!$B$42*Mätdata!$C$49/Mätdata!$D$49,0),C71)</f>
        <v>0</v>
      </c>
      <c r="D126" s="43" t="n">
        <f aca="false">IF(D$22="Ja",IFERROR(D$42*D$26/Mätdata!$B$42*Mätdata!$C$49/Mätdata!$D$49,0),D71)</f>
        <v>0</v>
      </c>
      <c r="E126" s="43" t="n">
        <f aca="false">IF(E$22="Ja",IFERROR(E$42*E$26/Mätdata!$B$42*Mätdata!$C$49/Mätdata!$D$49,0),E71)</f>
        <v>0</v>
      </c>
      <c r="F126" s="43" t="n">
        <f aca="false">IF(F$22="Ja",IFERROR(F$42*F$26/Mätdata!$B$42*Mätdata!$C$49/Mätdata!$D$49,0),F71)</f>
        <v>0</v>
      </c>
      <c r="G126" s="43" t="n">
        <f aca="false">IF(G$22="Ja",IFERROR(G$42*G$26/Mätdata!$B$42*Mätdata!$C$49/Mätdata!$D$49,0),G71)</f>
        <v>0</v>
      </c>
      <c r="H126" s="43" t="n">
        <f aca="false">IF(H$22="Ja",IFERROR(H$42*H$26/Mätdata!$B$42*Mätdata!$C$49/Mätdata!$D$49,0),H71)</f>
        <v>0</v>
      </c>
      <c r="I126" s="43" t="n">
        <f aca="false">SUM(C126:H126)</f>
        <v>0</v>
      </c>
    </row>
    <row r="127" customFormat="false" ht="15" hidden="false" customHeight="true" outlineLevel="0" collapsed="false">
      <c r="A127" s="24" t="s">
        <v>179</v>
      </c>
      <c r="C127" s="43" t="n">
        <f aca="false">IF(C$22="Ja",IFERROR(C$42*C$26/Mätdata!$B$42*Mätdata!$C$50/Mätdata!$D$50,0),C72)</f>
        <v>0</v>
      </c>
      <c r="D127" s="43" t="n">
        <f aca="false">IF(D$22="Ja",IFERROR(D$42*D$26/Mätdata!$B$42*Mätdata!$C$50/Mätdata!$D$50,0),D72)</f>
        <v>0</v>
      </c>
      <c r="E127" s="43" t="n">
        <f aca="false">IF(E$22="Ja",IFERROR(E$42*E$26/Mätdata!$B$42*Mätdata!$C$50/Mätdata!$D$50,0),E72)</f>
        <v>0</v>
      </c>
      <c r="F127" s="43" t="n">
        <f aca="false">IF(F$22="Ja",IFERROR(F$42*F$26/Mätdata!$B$42*Mätdata!$C$50/Mätdata!$D$50,0),F72)</f>
        <v>0</v>
      </c>
      <c r="G127" s="43" t="n">
        <f aca="false">IF(G$22="Ja",IFERROR(G$42*G$26/Mätdata!$B$42*Mätdata!$C$50/Mätdata!$D$50,0),G72)</f>
        <v>0</v>
      </c>
      <c r="H127" s="43" t="n">
        <f aca="false">IF(H$22="Ja",IFERROR(H$42*H$26/Mätdata!$B$42*Mätdata!$C$50/Mätdata!$D$50,0),H72)</f>
        <v>0</v>
      </c>
      <c r="I127" s="43" t="n">
        <f aca="false">SUM(C127:H127)</f>
        <v>0</v>
      </c>
    </row>
    <row r="128" customFormat="false" ht="15" hidden="false" customHeight="true" outlineLevel="0" collapsed="false">
      <c r="A128" s="24" t="s">
        <v>180</v>
      </c>
      <c r="C128" s="43" t="n">
        <f aca="false">IF(C$22="Ja",IFERROR(C$42*C$26/Mätdata!$B$42*Mätdata!$C$51/Mätdata!$D$51,0),C73)</f>
        <v>0</v>
      </c>
      <c r="D128" s="43" t="n">
        <f aca="false">IF(D$22="Ja",IFERROR(D$42*D$26/Mätdata!$B$42*Mätdata!$C$51/Mätdata!$D$51,0),D73)</f>
        <v>0</v>
      </c>
      <c r="E128" s="43" t="n">
        <f aca="false">IF(E$22="Ja",IFERROR(E$42*E$26/Mätdata!$B$42*Mätdata!$C$51/Mätdata!$D$51,0),E73)</f>
        <v>0</v>
      </c>
      <c r="F128" s="43" t="n">
        <f aca="false">IF(F$22="Ja",IFERROR(F$42*F$26/Mätdata!$B$42*Mätdata!$C$51/Mätdata!$D$51,0),F73)</f>
        <v>0</v>
      </c>
      <c r="G128" s="43" t="n">
        <f aca="false">IF(G$22="Ja",IFERROR(G$42*G$26/Mätdata!$B$42*Mätdata!$C$51/Mätdata!$D$51,0),G73)</f>
        <v>0</v>
      </c>
      <c r="H128" s="43" t="n">
        <f aca="false">IF(H$22="Ja",IFERROR(H$42*H$26/Mätdata!$B$42*Mätdata!$C$51/Mätdata!$D$51,0),H73)</f>
        <v>0</v>
      </c>
      <c r="I128" s="43" t="n">
        <f aca="false">SUM(C128:H128)</f>
        <v>0</v>
      </c>
    </row>
    <row r="129" customFormat="false" ht="15" hidden="false" customHeight="true" outlineLevel="0" collapsed="false">
      <c r="A129" s="24" t="s">
        <v>181</v>
      </c>
      <c r="C129" s="43" t="n">
        <f aca="false">IF(C$22="Ja",IFERROR(C$42*C$26/Mätdata!$B$42*Mätdata!$C$52/Mätdata!$D$52,0),C74)</f>
        <v>0</v>
      </c>
      <c r="D129" s="43" t="n">
        <f aca="false">IF(D$22="Ja",IFERROR(D$42*D$26/Mätdata!$B$42*Mätdata!$C$52/Mätdata!$D$52,0),D74)</f>
        <v>0</v>
      </c>
      <c r="E129" s="43" t="n">
        <f aca="false">IF(E$22="Ja",IFERROR(E$42*E$26/Mätdata!$B$42*Mätdata!$C$52/Mätdata!$D$52,0),E74)</f>
        <v>0</v>
      </c>
      <c r="F129" s="43" t="n">
        <f aca="false">IF(F$22="Ja",IFERROR(F$42*F$26/Mätdata!$B$42*Mätdata!$C$52/Mätdata!$D$52,0),F74)</f>
        <v>0</v>
      </c>
      <c r="G129" s="43" t="n">
        <f aca="false">IF(G$22="Ja",IFERROR(G$42*G$26/Mätdata!$B$42*Mätdata!$C$52/Mätdata!$D$52,0),G74)</f>
        <v>0</v>
      </c>
      <c r="H129" s="43" t="n">
        <f aca="false">IF(H$22="Ja",IFERROR(H$42*H$26/Mätdata!$B$42*Mätdata!$C$52/Mätdata!$D$52,0),H74)</f>
        <v>0</v>
      </c>
      <c r="I129" s="43" t="n">
        <f aca="false">SUM(C129:H129)</f>
        <v>0</v>
      </c>
    </row>
    <row r="130" customFormat="false" ht="15" hidden="false" customHeight="true" outlineLevel="0" collapsed="false">
      <c r="A130" s="24" t="s">
        <v>183</v>
      </c>
      <c r="C130" s="43" t="n">
        <f aca="false">IF(C$22="Ja",IFERROR(C$42*C$26/Mätdata!$B$42*Mätdata!$C$53/Mätdata!$D$53,0),C75)</f>
        <v>0</v>
      </c>
      <c r="D130" s="43" t="n">
        <f aca="false">IF(D$22="Ja",IFERROR(D$42*D$26/Mätdata!$B$42*Mätdata!$C$53/Mätdata!$D$53,0),D75)</f>
        <v>0</v>
      </c>
      <c r="E130" s="43" t="n">
        <f aca="false">IF(E$22="Ja",IFERROR(E$42*E$26/Mätdata!$B$42*Mätdata!$C$53/Mätdata!$D$53,0),E75)</f>
        <v>0</v>
      </c>
      <c r="F130" s="43" t="n">
        <f aca="false">IF(F$22="Ja",IFERROR(F$42*F$26/Mätdata!$B$42*Mätdata!$C$53/Mätdata!$D$53,0),F75)</f>
        <v>0</v>
      </c>
      <c r="G130" s="43" t="n">
        <f aca="false">IF(G$22="Ja",IFERROR(G$42*G$26/Mätdata!$B$42*Mätdata!$C$53/Mätdata!$D$53,0),G75)</f>
        <v>0</v>
      </c>
      <c r="H130" s="43" t="n">
        <f aca="false">IF(H$22="Ja",IFERROR(H$42*H$26/Mätdata!$B$42*Mätdata!$C$53/Mätdata!$D$53,0),H75)</f>
        <v>0</v>
      </c>
      <c r="I130" s="43" t="n">
        <f aca="false">SUM(C130:H130)</f>
        <v>0</v>
      </c>
    </row>
    <row r="131" customFormat="false" ht="15" hidden="false" customHeight="true" outlineLevel="0" collapsed="false">
      <c r="A131" s="24" t="s">
        <v>184</v>
      </c>
      <c r="C131" s="43" t="n">
        <f aca="false">IF(C$22="Ja",IFERROR(C$42*C$26/Mätdata!$B$42*Mätdata!$C$54/Mätdata!$D$54,0),C76)</f>
        <v>0</v>
      </c>
      <c r="D131" s="43" t="n">
        <f aca="false">IF(D$22="Ja",IFERROR(D$42*D$26/Mätdata!$B$42*Mätdata!$C$54/Mätdata!$D$54,0),D76)</f>
        <v>0</v>
      </c>
      <c r="E131" s="43" t="n">
        <f aca="false">IF(E$22="Ja",IFERROR(E$42*E$26/Mätdata!$B$42*Mätdata!$C$54/Mätdata!$D$54,0),E76)</f>
        <v>0</v>
      </c>
      <c r="F131" s="43" t="n">
        <f aca="false">IF(F$22="Ja",IFERROR(F$42*F$26/Mätdata!$B$42*Mätdata!$C$54/Mätdata!$D$54,0),F76)</f>
        <v>0</v>
      </c>
      <c r="G131" s="43" t="n">
        <f aca="false">IF(G$22="Ja",IFERROR(G$42*G$26/Mätdata!$B$42*Mätdata!$C$54/Mätdata!$D$54,0),G76)</f>
        <v>0</v>
      </c>
      <c r="H131" s="43" t="n">
        <f aca="false">IF(H$22="Ja",IFERROR(H$42*H$26/Mätdata!$B$42*Mätdata!$C$54/Mätdata!$D$54,0),H76)</f>
        <v>0</v>
      </c>
      <c r="I131" s="43" t="n">
        <f aca="false">SUM(C131:H131)</f>
        <v>0</v>
      </c>
    </row>
    <row r="132" customFormat="false" ht="15" hidden="false" customHeight="true" outlineLevel="0" collapsed="false">
      <c r="A132" s="3" t="s">
        <v>24</v>
      </c>
      <c r="C132" s="43" t="n">
        <f aca="false">SUM(C124:C131)</f>
        <v>0</v>
      </c>
      <c r="D132" s="43" t="n">
        <f aca="false">SUM(D124:D131)</f>
        <v>0</v>
      </c>
      <c r="E132" s="43" t="n">
        <f aca="false">SUM(E124:E131)</f>
        <v>0</v>
      </c>
      <c r="F132" s="43" t="n">
        <f aca="false">SUM(F124:F131)</f>
        <v>0</v>
      </c>
      <c r="G132" s="43" t="n">
        <f aca="false">SUM(G124:G131)</f>
        <v>0</v>
      </c>
      <c r="H132" s="43" t="n">
        <f aca="false">SUM(H124:H131)</f>
        <v>0</v>
      </c>
      <c r="I132" s="43" t="n">
        <f aca="false">SUM(I124:I131)</f>
        <v>0</v>
      </c>
    </row>
    <row r="134" customFormat="false" ht="15" hidden="false" customHeight="true" outlineLevel="0" collapsed="false">
      <c r="A134" s="33" t="s">
        <v>445</v>
      </c>
    </row>
    <row r="135" customFormat="false" ht="15" hidden="false" customHeight="true" outlineLevel="0" collapsed="false">
      <c r="A135" s="3" t="s">
        <v>13</v>
      </c>
      <c r="C135" s="3" t="str">
        <f aca="false">Byggnader!C12</f>
        <v>Byggnad 1</v>
      </c>
      <c r="D135" s="3" t="str">
        <f aca="false">Byggnader!D12</f>
        <v>Byggnad 2</v>
      </c>
      <c r="E135" s="3" t="str">
        <f aca="false">Byggnader!E12</f>
        <v>Byggnad 3</v>
      </c>
      <c r="F135" s="3" t="str">
        <f aca="false">Byggnader!F12</f>
        <v>Byggnad 4</v>
      </c>
      <c r="G135" s="3" t="str">
        <f aca="false">Byggnader!G12</f>
        <v>Byggnad 5</v>
      </c>
      <c r="H135" s="3" t="str">
        <f aca="false">Byggnader!H12</f>
        <v>Byggnad 6</v>
      </c>
      <c r="I135" s="3" t="s">
        <v>24</v>
      </c>
    </row>
    <row r="136" customFormat="false" ht="15" hidden="false" customHeight="true" outlineLevel="0" collapsed="false">
      <c r="A136" s="24" t="s">
        <v>446</v>
      </c>
      <c r="C136" s="44" t="n">
        <f aca="false">Byggnader!C$43</f>
        <v>0</v>
      </c>
      <c r="D136" s="44" t="n">
        <f aca="false">Byggnader!D$43</f>
        <v>0</v>
      </c>
      <c r="E136" s="44" t="n">
        <f aca="false">Byggnader!E$43</f>
        <v>0</v>
      </c>
      <c r="F136" s="44" t="n">
        <f aca="false">Byggnader!F$43</f>
        <v>0</v>
      </c>
      <c r="G136" s="44" t="n">
        <f aca="false">Byggnader!G$43</f>
        <v>0</v>
      </c>
      <c r="H136" s="44" t="n">
        <f aca="false">Byggnader!H$43</f>
        <v>0</v>
      </c>
      <c r="I136" s="44" t="n">
        <f aca="false">SUM(C136:H136)</f>
        <v>0</v>
      </c>
    </row>
    <row r="137" customFormat="false" ht="15" hidden="false" customHeight="true" outlineLevel="0" collapsed="false">
      <c r="A137" s="24" t="s">
        <v>218</v>
      </c>
      <c r="C137" s="43" t="n">
        <f aca="false">Mätdata!$D$68*C136</f>
        <v>0</v>
      </c>
      <c r="D137" s="43" t="n">
        <f aca="false">Mätdata!$D$68*D136</f>
        <v>0</v>
      </c>
      <c r="E137" s="43" t="n">
        <f aca="false">Mätdata!$D$68*E136</f>
        <v>0</v>
      </c>
      <c r="F137" s="43" t="n">
        <f aca="false">Mätdata!$D$68*F136</f>
        <v>0</v>
      </c>
      <c r="G137" s="43" t="n">
        <f aca="false">Mätdata!$D$68*G136</f>
        <v>0</v>
      </c>
      <c r="H137" s="43" t="n">
        <f aca="false">Mätdata!$D$68*H136</f>
        <v>0</v>
      </c>
      <c r="I137" s="43" t="n">
        <f aca="false">SUM(C137:H137)</f>
        <v>0</v>
      </c>
    </row>
    <row r="138" customFormat="false" ht="15" hidden="false" customHeight="true" outlineLevel="0" collapsed="false">
      <c r="A138" s="24" t="s">
        <v>447</v>
      </c>
      <c r="C138" s="43" t="n">
        <f aca="false">Byggnader!C47</f>
        <v>0</v>
      </c>
      <c r="D138" s="43" t="n">
        <f aca="false">Byggnader!D47</f>
        <v>0</v>
      </c>
      <c r="E138" s="43" t="n">
        <f aca="false">Byggnader!E47</f>
        <v>0</v>
      </c>
      <c r="F138" s="43" t="n">
        <f aca="false">Byggnader!F47</f>
        <v>0</v>
      </c>
      <c r="G138" s="43" t="n">
        <f aca="false">Byggnader!G47</f>
        <v>0</v>
      </c>
      <c r="H138" s="43" t="n">
        <f aca="false">Byggnader!H47</f>
        <v>0</v>
      </c>
      <c r="I138" s="43" t="n">
        <f aca="false">SUM(C138:H138)</f>
        <v>0</v>
      </c>
    </row>
    <row r="139" customFormat="false" ht="15" hidden="false" customHeight="true" outlineLevel="0" collapsed="false">
      <c r="A139" s="24" t="s">
        <v>448</v>
      </c>
      <c r="C139" s="43" t="n">
        <f aca="false">MAX(0,C137-C138)</f>
        <v>0</v>
      </c>
      <c r="D139" s="43" t="n">
        <f aca="false">MAX(0,D137-D138)</f>
        <v>0</v>
      </c>
      <c r="E139" s="43" t="n">
        <f aca="false">MAX(0,E137-E138)</f>
        <v>0</v>
      </c>
      <c r="F139" s="43" t="n">
        <f aca="false">MAX(0,F137-F138)</f>
        <v>0</v>
      </c>
      <c r="G139" s="43" t="n">
        <f aca="false">MAX(0,G137-G138)</f>
        <v>0</v>
      </c>
      <c r="H139" s="43" t="n">
        <f aca="false">MAX(0,H137-H138)</f>
        <v>0</v>
      </c>
      <c r="I139" s="43" t="n">
        <f aca="false">SUM(C139:H139)</f>
        <v>0</v>
      </c>
    </row>
    <row r="140" customFormat="false" ht="15" hidden="false" customHeight="true" outlineLevel="0" collapsed="false">
      <c r="A140" s="24" t="s">
        <v>194</v>
      </c>
      <c r="C140" s="43" t="n">
        <f aca="false">(SUMIFS(Mätdata!$E$6:$E$25,Mätdata!$B$6:$B$25,"El",Mätdata!$C$6:$C$25,"Komfortkyla",Mätdata!$D$6:$D$25,Byggnader!C$12)+SUMIFS(Mätdata!$E$6:$E$25,Mätdata!$B$6:$B$25,"El",Mätdata!$C$6:$C$25,"Komfortkyla",Mätdata!$D$6:$D$25,"Alla")*Byggnader!C$43)+Mätdata!$C$64*Byggnader!C$43</f>
        <v>0</v>
      </c>
      <c r="D140" s="43" t="n">
        <f aca="false">(SUMIFS(Mätdata!$E$6:$E$25,Mätdata!$B$6:$B$25,"El",Mätdata!$C$6:$C$25,"Komfortkyla",Mätdata!$D$6:$D$25,Byggnader!D$12)+SUMIFS(Mätdata!$E$6:$E$25,Mätdata!$B$6:$B$25,"El",Mätdata!$C$6:$C$25,"Komfortkyla",Mätdata!$D$6:$D$25,"Alla")*Byggnader!D$43)+Mätdata!$C$64*Byggnader!D$43</f>
        <v>0</v>
      </c>
      <c r="E140" s="43" t="n">
        <f aca="false">(SUMIFS(Mätdata!$E$6:$E$25,Mätdata!$B$6:$B$25,"El",Mätdata!$C$6:$C$25,"Komfortkyla",Mätdata!$D$6:$D$25,Byggnader!E$12)+SUMIFS(Mätdata!$E$6:$E$25,Mätdata!$B$6:$B$25,"El",Mätdata!$C$6:$C$25,"Komfortkyla",Mätdata!$D$6:$D$25,"Alla")*Byggnader!E$43)+Mätdata!$C$64*Byggnader!E$43</f>
        <v>0</v>
      </c>
      <c r="F140" s="43" t="n">
        <f aca="false">(SUMIFS(Mätdata!$E$6:$E$25,Mätdata!$B$6:$B$25,"El",Mätdata!$C$6:$C$25,"Komfortkyla",Mätdata!$D$6:$D$25,Byggnader!F$12)+SUMIFS(Mätdata!$E$6:$E$25,Mätdata!$B$6:$B$25,"El",Mätdata!$C$6:$C$25,"Komfortkyla",Mätdata!$D$6:$D$25,"Alla")*Byggnader!F$43)+Mätdata!$C$64*Byggnader!F$43</f>
        <v>0</v>
      </c>
      <c r="G140" s="43" t="n">
        <f aca="false">(SUMIFS(Mätdata!$E$6:$E$25,Mätdata!$B$6:$B$25,"El",Mätdata!$C$6:$C$25,"Komfortkyla",Mätdata!$D$6:$D$25,Byggnader!G$12)+SUMIFS(Mätdata!$E$6:$E$25,Mätdata!$B$6:$B$25,"El",Mätdata!$C$6:$C$25,"Komfortkyla",Mätdata!$D$6:$D$25,"Alla")*Byggnader!G$43)+Mätdata!$C$64*Byggnader!G$43</f>
        <v>0</v>
      </c>
      <c r="H140" s="43" t="n">
        <f aca="false">(SUMIFS(Mätdata!$E$6:$E$25,Mätdata!$B$6:$B$25,"El",Mätdata!$C$6:$C$25,"Komfortkyla",Mätdata!$D$6:$D$25,Byggnader!H$12)+SUMIFS(Mätdata!$E$6:$E$25,Mätdata!$B$6:$B$25,"El",Mätdata!$C$6:$C$25,"Komfortkyla",Mätdata!$D$6:$D$25,"Alla")*Byggnader!H$43)+Mätdata!$C$64*Byggnader!H$43</f>
        <v>0</v>
      </c>
      <c r="I140" s="43" t="n">
        <f aca="false">SUM(C140:H140)</f>
        <v>0</v>
      </c>
    </row>
    <row r="141" customFormat="false" ht="15" hidden="false" customHeight="true" outlineLevel="0" collapsed="false">
      <c r="A141" s="24" t="s">
        <v>449</v>
      </c>
      <c r="C141" s="43" t="n">
        <f aca="false">(SUMIFS(Mätdata!$E$6:$E$25,Mätdata!$B$6:$B$25,"Fjärrkyla",Mätdata!$D$6:$D$25,Byggnader!C$12)+SUMIFS(Mätdata!$E$6:$E$25,Mätdata!$B$6:$B$25,"Fjärrkyla",Mätdata!$D$6:$D$25,"Alla")*Byggnader!C$43)</f>
        <v>0</v>
      </c>
      <c r="D141" s="43" t="n">
        <f aca="false">(SUMIFS(Mätdata!$E$6:$E$25,Mätdata!$B$6:$B$25,"Fjärrkyla",Mätdata!$D$6:$D$25,Byggnader!D$12)+SUMIFS(Mätdata!$E$6:$E$25,Mätdata!$B$6:$B$25,"Fjärrkyla",Mätdata!$D$6:$D$25,"Alla")*Byggnader!D$43)</f>
        <v>0</v>
      </c>
      <c r="E141" s="43" t="n">
        <f aca="false">(SUMIFS(Mätdata!$E$6:$E$25,Mätdata!$B$6:$B$25,"Fjärrkyla",Mätdata!$D$6:$D$25,Byggnader!E$12)+SUMIFS(Mätdata!$E$6:$E$25,Mätdata!$B$6:$B$25,"Fjärrkyla",Mätdata!$D$6:$D$25,"Alla")*Byggnader!E$43)</f>
        <v>0</v>
      </c>
      <c r="F141" s="43" t="n">
        <f aca="false">(SUMIFS(Mätdata!$E$6:$E$25,Mätdata!$B$6:$B$25,"Fjärrkyla",Mätdata!$D$6:$D$25,Byggnader!F$12)+SUMIFS(Mätdata!$E$6:$E$25,Mätdata!$B$6:$B$25,"Fjärrkyla",Mätdata!$D$6:$D$25,"Alla")*Byggnader!F$43)</f>
        <v>0</v>
      </c>
      <c r="G141" s="43" t="n">
        <f aca="false">(SUMIFS(Mätdata!$E$6:$E$25,Mätdata!$B$6:$B$25,"Fjärrkyla",Mätdata!$D$6:$D$25,Byggnader!G$12)+SUMIFS(Mätdata!$E$6:$E$25,Mätdata!$B$6:$B$25,"Fjärrkyla",Mätdata!$D$6:$D$25,"Alla")*Byggnader!G$43)</f>
        <v>0</v>
      </c>
      <c r="H141" s="43" t="n">
        <f aca="false">(SUMIFS(Mätdata!$E$6:$E$25,Mätdata!$B$6:$B$25,"Fjärrkyla",Mätdata!$D$6:$D$25,Byggnader!H$12)+SUMIFS(Mätdata!$E$6:$E$25,Mätdata!$B$6:$B$25,"Fjärrkyla",Mätdata!$D$6:$D$25,"Alla")*Byggnader!H$43)</f>
        <v>0</v>
      </c>
      <c r="I141" s="43" t="n">
        <f aca="false">SUM(C141:H141)</f>
        <v>0</v>
      </c>
    </row>
    <row r="142" customFormat="false" ht="15" hidden="false" customHeight="true" outlineLevel="0" collapsed="false">
      <c r="A142" s="24" t="s">
        <v>450</v>
      </c>
      <c r="C142" s="43" t="n">
        <f aca="false">Byggnader!C48</f>
        <v>0</v>
      </c>
      <c r="D142" s="43" t="n">
        <f aca="false">Byggnader!D48</f>
        <v>0</v>
      </c>
      <c r="E142" s="43" t="n">
        <f aca="false">Byggnader!E48</f>
        <v>0</v>
      </c>
      <c r="F142" s="43" t="n">
        <f aca="false">Byggnader!F48</f>
        <v>0</v>
      </c>
      <c r="G142" s="43" t="n">
        <f aca="false">Byggnader!G48</f>
        <v>0</v>
      </c>
      <c r="H142" s="43" t="n">
        <f aca="false">Byggnader!H48</f>
        <v>0</v>
      </c>
      <c r="I142" s="43" t="n">
        <f aca="false">SUM(C142:H142)</f>
        <v>0</v>
      </c>
    </row>
    <row r="143" customFormat="false" ht="15" hidden="false" customHeight="true" outlineLevel="0" collapsed="false">
      <c r="A143" s="24" t="s">
        <v>196</v>
      </c>
      <c r="C143" s="43" t="n">
        <f aca="false">C46</f>
        <v>0</v>
      </c>
      <c r="D143" s="43" t="n">
        <f aca="false">D46</f>
        <v>0</v>
      </c>
      <c r="E143" s="43" t="n">
        <f aca="false">E46</f>
        <v>0</v>
      </c>
      <c r="F143" s="43" t="n">
        <f aca="false">F46</f>
        <v>0</v>
      </c>
      <c r="G143" s="43" t="n">
        <f aca="false">G46</f>
        <v>0</v>
      </c>
      <c r="H143" s="43" t="n">
        <f aca="false">H46</f>
        <v>0</v>
      </c>
      <c r="I143" s="43" t="n">
        <f aca="false">SUM(C143:H143)</f>
        <v>0</v>
      </c>
    </row>
    <row r="144" customFormat="false" ht="15" hidden="false" customHeight="true" outlineLevel="0" collapsed="false">
      <c r="A144" s="24" t="s">
        <v>23</v>
      </c>
      <c r="C144" s="43" t="n">
        <f aca="false">(SUMIFS(Mätdata!$E$6:$E$25,Mätdata!$B$6:$B$25,"El",Mätdata!$C$6:$C$25,"Verksamhetsel",Mätdata!$D$6:$D$25,Byggnader!C$12)+SUMIFS(Mätdata!$E$6:$E$25,Mätdata!$B$6:$B$25,"El",Mätdata!$C$6:$C$25,"Verksamhetsel",Mätdata!$D$6:$D$25,"Alla")*Byggnader!C$43)+Mätdata!$C$65*Byggnader!C$43</f>
        <v>0</v>
      </c>
      <c r="D144" s="43" t="n">
        <f aca="false">(SUMIFS(Mätdata!$E$6:$E$25,Mätdata!$B$6:$B$25,"El",Mätdata!$C$6:$C$25,"Verksamhetsel",Mätdata!$D$6:$D$25,Byggnader!D$12)+SUMIFS(Mätdata!$E$6:$E$25,Mätdata!$B$6:$B$25,"El",Mätdata!$C$6:$C$25,"Verksamhetsel",Mätdata!$D$6:$D$25,"Alla")*Byggnader!D$43)+Mätdata!$C$65*Byggnader!D$43</f>
        <v>0</v>
      </c>
      <c r="E144" s="43" t="n">
        <f aca="false">(SUMIFS(Mätdata!$E$6:$E$25,Mätdata!$B$6:$B$25,"El",Mätdata!$C$6:$C$25,"Verksamhetsel",Mätdata!$D$6:$D$25,Byggnader!E$12)+SUMIFS(Mätdata!$E$6:$E$25,Mätdata!$B$6:$B$25,"El",Mätdata!$C$6:$C$25,"Verksamhetsel",Mätdata!$D$6:$D$25,"Alla")*Byggnader!E$43)+Mätdata!$C$65*Byggnader!E$43</f>
        <v>0</v>
      </c>
      <c r="F144" s="43" t="n">
        <f aca="false">(SUMIFS(Mätdata!$E$6:$E$25,Mätdata!$B$6:$B$25,"El",Mätdata!$C$6:$C$25,"Verksamhetsel",Mätdata!$D$6:$D$25,Byggnader!F$12)+SUMIFS(Mätdata!$E$6:$E$25,Mätdata!$B$6:$B$25,"El",Mätdata!$C$6:$C$25,"Verksamhetsel",Mätdata!$D$6:$D$25,"Alla")*Byggnader!F$43)+Mätdata!$C$65*Byggnader!F$43</f>
        <v>0</v>
      </c>
      <c r="G144" s="43" t="n">
        <f aca="false">(SUMIFS(Mätdata!$E$6:$E$25,Mätdata!$B$6:$B$25,"El",Mätdata!$C$6:$C$25,"Verksamhetsel",Mätdata!$D$6:$D$25,Byggnader!G$12)+SUMIFS(Mätdata!$E$6:$E$25,Mätdata!$B$6:$B$25,"El",Mätdata!$C$6:$C$25,"Verksamhetsel",Mätdata!$D$6:$D$25,"Alla")*Byggnader!G$43)+Mätdata!$C$65*Byggnader!G$43</f>
        <v>0</v>
      </c>
      <c r="H144" s="43" t="n">
        <f aca="false">(SUMIFS(Mätdata!$E$6:$E$25,Mätdata!$B$6:$B$25,"El",Mätdata!$C$6:$C$25,"Verksamhetsel",Mätdata!$D$6:$D$25,Byggnader!H$12)+SUMIFS(Mätdata!$E$6:$E$25,Mätdata!$B$6:$B$25,"El",Mätdata!$C$6:$C$25,"Verksamhetsel",Mätdata!$D$6:$D$25,"Alla")*Byggnader!H$43)+Mätdata!$C$65*Byggnader!H$43</f>
        <v>0</v>
      </c>
      <c r="I144" s="43" t="n">
        <f aca="false">SUM(C144:H144)</f>
        <v>0</v>
      </c>
    </row>
    <row r="145" customFormat="false" ht="15" hidden="false" customHeight="true" outlineLevel="0" collapsed="false">
      <c r="A145" s="24" t="s">
        <v>451</v>
      </c>
      <c r="C145" s="43" t="n">
        <f aca="false">(SUMIFS(Mätdata!$E$6:$E$25,Mätdata!$B$6:$B$25,"El",Mätdata!$C$6:$C$25,"El utanför systemgräns",Mätdata!$D$6:$D$25,Byggnader!C$12)+SUMIFS(Mätdata!$E$6:$E$25,Mätdata!$B$6:$B$25,"El",Mätdata!$C$6:$C$25,"El utanför systemgräns",Mätdata!$D$6:$D$25,"Alla")*Byggnader!C$43)+Mätdata!$C$67*Byggnader!C$43</f>
        <v>0</v>
      </c>
      <c r="D145" s="43" t="n">
        <f aca="false">(SUMIFS(Mätdata!$E$6:$E$25,Mätdata!$B$6:$B$25,"El",Mätdata!$C$6:$C$25,"El utanför systemgräns",Mätdata!$D$6:$D$25,Byggnader!D$12)+SUMIFS(Mätdata!$E$6:$E$25,Mätdata!$B$6:$B$25,"El",Mätdata!$C$6:$C$25,"El utanför systemgräns",Mätdata!$D$6:$D$25,"Alla")*Byggnader!D$43)+Mätdata!$C$67*Byggnader!D$43</f>
        <v>0</v>
      </c>
      <c r="E145" s="43" t="n">
        <f aca="false">(SUMIFS(Mätdata!$E$6:$E$25,Mätdata!$B$6:$B$25,"El",Mätdata!$C$6:$C$25,"El utanför systemgräns",Mätdata!$D$6:$D$25,Byggnader!E$12)+SUMIFS(Mätdata!$E$6:$E$25,Mätdata!$B$6:$B$25,"El",Mätdata!$C$6:$C$25,"El utanför systemgräns",Mätdata!$D$6:$D$25,"Alla")*Byggnader!E$43)+Mätdata!$C$67*Byggnader!E$43</f>
        <v>0</v>
      </c>
      <c r="F145" s="43" t="n">
        <f aca="false">(SUMIFS(Mätdata!$E$6:$E$25,Mätdata!$B$6:$B$25,"El",Mätdata!$C$6:$C$25,"El utanför systemgräns",Mätdata!$D$6:$D$25,Byggnader!F$12)+SUMIFS(Mätdata!$E$6:$E$25,Mätdata!$B$6:$B$25,"El",Mätdata!$C$6:$C$25,"El utanför systemgräns",Mätdata!$D$6:$D$25,"Alla")*Byggnader!F$43)+Mätdata!$C$67*Byggnader!F$43</f>
        <v>0</v>
      </c>
      <c r="G145" s="43" t="n">
        <f aca="false">(SUMIFS(Mätdata!$E$6:$E$25,Mätdata!$B$6:$B$25,"El",Mätdata!$C$6:$C$25,"El utanför systemgräns",Mätdata!$D$6:$D$25,Byggnader!G$12)+SUMIFS(Mätdata!$E$6:$E$25,Mätdata!$B$6:$B$25,"El",Mätdata!$C$6:$C$25,"El utanför systemgräns",Mätdata!$D$6:$D$25,"Alla")*Byggnader!G$43)+Mätdata!$C$67*Byggnader!G$43</f>
        <v>0</v>
      </c>
      <c r="H145" s="43" t="n">
        <f aca="false">(SUMIFS(Mätdata!$E$6:$E$25,Mätdata!$B$6:$B$25,"El",Mätdata!$C$6:$C$25,"El utanför systemgräns",Mätdata!$D$6:$D$25,Byggnader!H$12)+SUMIFS(Mätdata!$E$6:$E$25,Mätdata!$B$6:$B$25,"El",Mätdata!$C$6:$C$25,"El utanför systemgräns",Mätdata!$D$6:$D$25,"Alla")*Byggnader!H$43)+Mätdata!$C$67*Byggnader!H$43</f>
        <v>0</v>
      </c>
      <c r="I145" s="43" t="n">
        <f aca="false">SUM(C145:H145)</f>
        <v>0</v>
      </c>
    </row>
  </sheetData>
  <dataValidations count="1">
    <dataValidation allowBlank="true" errorStyle="stop" operator="between" showDropDown="false" showErrorMessage="false" showInputMessage="false" sqref="C19:H22" type="list">
      <formula1>'Regler BFS 2026'!$X$5:$X$6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D41" activeCellId="0" sqref="D41"/>
    </sheetView>
  </sheetViews>
  <sheetFormatPr defaultColWidth="8.7109375" defaultRowHeight="15" zeroHeight="false" outlineLevelRow="0" outlineLevelCol="0"/>
  <cols>
    <col collapsed="false" customWidth="true" hidden="false" outlineLevel="0" max="1" min="1" style="1" width="50"/>
    <col collapsed="false" customWidth="true" hidden="false" outlineLevel="0" max="2" min="2" style="1" width="4"/>
    <col collapsed="false" customWidth="true" hidden="false" outlineLevel="0" max="9" min="3" style="1" width="13"/>
  </cols>
  <sheetData>
    <row r="1" customFormat="false" ht="21.75" hidden="false" customHeight="true" outlineLevel="0" collapsed="false">
      <c r="A1" s="2" t="s">
        <v>452</v>
      </c>
    </row>
    <row r="2" customFormat="false" ht="15" hidden="false" customHeight="true" outlineLevel="0" collapsed="false">
      <c r="A2" s="32" t="s">
        <v>453</v>
      </c>
    </row>
    <row r="4" customFormat="false" ht="15" hidden="false" customHeight="true" outlineLevel="0" collapsed="false">
      <c r="A4" s="3" t="s">
        <v>13</v>
      </c>
      <c r="C4" s="3" t="str">
        <f aca="false">Byggnader!C12</f>
        <v>Byggnad 1</v>
      </c>
      <c r="D4" s="3" t="str">
        <f aca="false">Byggnader!D12</f>
        <v>Byggnad 2</v>
      </c>
      <c r="E4" s="3" t="str">
        <f aca="false">Byggnader!E12</f>
        <v>Byggnad 3</v>
      </c>
      <c r="F4" s="3" t="str">
        <f aca="false">Byggnader!F12</f>
        <v>Byggnad 4</v>
      </c>
      <c r="G4" s="3" t="str">
        <f aca="false">Byggnader!G12</f>
        <v>Byggnad 5</v>
      </c>
      <c r="H4" s="3" t="str">
        <f aca="false">Byggnader!H12</f>
        <v>Byggnad 6</v>
      </c>
      <c r="I4" s="3" t="s">
        <v>45</v>
      </c>
    </row>
    <row r="5" customFormat="false" ht="15" hidden="false" customHeight="true" outlineLevel="0" collapsed="false">
      <c r="A5" s="24" t="s">
        <v>59</v>
      </c>
      <c r="C5" s="59" t="str">
        <f aca="false">IF(Byggnader!C13="","",Byggnader!C13)</f>
        <v/>
      </c>
      <c r="D5" s="59" t="str">
        <f aca="false">IF(Byggnader!D13="","",Byggnader!D13)</f>
        <v/>
      </c>
      <c r="E5" s="59" t="str">
        <f aca="false">IF(Byggnader!E13="","",Byggnader!E13)</f>
        <v/>
      </c>
      <c r="F5" s="59" t="str">
        <f aca="false">IF(Byggnader!F13="","",Byggnader!F13)</f>
        <v/>
      </c>
      <c r="G5" s="59" t="str">
        <f aca="false">IF(Byggnader!G13="","",Byggnader!G13)</f>
        <v/>
      </c>
      <c r="H5" s="59" t="str">
        <f aca="false">IF(Byggnader!H13="","",Byggnader!H13)</f>
        <v/>
      </c>
    </row>
    <row r="6" customFormat="false" ht="15" hidden="false" customHeight="true" outlineLevel="0" collapsed="false">
      <c r="A6" s="24" t="s">
        <v>417</v>
      </c>
      <c r="C6" s="43" t="n">
        <f aca="false">Normalisering!C26</f>
        <v>0</v>
      </c>
      <c r="D6" s="43" t="n">
        <f aca="false">Normalisering!D26</f>
        <v>0</v>
      </c>
      <c r="E6" s="43" t="n">
        <f aca="false">Normalisering!E26</f>
        <v>0</v>
      </c>
      <c r="F6" s="43" t="n">
        <f aca="false">Normalisering!F26</f>
        <v>0</v>
      </c>
      <c r="G6" s="43" t="n">
        <f aca="false">Normalisering!G26</f>
        <v>0</v>
      </c>
      <c r="H6" s="43" t="n">
        <f aca="false">Normalisering!H26</f>
        <v>0</v>
      </c>
      <c r="I6" s="43" t="n">
        <f aca="false">Normalisering!I26</f>
        <v>0</v>
      </c>
    </row>
    <row r="7" customFormat="false" ht="15" hidden="false" customHeight="true" outlineLevel="0" collapsed="false">
      <c r="A7" s="24" t="s">
        <v>454</v>
      </c>
      <c r="C7" s="43" t="n">
        <f aca="false">Normalisering!C120/Byggnader!$C$10</f>
        <v>0</v>
      </c>
      <c r="D7" s="43" t="n">
        <f aca="false">Normalisering!D120/Byggnader!$C$10</f>
        <v>0</v>
      </c>
      <c r="E7" s="43" t="n">
        <f aca="false">Normalisering!E120/Byggnader!$C$10</f>
        <v>0</v>
      </c>
      <c r="F7" s="43" t="n">
        <f aca="false">Normalisering!F120/Byggnader!$C$10</f>
        <v>0</v>
      </c>
      <c r="G7" s="43" t="n">
        <f aca="false">Normalisering!G120/Byggnader!$C$10</f>
        <v>0</v>
      </c>
      <c r="H7" s="43" t="n">
        <f aca="false">Normalisering!H120/Byggnader!$C$10</f>
        <v>0</v>
      </c>
      <c r="I7" s="43" t="n">
        <f aca="false">Normalisering!I120/Byggnader!$C$10</f>
        <v>0</v>
      </c>
    </row>
    <row r="8" customFormat="false" ht="15" hidden="false" customHeight="true" outlineLevel="0" collapsed="false">
      <c r="A8" s="24" t="s">
        <v>455</v>
      </c>
      <c r="C8" s="43" t="n">
        <f aca="false">Normalisering!C132</f>
        <v>0</v>
      </c>
      <c r="D8" s="43" t="n">
        <f aca="false">Normalisering!D132</f>
        <v>0</v>
      </c>
      <c r="E8" s="43" t="n">
        <f aca="false">Normalisering!E132</f>
        <v>0</v>
      </c>
      <c r="F8" s="43" t="n">
        <f aca="false">Normalisering!F132</f>
        <v>0</v>
      </c>
      <c r="G8" s="43" t="n">
        <f aca="false">Normalisering!G132</f>
        <v>0</v>
      </c>
      <c r="H8" s="43" t="n">
        <f aca="false">Normalisering!H132</f>
        <v>0</v>
      </c>
      <c r="I8" s="43" t="n">
        <f aca="false">Normalisering!I132</f>
        <v>0</v>
      </c>
    </row>
    <row r="9" customFormat="false" ht="15" hidden="false" customHeight="true" outlineLevel="0" collapsed="false">
      <c r="A9" s="24" t="s">
        <v>456</v>
      </c>
      <c r="C9" s="43" t="n">
        <f aca="false">Normalisering!C139-Normalisering!C142</f>
        <v>0</v>
      </c>
      <c r="D9" s="43" t="n">
        <f aca="false">Normalisering!D139-Normalisering!D142</f>
        <v>0</v>
      </c>
      <c r="E9" s="43" t="n">
        <f aca="false">Normalisering!E139-Normalisering!E142</f>
        <v>0</v>
      </c>
      <c r="F9" s="43" t="n">
        <f aca="false">Normalisering!F139-Normalisering!F142</f>
        <v>0</v>
      </c>
      <c r="G9" s="43" t="n">
        <f aca="false">Normalisering!G139-Normalisering!G142</f>
        <v>0</v>
      </c>
      <c r="H9" s="43" t="n">
        <f aca="false">Normalisering!H139-Normalisering!H142</f>
        <v>0</v>
      </c>
      <c r="I9" s="43" t="n">
        <f aca="false">Normalisering!I139-Normalisering!I142</f>
        <v>0</v>
      </c>
    </row>
    <row r="10" customFormat="false" ht="15" hidden="false" customHeight="true" outlineLevel="0" collapsed="false">
      <c r="A10" s="24" t="s">
        <v>457</v>
      </c>
      <c r="C10" s="43" t="n">
        <f aca="false">Normalisering!C140+Normalisering!C141</f>
        <v>0</v>
      </c>
      <c r="D10" s="43" t="n">
        <f aca="false">Normalisering!D140+Normalisering!D141</f>
        <v>0</v>
      </c>
      <c r="E10" s="43" t="n">
        <f aca="false">Normalisering!E140+Normalisering!E141</f>
        <v>0</v>
      </c>
      <c r="F10" s="43" t="n">
        <f aca="false">Normalisering!F140+Normalisering!F141</f>
        <v>0</v>
      </c>
      <c r="G10" s="43" t="n">
        <f aca="false">Normalisering!G140+Normalisering!G141</f>
        <v>0</v>
      </c>
      <c r="H10" s="43" t="n">
        <f aca="false">Normalisering!H140+Normalisering!H141</f>
        <v>0</v>
      </c>
      <c r="I10" s="43" t="n">
        <f aca="false">Normalisering!I140+Normalisering!I141</f>
        <v>0</v>
      </c>
    </row>
    <row r="11" customFormat="false" ht="15" hidden="false" customHeight="true" outlineLevel="0" collapsed="false">
      <c r="A11" s="24" t="s">
        <v>458</v>
      </c>
      <c r="C11" s="43" t="n">
        <f aca="false">C7+C8+C9+C10</f>
        <v>0</v>
      </c>
      <c r="D11" s="43" t="n">
        <f aca="false">D7+D8+D9+D10</f>
        <v>0</v>
      </c>
      <c r="E11" s="43" t="n">
        <f aca="false">E7+E8+E9+E10</f>
        <v>0</v>
      </c>
      <c r="F11" s="43" t="n">
        <f aca="false">F7+F8+F9+F10</f>
        <v>0</v>
      </c>
      <c r="G11" s="43" t="n">
        <f aca="false">G7+G8+G9+G10</f>
        <v>0</v>
      </c>
      <c r="H11" s="43" t="n">
        <f aca="false">H7+H8+H9+H10</f>
        <v>0</v>
      </c>
      <c r="I11" s="43" t="n">
        <f aca="false">I7+I8+I9+I10</f>
        <v>0</v>
      </c>
    </row>
    <row r="12" customFormat="false" ht="15" hidden="false" customHeight="true" outlineLevel="0" collapsed="false">
      <c r="A12" s="24" t="s">
        <v>459</v>
      </c>
      <c r="C12" s="43" t="n">
        <f aca="false">SUMPRODUCT(Normalisering!C112:C119,Mätdata!$E$47:$E$54)/Byggnader!$C$10+SUMPRODUCT(Normalisering!C124:C131,Mätdata!$E$47:$E$54)+'Regler BFS 2026'!$B$4*(C9+Normalisering!C140)+'Regler BFS 2026'!$B$6*Normalisering!C141</f>
        <v>0</v>
      </c>
      <c r="D12" s="43" t="n">
        <f aca="false">SUMPRODUCT(Normalisering!D112:D119,Mätdata!$E$47:$E$54)/Byggnader!$C$10+SUMPRODUCT(Normalisering!D124:D131,Mätdata!$E$47:$E$54)+'Regler BFS 2026'!$B$4*(D9+Normalisering!D140)+'Regler BFS 2026'!$B$6*Normalisering!D141</f>
        <v>0</v>
      </c>
      <c r="E12" s="43" t="n">
        <f aca="false">SUMPRODUCT(Normalisering!E112:E119,Mätdata!$E$47:$E$54)/Byggnader!$C$10+SUMPRODUCT(Normalisering!E124:E131,Mätdata!$E$47:$E$54)+'Regler BFS 2026'!$B$4*(E9+Normalisering!E140)+'Regler BFS 2026'!$B$6*Normalisering!E141</f>
        <v>0</v>
      </c>
      <c r="F12" s="43" t="n">
        <f aca="false">SUMPRODUCT(Normalisering!F112:F119,Mätdata!$E$47:$E$54)/Byggnader!$C$10+SUMPRODUCT(Normalisering!F124:F131,Mätdata!$E$47:$E$54)+'Regler BFS 2026'!$B$4*(F9+Normalisering!F140)+'Regler BFS 2026'!$B$6*Normalisering!F141</f>
        <v>0</v>
      </c>
      <c r="G12" s="43" t="n">
        <f aca="false">SUMPRODUCT(Normalisering!G112:G119,Mätdata!$E$47:$E$54)/Byggnader!$C$10+SUMPRODUCT(Normalisering!G124:G131,Mätdata!$E$47:$E$54)+'Regler BFS 2026'!$B$4*(G9+Normalisering!G140)+'Regler BFS 2026'!$B$6*Normalisering!G141</f>
        <v>0</v>
      </c>
      <c r="H12" s="43" t="n">
        <f aca="false">SUMPRODUCT(Normalisering!H112:H119,Mätdata!$E$47:$E$54)/Byggnader!$C$10+SUMPRODUCT(Normalisering!H124:H131,Mätdata!$E$47:$E$54)+'Regler BFS 2026'!$B$4*(H9+Normalisering!H140)+'Regler BFS 2026'!$B$6*Normalisering!H141</f>
        <v>0</v>
      </c>
      <c r="I12" s="43" t="n">
        <f aca="false">SUMPRODUCT(Normalisering!I112:I119,Mätdata!$E$47:$E$54)/Byggnader!$C$10+SUMPRODUCT(Normalisering!I124:I131,Mätdata!$E$47:$E$54)+'Regler BFS 2026'!$B$4*(I9+Normalisering!I140)+'Regler BFS 2026'!$B$6*Normalisering!I141</f>
        <v>0</v>
      </c>
    </row>
    <row r="13" customFormat="false" ht="15" hidden="false" customHeight="true" outlineLevel="0" collapsed="false">
      <c r="A13" s="3" t="s">
        <v>460</v>
      </c>
      <c r="C13" s="41" t="str">
        <f aca="false">IF(C6=0,"",C12/C6)</f>
        <v/>
      </c>
      <c r="D13" s="41" t="str">
        <f aca="false">IF(D6=0,"",D12/D6)</f>
        <v/>
      </c>
      <c r="E13" s="41" t="str">
        <f aca="false">IF(E6=0,"",E12/E6)</f>
        <v/>
      </c>
      <c r="F13" s="41" t="str">
        <f aca="false">IF(F6=0,"",F12/F6)</f>
        <v/>
      </c>
      <c r="G13" s="41" t="str">
        <f aca="false">IF(G6=0,"",G12/G6)</f>
        <v/>
      </c>
      <c r="H13" s="41" t="str">
        <f aca="false">IF(H6=0,"",H12/H6)</f>
        <v/>
      </c>
      <c r="I13" s="41" t="str">
        <f aca="false">IF(I6=0,"",I12/I6)</f>
        <v/>
      </c>
    </row>
    <row r="14" customFormat="false" ht="15" hidden="false" customHeight="true" outlineLevel="0" collapsed="false">
      <c r="A14" s="24" t="s">
        <v>461</v>
      </c>
      <c r="C14" s="41" t="str">
        <f aca="false">IF(C6=0,"",C11/C6)</f>
        <v/>
      </c>
      <c r="D14" s="41" t="str">
        <f aca="false">IF(D6=0,"",D11/D6)</f>
        <v/>
      </c>
      <c r="E14" s="41" t="str">
        <f aca="false">IF(E6=0,"",E11/E6)</f>
        <v/>
      </c>
      <c r="F14" s="41" t="str">
        <f aca="false">IF(F6=0,"",F11/F6)</f>
        <v/>
      </c>
      <c r="G14" s="41" t="str">
        <f aca="false">IF(G6=0,"",G11/G6)</f>
        <v/>
      </c>
      <c r="H14" s="41" t="str">
        <f aca="false">IF(H6=0,"",H11/H6)</f>
        <v/>
      </c>
      <c r="I14" s="41" t="str">
        <f aca="false">IF(I6=0,"",I11/I6)</f>
        <v/>
      </c>
    </row>
    <row r="16" customFormat="false" ht="15" hidden="false" customHeight="true" outlineLevel="0" collapsed="false">
      <c r="A16" s="3" t="s">
        <v>462</v>
      </c>
    </row>
    <row r="17" customFormat="false" ht="15" hidden="false" customHeight="true" outlineLevel="0" collapsed="false">
      <c r="A17" s="24" t="s">
        <v>463</v>
      </c>
      <c r="C17" s="41" t="str">
        <f aca="false">IF(Normalisering!C$38=0,"",(SUMPRODUCT(Normalisering!C$27:C$37,'Regler BFS 2026'!$F$12:$F$22)+Byggnader!$C$7*SUMPRODUCT(Normalisering!C$27:C$37,'Regler BFS 2026'!$G$12:$G$22))/Normalisering!C$38)</f>
        <v/>
      </c>
      <c r="D17" s="41" t="str">
        <f aca="false">IF(Normalisering!D$38=0,"",(SUMPRODUCT(Normalisering!D$27:D$37,'Regler BFS 2026'!$F$12:$F$22)+Byggnader!$C$7*SUMPRODUCT(Normalisering!D$27:D$37,'Regler BFS 2026'!$G$12:$G$22))/Normalisering!D$38)</f>
        <v/>
      </c>
      <c r="E17" s="41" t="str">
        <f aca="false">IF(Normalisering!E$38=0,"",(SUMPRODUCT(Normalisering!E$27:E$37,'Regler BFS 2026'!$F$12:$F$22)+Byggnader!$C$7*SUMPRODUCT(Normalisering!E$27:E$37,'Regler BFS 2026'!$G$12:$G$22))/Normalisering!E$38)</f>
        <v/>
      </c>
      <c r="F17" s="41" t="str">
        <f aca="false">IF(Normalisering!F$38=0,"",(SUMPRODUCT(Normalisering!F$27:F$37,'Regler BFS 2026'!$F$12:$F$22)+Byggnader!$C$7*SUMPRODUCT(Normalisering!F$27:F$37,'Regler BFS 2026'!$G$12:$G$22))/Normalisering!F$38)</f>
        <v/>
      </c>
      <c r="G17" s="41" t="str">
        <f aca="false">IF(Normalisering!G$38=0,"",(SUMPRODUCT(Normalisering!G$27:G$37,'Regler BFS 2026'!$F$12:$F$22)+Byggnader!$C$7*SUMPRODUCT(Normalisering!G$27:G$37,'Regler BFS 2026'!$G$12:$G$22))/Normalisering!G$38)</f>
        <v/>
      </c>
      <c r="H17" s="41" t="str">
        <f aca="false">IF(Normalisering!H$38=0,"",(SUMPRODUCT(Normalisering!H$27:H$37,'Regler BFS 2026'!$F$12:$F$22)+Byggnader!$C$7*SUMPRODUCT(Normalisering!H$27:H$37,'Regler BFS 2026'!$G$12:$G$22))/Normalisering!H$38)</f>
        <v/>
      </c>
      <c r="I17" s="41" t="str">
        <f aca="false">IF(Normalisering!I$38=0,"",(SUMPRODUCT(Normalisering!I$27:I$37,'Regler BFS 2026'!$F$12:$F$22)+Byggnader!$C$7*SUMPRODUCT(Normalisering!I$27:I$37,'Regler BFS 2026'!$G$12:$G$22))/Normalisering!I$38)</f>
        <v/>
      </c>
    </row>
    <row r="18" customFormat="false" ht="15" hidden="false" customHeight="true" outlineLevel="0" collapsed="false">
      <c r="A18" s="24" t="s">
        <v>464</v>
      </c>
      <c r="C18" s="41" t="str">
        <f aca="false">IF(Normalisering!C$38=0,"",(SUMPRODUCT(Normalisering!C$27:C$37,'Regler BFS 2026'!$H$12:$H$22)+Byggnader!$C$7*SUMPRODUCT(Normalisering!C$27:C$37,'Regler BFS 2026'!$I$12:$I$22))/Normalisering!C$38)</f>
        <v/>
      </c>
      <c r="D18" s="41" t="str">
        <f aca="false">IF(Normalisering!D$38=0,"",(SUMPRODUCT(Normalisering!D$27:D$37,'Regler BFS 2026'!$H$12:$H$22)+Byggnader!$C$7*SUMPRODUCT(Normalisering!D$27:D$37,'Regler BFS 2026'!$I$12:$I$22))/Normalisering!D$38)</f>
        <v/>
      </c>
      <c r="E18" s="41" t="str">
        <f aca="false">IF(Normalisering!E$38=0,"",(SUMPRODUCT(Normalisering!E$27:E$37,'Regler BFS 2026'!$H$12:$H$22)+Byggnader!$C$7*SUMPRODUCT(Normalisering!E$27:E$37,'Regler BFS 2026'!$I$12:$I$22))/Normalisering!E$38)</f>
        <v/>
      </c>
      <c r="F18" s="41" t="str">
        <f aca="false">IF(Normalisering!F$38=0,"",(SUMPRODUCT(Normalisering!F$27:F$37,'Regler BFS 2026'!$H$12:$H$22)+Byggnader!$C$7*SUMPRODUCT(Normalisering!F$27:F$37,'Regler BFS 2026'!$I$12:$I$22))/Normalisering!F$38)</f>
        <v/>
      </c>
      <c r="G18" s="41" t="str">
        <f aca="false">IF(Normalisering!G$38=0,"",(SUMPRODUCT(Normalisering!G$27:G$37,'Regler BFS 2026'!$H$12:$H$22)+Byggnader!$C$7*SUMPRODUCT(Normalisering!G$27:G$37,'Regler BFS 2026'!$I$12:$I$22))/Normalisering!G$38)</f>
        <v/>
      </c>
      <c r="H18" s="41" t="str">
        <f aca="false">IF(Normalisering!H$38=0,"",(SUMPRODUCT(Normalisering!H$27:H$37,'Regler BFS 2026'!$H$12:$H$22)+Byggnader!$C$7*SUMPRODUCT(Normalisering!H$27:H$37,'Regler BFS 2026'!$I$12:$I$22))/Normalisering!H$38)</f>
        <v/>
      </c>
      <c r="I18" s="41" t="str">
        <f aca="false">IF(Normalisering!I$38=0,"",(SUMPRODUCT(Normalisering!I$27:I$37,'Regler BFS 2026'!$H$12:$H$22)+Byggnader!$C$7*SUMPRODUCT(Normalisering!I$27:I$37,'Regler BFS 2026'!$I$12:$I$22))/Normalisering!I$38)</f>
        <v/>
      </c>
    </row>
    <row r="19" customFormat="false" ht="15" hidden="false" customHeight="true" outlineLevel="0" collapsed="false">
      <c r="A19" s="24" t="s">
        <v>465</v>
      </c>
      <c r="C19" s="41" t="str">
        <f aca="false">IF(Normalisering!C$38=0,"",(SUMPRODUCT(Normalisering!C$27:C$37,'Regler BFS 2026'!$J$12:$J$22)+Byggnader!$C$7*SUMPRODUCT(Normalisering!C$27:C$37,'Regler BFS 2026'!$K$12:$K$22))/Normalisering!C$38)</f>
        <v/>
      </c>
      <c r="D19" s="41" t="str">
        <f aca="false">IF(Normalisering!D$38=0,"",(SUMPRODUCT(Normalisering!D$27:D$37,'Regler BFS 2026'!$J$12:$J$22)+Byggnader!$C$7*SUMPRODUCT(Normalisering!D$27:D$37,'Regler BFS 2026'!$K$12:$K$22))/Normalisering!D$38)</f>
        <v/>
      </c>
      <c r="E19" s="41" t="str">
        <f aca="false">IF(Normalisering!E$38=0,"",(SUMPRODUCT(Normalisering!E$27:E$37,'Regler BFS 2026'!$J$12:$J$22)+Byggnader!$C$7*SUMPRODUCT(Normalisering!E$27:E$37,'Regler BFS 2026'!$K$12:$K$22))/Normalisering!E$38)</f>
        <v/>
      </c>
      <c r="F19" s="41" t="str">
        <f aca="false">IF(Normalisering!F$38=0,"",(SUMPRODUCT(Normalisering!F$27:F$37,'Regler BFS 2026'!$J$12:$J$22)+Byggnader!$C$7*SUMPRODUCT(Normalisering!F$27:F$37,'Regler BFS 2026'!$K$12:$K$22))/Normalisering!F$38)</f>
        <v/>
      </c>
      <c r="G19" s="41" t="str">
        <f aca="false">IF(Normalisering!G$38=0,"",(SUMPRODUCT(Normalisering!G$27:G$37,'Regler BFS 2026'!$J$12:$J$22)+Byggnader!$C$7*SUMPRODUCT(Normalisering!G$27:G$37,'Regler BFS 2026'!$K$12:$K$22))/Normalisering!G$38)</f>
        <v/>
      </c>
      <c r="H19" s="41" t="str">
        <f aca="false">IF(Normalisering!H$38=0,"",(SUMPRODUCT(Normalisering!H$27:H$37,'Regler BFS 2026'!$J$12:$J$22)+Byggnader!$C$7*SUMPRODUCT(Normalisering!H$27:H$37,'Regler BFS 2026'!$K$12:$K$22))/Normalisering!H$38)</f>
        <v/>
      </c>
      <c r="I19" s="41" t="str">
        <f aca="false">IF(Normalisering!I$38=0,"",(SUMPRODUCT(Normalisering!I$27:I$37,'Regler BFS 2026'!$J$12:$J$22)+Byggnader!$C$7*SUMPRODUCT(Normalisering!I$27:I$37,'Regler BFS 2026'!$K$12:$K$22))/Normalisering!I$38)</f>
        <v/>
      </c>
    </row>
    <row r="20" customFormat="false" ht="15" hidden="false" customHeight="true" outlineLevel="0" collapsed="false">
      <c r="A20" s="24" t="s">
        <v>466</v>
      </c>
      <c r="C20" s="41" t="str">
        <f aca="false">IF(Normalisering!C$38=0,"",(SUMPRODUCT(Normalisering!C$27:C$37,'Regler BFS 2026'!$L$12:$L$22)+Byggnader!$C$7*SUMPRODUCT(Normalisering!C$27:C$37,'Regler BFS 2026'!$M$12:$M$22))/Normalisering!C$38)</f>
        <v/>
      </c>
      <c r="D20" s="41" t="str">
        <f aca="false">IF(Normalisering!D$38=0,"",(SUMPRODUCT(Normalisering!D$27:D$37,'Regler BFS 2026'!$L$12:$L$22)+Byggnader!$C$7*SUMPRODUCT(Normalisering!D$27:D$37,'Regler BFS 2026'!$M$12:$M$22))/Normalisering!D$38)</f>
        <v/>
      </c>
      <c r="E20" s="41" t="str">
        <f aca="false">IF(Normalisering!E$38=0,"",(SUMPRODUCT(Normalisering!E$27:E$37,'Regler BFS 2026'!$L$12:$L$22)+Byggnader!$C$7*SUMPRODUCT(Normalisering!E$27:E$37,'Regler BFS 2026'!$M$12:$M$22))/Normalisering!E$38)</f>
        <v/>
      </c>
      <c r="F20" s="41" t="str">
        <f aca="false">IF(Normalisering!F$38=0,"",(SUMPRODUCT(Normalisering!F$27:F$37,'Regler BFS 2026'!$L$12:$L$22)+Byggnader!$C$7*SUMPRODUCT(Normalisering!F$27:F$37,'Regler BFS 2026'!$M$12:$M$22))/Normalisering!F$38)</f>
        <v/>
      </c>
      <c r="G20" s="41" t="str">
        <f aca="false">IF(Normalisering!G$38=0,"",(SUMPRODUCT(Normalisering!G$27:G$37,'Regler BFS 2026'!$L$12:$L$22)+Byggnader!$C$7*SUMPRODUCT(Normalisering!G$27:G$37,'Regler BFS 2026'!$M$12:$M$22))/Normalisering!G$38)</f>
        <v/>
      </c>
      <c r="H20" s="41" t="str">
        <f aca="false">IF(Normalisering!H$38=0,"",(SUMPRODUCT(Normalisering!H$27:H$37,'Regler BFS 2026'!$L$12:$L$22)+Byggnader!$C$7*SUMPRODUCT(Normalisering!H$27:H$37,'Regler BFS 2026'!$M$12:$M$22))/Normalisering!H$38)</f>
        <v/>
      </c>
      <c r="I20" s="41" t="str">
        <f aca="false">IF(Normalisering!I$38=0,"",(SUMPRODUCT(Normalisering!I$27:I$37,'Regler BFS 2026'!$L$12:$L$22)+Byggnader!$C$7*SUMPRODUCT(Normalisering!I$27:I$37,'Regler BFS 2026'!$M$12:$M$22))/Normalisering!I$38)</f>
        <v/>
      </c>
    </row>
    <row r="21" customFormat="false" ht="15" hidden="false" customHeight="true" outlineLevel="0" collapsed="false">
      <c r="A21" s="24" t="s">
        <v>467</v>
      </c>
      <c r="C21" s="41" t="str">
        <f aca="false">IF(Normalisering!C$38=0,"",(SUMPRODUCT(Normalisering!C$27:C$37,'Regler BFS 2026'!$N$12:$N$22)+Byggnader!$C$7*SUMPRODUCT(Normalisering!C$27:C$37,'Regler BFS 2026'!$O$12:$O$22))/Normalisering!C$38)</f>
        <v/>
      </c>
      <c r="D21" s="41" t="str">
        <f aca="false">IF(Normalisering!D$38=0,"",(SUMPRODUCT(Normalisering!D$27:D$37,'Regler BFS 2026'!$N$12:$N$22)+Byggnader!$C$7*SUMPRODUCT(Normalisering!D$27:D$37,'Regler BFS 2026'!$O$12:$O$22))/Normalisering!D$38)</f>
        <v/>
      </c>
      <c r="E21" s="41" t="str">
        <f aca="false">IF(Normalisering!E$38=0,"",(SUMPRODUCT(Normalisering!E$27:E$37,'Regler BFS 2026'!$N$12:$N$22)+Byggnader!$C$7*SUMPRODUCT(Normalisering!E$27:E$37,'Regler BFS 2026'!$O$12:$O$22))/Normalisering!E$38)</f>
        <v/>
      </c>
      <c r="F21" s="41" t="str">
        <f aca="false">IF(Normalisering!F$38=0,"",(SUMPRODUCT(Normalisering!F$27:F$37,'Regler BFS 2026'!$N$12:$N$22)+Byggnader!$C$7*SUMPRODUCT(Normalisering!F$27:F$37,'Regler BFS 2026'!$O$12:$O$22))/Normalisering!F$38)</f>
        <v/>
      </c>
      <c r="G21" s="41" t="str">
        <f aca="false">IF(Normalisering!G$38=0,"",(SUMPRODUCT(Normalisering!G$27:G$37,'Regler BFS 2026'!$N$12:$N$22)+Byggnader!$C$7*SUMPRODUCT(Normalisering!G$27:G$37,'Regler BFS 2026'!$O$12:$O$22))/Normalisering!G$38)</f>
        <v/>
      </c>
      <c r="H21" s="41" t="str">
        <f aca="false">IF(Normalisering!H$38=0,"",(SUMPRODUCT(Normalisering!H$27:H$37,'Regler BFS 2026'!$N$12:$N$22)+Byggnader!$C$7*SUMPRODUCT(Normalisering!H$27:H$37,'Regler BFS 2026'!$O$12:$O$22))/Normalisering!H$38)</f>
        <v/>
      </c>
      <c r="I21" s="41" t="str">
        <f aca="false">IF(Normalisering!I$38=0,"",(SUMPRODUCT(Normalisering!I$27:I$37,'Regler BFS 2026'!$N$12:$N$22)+Byggnader!$C$7*SUMPRODUCT(Normalisering!I$27:I$37,'Regler BFS 2026'!$O$12:$O$22))/Normalisering!I$38)</f>
        <v/>
      </c>
    </row>
    <row r="22" customFormat="false" ht="15" hidden="false" customHeight="true" outlineLevel="0" collapsed="false">
      <c r="A22" s="24" t="s">
        <v>468</v>
      </c>
      <c r="C22" s="41" t="str">
        <f aca="false">IF(Normalisering!C$38=0,"",(SUMPRODUCT(Normalisering!C$27:C$37,'Regler BFS 2026'!$P$12:$P$22)+Byggnader!$C$7*SUMPRODUCT(Normalisering!C$27:C$37,'Regler BFS 2026'!$Q$12:$Q$22))/Normalisering!C$38)</f>
        <v/>
      </c>
      <c r="D22" s="41" t="str">
        <f aca="false">IF(Normalisering!D$38=0,"",(SUMPRODUCT(Normalisering!D$27:D$37,'Regler BFS 2026'!$P$12:$P$22)+Byggnader!$C$7*SUMPRODUCT(Normalisering!D$27:D$37,'Regler BFS 2026'!$Q$12:$Q$22))/Normalisering!D$38)</f>
        <v/>
      </c>
      <c r="E22" s="41" t="str">
        <f aca="false">IF(Normalisering!E$38=0,"",(SUMPRODUCT(Normalisering!E$27:E$37,'Regler BFS 2026'!$P$12:$P$22)+Byggnader!$C$7*SUMPRODUCT(Normalisering!E$27:E$37,'Regler BFS 2026'!$Q$12:$Q$22))/Normalisering!E$38)</f>
        <v/>
      </c>
      <c r="F22" s="41" t="str">
        <f aca="false">IF(Normalisering!F$38=0,"",(SUMPRODUCT(Normalisering!F$27:F$37,'Regler BFS 2026'!$P$12:$P$22)+Byggnader!$C$7*SUMPRODUCT(Normalisering!F$27:F$37,'Regler BFS 2026'!$Q$12:$Q$22))/Normalisering!F$38)</f>
        <v/>
      </c>
      <c r="G22" s="41" t="str">
        <f aca="false">IF(Normalisering!G$38=0,"",(SUMPRODUCT(Normalisering!G$27:G$37,'Regler BFS 2026'!$P$12:$P$22)+Byggnader!$C$7*SUMPRODUCT(Normalisering!G$27:G$37,'Regler BFS 2026'!$Q$12:$Q$22))/Normalisering!G$38)</f>
        <v/>
      </c>
      <c r="H22" s="41" t="str">
        <f aca="false">IF(Normalisering!H$38=0,"",(SUMPRODUCT(Normalisering!H$27:H$37,'Regler BFS 2026'!$P$12:$P$22)+Byggnader!$C$7*SUMPRODUCT(Normalisering!H$27:H$37,'Regler BFS 2026'!$Q$12:$Q$22))/Normalisering!H$38)</f>
        <v/>
      </c>
      <c r="I22" s="41" t="str">
        <f aca="false">IF(Normalisering!I$38=0,"",(SUMPRODUCT(Normalisering!I$27:I$37,'Regler BFS 2026'!$P$12:$P$22)+Byggnader!$C$7*SUMPRODUCT(Normalisering!I$27:I$37,'Regler BFS 2026'!$Q$12:$Q$22))/Normalisering!I$38)</f>
        <v/>
      </c>
    </row>
    <row r="24" customFormat="false" ht="15" hidden="false" customHeight="true" outlineLevel="0" collapsed="false">
      <c r="A24" s="3" t="s">
        <v>469</v>
      </c>
      <c r="C24" s="59" t="str">
        <f aca="false">IF(C13="","",IF(C13&lt;=C17,"A",IF(C13&lt;=C18,"B",IF(C13&lt;=C19,"C",IF(C13&lt;=C20,"D",IF(C13&lt;=C21,"E",IF(C13&lt;=C22,"F","G")))))))</f>
        <v/>
      </c>
      <c r="D24" s="59" t="str">
        <f aca="false">IF(D13="","",IF(D13&lt;=D17,"A",IF(D13&lt;=D18,"B",IF(D13&lt;=D19,"C",IF(D13&lt;=D20,"D",IF(D13&lt;=D21,"E",IF(D13&lt;=D22,"F","G")))))))</f>
        <v/>
      </c>
      <c r="E24" s="59" t="str">
        <f aca="false">IF(E13="","",IF(E13&lt;=E17,"A",IF(E13&lt;=E18,"B",IF(E13&lt;=E19,"C",IF(E13&lt;=E20,"D",IF(E13&lt;=E21,"E",IF(E13&lt;=E22,"F","G")))))))</f>
        <v/>
      </c>
      <c r="F24" s="59" t="str">
        <f aca="false">IF(F13="","",IF(F13&lt;=F17,"A",IF(F13&lt;=F18,"B",IF(F13&lt;=F19,"C",IF(F13&lt;=F20,"D",IF(F13&lt;=F21,"E",IF(F13&lt;=F22,"F","G")))))))</f>
        <v/>
      </c>
      <c r="G24" s="59" t="str">
        <f aca="false">IF(G13="","",IF(G13&lt;=G17,"A",IF(G13&lt;=G18,"B",IF(G13&lt;=G19,"C",IF(G13&lt;=G20,"D",IF(G13&lt;=G21,"E",IF(G13&lt;=G22,"F","G")))))))</f>
        <v/>
      </c>
      <c r="H24" s="59" t="str">
        <f aca="false">IF(H13="","",IF(H13&lt;=H17,"A",IF(H13&lt;=H18,"B",IF(H13&lt;=H19,"C",IF(H13&lt;=H20,"D",IF(H13&lt;=H21,"E",IF(H13&lt;=H22,"F","G")))))))</f>
        <v/>
      </c>
      <c r="I24" s="59" t="str">
        <f aca="false">IF(I13="","",IF(I13&lt;=I17,"A",IF(I13&lt;=I18,"B",IF(I13&lt;=I19,"C",IF(I13&lt;=I20,"D",IF(I13&lt;=I21,"E",IF(I13&lt;=I22,"F","G")))))))</f>
        <v/>
      </c>
    </row>
    <row r="25" customFormat="false" ht="15" hidden="false" customHeight="true" outlineLevel="0" collapsed="false">
      <c r="A25" s="24" t="s">
        <v>470</v>
      </c>
      <c r="C25" s="59" t="str">
        <f aca="false">IF(C6=0,"",IF(Normalisering!C60+Normalisering!C61&gt;0,"Ja","Nej"))</f>
        <v/>
      </c>
      <c r="D25" s="59" t="str">
        <f aca="false">IF(D6=0,"",IF(Normalisering!D60+Normalisering!D61&gt;0,"Ja","Nej"))</f>
        <v/>
      </c>
      <c r="E25" s="59" t="str">
        <f aca="false">IF(E6=0,"",IF(Normalisering!E60+Normalisering!E61&gt;0,"Ja","Nej"))</f>
        <v/>
      </c>
      <c r="F25" s="59" t="str">
        <f aca="false">IF(F6=0,"",IF(Normalisering!F60+Normalisering!F61&gt;0,"Ja","Nej"))</f>
        <v/>
      </c>
      <c r="G25" s="59" t="str">
        <f aca="false">IF(G6=0,"",IF(Normalisering!G60+Normalisering!G61&gt;0,"Ja","Nej"))</f>
        <v/>
      </c>
      <c r="H25" s="59" t="str">
        <f aca="false">IF(H6=0,"",IF(Normalisering!H60+Normalisering!H61&gt;0,"Ja","Nej"))</f>
        <v/>
      </c>
      <c r="I25" s="59" t="str">
        <f aca="false">IF(I6=0,"",IF(Normalisering!I60+Normalisering!I61&gt;0,"Ja","Nej"))</f>
        <v/>
      </c>
    </row>
    <row r="26" customFormat="false" ht="15" hidden="false" customHeight="true" outlineLevel="0" collapsed="false">
      <c r="A26" s="24" t="s">
        <v>471</v>
      </c>
      <c r="C26" s="59" t="str">
        <f aca="false">IF(C13="","",IF(C25="Ja","Ej uppfyllt (fossilt)",IF(C13&lt;=C18,"Uppfyllt","Ej uppfyllt")))</f>
        <v/>
      </c>
      <c r="D26" s="59" t="str">
        <f aca="false">IF(D13="","",IF(D25="Ja","Ej uppfyllt (fossilt)",IF(D13&lt;=D18,"Uppfyllt","Ej uppfyllt")))</f>
        <v/>
      </c>
      <c r="E26" s="59" t="str">
        <f aca="false">IF(E13="","",IF(E25="Ja","Ej uppfyllt (fossilt)",IF(E13&lt;=E18,"Uppfyllt","Ej uppfyllt")))</f>
        <v/>
      </c>
      <c r="F26" s="59" t="str">
        <f aca="false">IF(F13="","",IF(F25="Ja","Ej uppfyllt (fossilt)",IF(F13&lt;=F18,"Uppfyllt","Ej uppfyllt")))</f>
        <v/>
      </c>
      <c r="G26" s="59" t="str">
        <f aca="false">IF(G13="","",IF(G25="Ja","Ej uppfyllt (fossilt)",IF(G13&lt;=G18,"Uppfyllt","Ej uppfyllt")))</f>
        <v/>
      </c>
      <c r="H26" s="59" t="str">
        <f aca="false">IF(H13="","",IF(H25="Ja","Ej uppfyllt (fossilt)",IF(H13&lt;=H18,"Uppfyllt","Ej uppfyllt")))</f>
        <v/>
      </c>
      <c r="I26" s="59" t="str">
        <f aca="false">IF(I13="","",IF(I25="Ja","Ej uppfyllt (fossilt)",IF(I13&lt;=I18,"Uppfyllt","Ej uppfyllt")))</f>
        <v/>
      </c>
    </row>
    <row r="27" customFormat="false" ht="15" hidden="false" customHeight="true" outlineLevel="0" collapsed="false">
      <c r="A27" s="24" t="s">
        <v>472</v>
      </c>
      <c r="C27" s="41" t="str">
        <f aca="false">C17</f>
        <v/>
      </c>
      <c r="D27" s="41" t="str">
        <f aca="false">D17</f>
        <v/>
      </c>
      <c r="E27" s="41" t="str">
        <f aca="false">E17</f>
        <v/>
      </c>
      <c r="F27" s="41" t="str">
        <f aca="false">F17</f>
        <v/>
      </c>
      <c r="G27" s="41" t="str">
        <f aca="false">G17</f>
        <v/>
      </c>
      <c r="H27" s="41" t="str">
        <f aca="false">H17</f>
        <v/>
      </c>
      <c r="I27" s="41" t="str">
        <f aca="false">I17</f>
        <v/>
      </c>
    </row>
    <row r="28" customFormat="false" ht="15" hidden="false" customHeight="true" outlineLevel="0" collapsed="false">
      <c r="A28" s="24" t="s">
        <v>473</v>
      </c>
      <c r="C28" s="41" t="str">
        <f aca="false">C18</f>
        <v/>
      </c>
      <c r="D28" s="41" t="str">
        <f aca="false">D18</f>
        <v/>
      </c>
      <c r="E28" s="41" t="str">
        <f aca="false">E18</f>
        <v/>
      </c>
      <c r="F28" s="41" t="str">
        <f aca="false">F18</f>
        <v/>
      </c>
      <c r="G28" s="41" t="str">
        <f aca="false">G18</f>
        <v/>
      </c>
      <c r="H28" s="41" t="str">
        <f aca="false">H18</f>
        <v/>
      </c>
      <c r="I28" s="41" t="str">
        <f aca="false">I18</f>
        <v/>
      </c>
    </row>
    <row r="29" customFormat="false" ht="15" hidden="false" customHeight="true" outlineLevel="0" collapsed="false">
      <c r="A29" s="24" t="s">
        <v>474</v>
      </c>
      <c r="C29" s="41" t="str">
        <f aca="false">IF(Normalisering!C$38=0,"",(SUMPRODUCT(Normalisering!C$27:C$37,'Regler BFS 2026'!$R$12:$R$22)+Byggnader!$C$7*SUMPRODUCT(Normalisering!C$27:C$37,'Regler BFS 2026'!$S$12:$S$22))/Normalisering!C$38)</f>
        <v/>
      </c>
      <c r="D29" s="41" t="str">
        <f aca="false">IF(Normalisering!D$38=0,"",(SUMPRODUCT(Normalisering!D$27:D$37,'Regler BFS 2026'!$R$12:$R$22)+Byggnader!$C$7*SUMPRODUCT(Normalisering!D$27:D$37,'Regler BFS 2026'!$S$12:$S$22))/Normalisering!D$38)</f>
        <v/>
      </c>
      <c r="E29" s="41" t="str">
        <f aca="false">IF(Normalisering!E$38=0,"",(SUMPRODUCT(Normalisering!E$27:E$37,'Regler BFS 2026'!$R$12:$R$22)+Byggnader!$C$7*SUMPRODUCT(Normalisering!E$27:E$37,'Regler BFS 2026'!$S$12:$S$22))/Normalisering!E$38)</f>
        <v/>
      </c>
      <c r="F29" s="41" t="str">
        <f aca="false">IF(Normalisering!F$38=0,"",(SUMPRODUCT(Normalisering!F$27:F$37,'Regler BFS 2026'!$R$12:$R$22)+Byggnader!$C$7*SUMPRODUCT(Normalisering!F$27:F$37,'Regler BFS 2026'!$S$12:$S$22))/Normalisering!F$38)</f>
        <v/>
      </c>
      <c r="G29" s="41" t="str">
        <f aca="false">IF(Normalisering!G$38=0,"",(SUMPRODUCT(Normalisering!G$27:G$37,'Regler BFS 2026'!$R$12:$R$22)+Byggnader!$C$7*SUMPRODUCT(Normalisering!G$27:G$37,'Regler BFS 2026'!$S$12:$S$22))/Normalisering!G$38)</f>
        <v/>
      </c>
      <c r="H29" s="41" t="str">
        <f aca="false">IF(Normalisering!H$38=0,"",(SUMPRODUCT(Normalisering!H$27:H$37,'Regler BFS 2026'!$R$12:$R$22)+Byggnader!$C$7*SUMPRODUCT(Normalisering!H$27:H$37,'Regler BFS 2026'!$S$12:$S$22))/Normalisering!H$38)</f>
        <v/>
      </c>
      <c r="I29" s="41" t="str">
        <f aca="false">IF(Normalisering!I$38=0,"",(SUMPRODUCT(Normalisering!I$27:I$37,'Regler BFS 2026'!$R$12:$R$22)+Byggnader!$C$7*SUMPRODUCT(Normalisering!I$27:I$37,'Regler BFS 2026'!$S$12:$S$22))/Normalisering!I$38)</f>
        <v/>
      </c>
    </row>
    <row r="31" customFormat="false" ht="15" hidden="false" customHeight="true" outlineLevel="0" collapsed="false">
      <c r="A31" s="33" t="s">
        <v>475</v>
      </c>
    </row>
    <row r="32" customFormat="false" ht="15" hidden="false" customHeight="true" outlineLevel="0" collapsed="false">
      <c r="A32" s="24" t="s">
        <v>476</v>
      </c>
      <c r="C32" s="41" t="str">
        <f aca="false">IF(Byggnader!C51="","",Byggnader!C51)</f>
        <v/>
      </c>
      <c r="D32" s="41" t="str">
        <f aca="false">IF(Byggnader!D51="","",Byggnader!D51)</f>
        <v/>
      </c>
      <c r="E32" s="41" t="str">
        <f aca="false">IF(Byggnader!E51="","",Byggnader!E51)</f>
        <v/>
      </c>
      <c r="F32" s="41" t="str">
        <f aca="false">IF(Byggnader!F51="","",Byggnader!F51)</f>
        <v/>
      </c>
      <c r="G32" s="41" t="str">
        <f aca="false">IF(Byggnader!G51="","",Byggnader!G51)</f>
        <v/>
      </c>
      <c r="H32" s="41" t="str">
        <f aca="false">IF(Byggnader!H51="","",Byggnader!H51)</f>
        <v/>
      </c>
    </row>
    <row r="33" customFormat="false" ht="15" hidden="false" customHeight="true" outlineLevel="0" collapsed="false">
      <c r="A33" s="24" t="s">
        <v>477</v>
      </c>
      <c r="C33" s="59" t="str">
        <f aca="false">IF(Byggnader!C52="","",Byggnader!C52)</f>
        <v/>
      </c>
      <c r="D33" s="59" t="str">
        <f aca="false">IF(Byggnader!D52="","",Byggnader!D52)</f>
        <v/>
      </c>
      <c r="E33" s="59" t="str">
        <f aca="false">IF(Byggnader!E52="","",Byggnader!E52)</f>
        <v/>
      </c>
      <c r="F33" s="59" t="str">
        <f aca="false">IF(Byggnader!F52="","",Byggnader!F52)</f>
        <v/>
      </c>
      <c r="G33" s="59" t="str">
        <f aca="false">IF(Byggnader!G52="","",Byggnader!G52)</f>
        <v/>
      </c>
      <c r="H33" s="59" t="str">
        <f aca="false">IF(Byggnader!H52="","",Byggnader!H52)</f>
        <v/>
      </c>
    </row>
    <row r="34" customFormat="false" ht="15" hidden="false" customHeight="true" outlineLevel="0" collapsed="false">
      <c r="A34" s="24" t="s">
        <v>478</v>
      </c>
      <c r="C34" s="41" t="str">
        <f aca="false">IF(OR(C13="",C32=""),"",C13-C32)</f>
        <v/>
      </c>
      <c r="D34" s="41" t="str">
        <f aca="false">IF(OR(D13="",D32=""),"",D13-D32)</f>
        <v/>
      </c>
      <c r="E34" s="41" t="str">
        <f aca="false">IF(OR(E13="",E32=""),"",E13-E32)</f>
        <v/>
      </c>
      <c r="F34" s="41" t="str">
        <f aca="false">IF(OR(F13="",F32=""),"",F13-F32)</f>
        <v/>
      </c>
      <c r="G34" s="41" t="str">
        <f aca="false">IF(OR(G13="",G32=""),"",G13-G32)</f>
        <v/>
      </c>
      <c r="H34" s="41" t="str">
        <f aca="false">IF(OR(H13="",H32=""),"",H13-H32)</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32" activePane="bottomLeft" state="frozen"/>
      <selection pane="topLeft" activeCell="A1" activeCellId="0" sqref="A1"/>
      <selection pane="bottomLeft" activeCell="C57" activeCellId="0" sqref="C57"/>
    </sheetView>
  </sheetViews>
  <sheetFormatPr defaultColWidth="8.7109375" defaultRowHeight="15" zeroHeight="false" outlineLevelRow="0" outlineLevelCol="0"/>
  <cols>
    <col collapsed="false" customWidth="true" hidden="false" outlineLevel="0" max="1" min="1" style="1" width="52"/>
    <col collapsed="false" customWidth="true" hidden="false" outlineLevel="0" max="4" min="2" style="1" width="18"/>
    <col collapsed="false" customWidth="true" hidden="false" outlineLevel="0" max="5" min="5" style="1" width="16"/>
    <col collapsed="false" customWidth="true" hidden="false" outlineLevel="0" max="6" min="6" style="1" width="62"/>
  </cols>
  <sheetData>
    <row r="1" customFormat="false" ht="21.75" hidden="false" customHeight="true" outlineLevel="0" collapsed="false">
      <c r="A1" s="2" t="s">
        <v>479</v>
      </c>
    </row>
    <row r="2" customFormat="false" ht="15" hidden="false" customHeight="true" outlineLevel="0" collapsed="false">
      <c r="A2" s="32" t="s">
        <v>480</v>
      </c>
    </row>
    <row r="4" customFormat="false" ht="15" hidden="false" customHeight="true" outlineLevel="0" collapsed="false">
      <c r="A4" s="3" t="s">
        <v>13</v>
      </c>
      <c r="B4" s="34" t="s">
        <v>53</v>
      </c>
    </row>
    <row r="5" customFormat="false" ht="15" hidden="false" customHeight="true" outlineLevel="0" collapsed="false">
      <c r="A5" s="24" t="s">
        <v>481</v>
      </c>
      <c r="B5" s="41" t="n">
        <f aca="false">MATCH(B4,Byggnader!$C$12:$H$12,0)</f>
        <v>1</v>
      </c>
    </row>
    <row r="6" customFormat="false" ht="15" hidden="false" customHeight="true" outlineLevel="0" collapsed="false">
      <c r="A6" s="24" t="s">
        <v>482</v>
      </c>
      <c r="B6" s="59" t="str">
        <f aca="false">INDEX(Byggnader!$C$13:$H$13,$B$5)&amp;IF(INDEX(Byggnader!$C$14:$H$14,$B$5)="",""," – "&amp;INDEX(Byggnader!$C$14:$H$14,$B$5))</f>
        <v/>
      </c>
      <c r="C6" s="59"/>
      <c r="D6" s="59"/>
    </row>
    <row r="8" customFormat="false" ht="15" hidden="false" customHeight="true" outlineLevel="0" collapsed="false">
      <c r="A8" s="33" t="s">
        <v>483</v>
      </c>
    </row>
    <row r="9" customFormat="false" ht="15" hidden="false" customHeight="true" outlineLevel="0" collapsed="false">
      <c r="A9" s="24" t="s">
        <v>484</v>
      </c>
      <c r="B9" s="43" t="n">
        <f aca="false">INDEX(Normalisering!$C$26:$H$26,$B$5)</f>
        <v>0</v>
      </c>
    </row>
    <row r="10" customFormat="false" ht="15" hidden="false" customHeight="true" outlineLevel="0" collapsed="false">
      <c r="A10" s="24" t="s">
        <v>63</v>
      </c>
      <c r="B10" s="41" t="str">
        <f aca="false">IF(INDEX(Byggnader!$C$17:$H$17,$B$5)="","",INDEX(Byggnader!$C$17:$H$17,$B$5))</f>
        <v/>
      </c>
    </row>
    <row r="12" customFormat="false" ht="15" hidden="false" customHeight="true" outlineLevel="0" collapsed="false">
      <c r="A12" s="33" t="s">
        <v>105</v>
      </c>
    </row>
    <row r="13" customFormat="false" ht="25.5" hidden="false" customHeight="true" outlineLevel="0" collapsed="false">
      <c r="A13" s="38" t="s">
        <v>17</v>
      </c>
      <c r="B13" s="38" t="s">
        <v>485</v>
      </c>
    </row>
    <row r="14" customFormat="false" ht="15" hidden="false" customHeight="true" outlineLevel="0" collapsed="false">
      <c r="A14" s="24" t="s">
        <v>62</v>
      </c>
      <c r="B14" s="54" t="n">
        <f aca="false">IFERROR((INDEX(Normalisering!$C$27:$H$27,$B$5))/INDEX(Normalisering!$C$38:$H$38,$B$5),0)</f>
        <v>0</v>
      </c>
    </row>
    <row r="15" customFormat="false" ht="15" hidden="false" customHeight="true" outlineLevel="0" collapsed="false">
      <c r="A15" s="24" t="s">
        <v>486</v>
      </c>
      <c r="B15" s="54" t="n">
        <f aca="false">IFERROR((INDEX(Normalisering!$C$28:$H$28,$B$5)+INDEX(Normalisering!$C$29:$H$29,$B$5)+INDEX(Normalisering!$C$30:$H$30,$B$5))/INDEX(Normalisering!$C$38:$H$38,$B$5),0)</f>
        <v>0</v>
      </c>
    </row>
    <row r="16" customFormat="false" ht="15" hidden="false" customHeight="true" outlineLevel="0" collapsed="false">
      <c r="A16" s="24" t="s">
        <v>68</v>
      </c>
      <c r="B16" s="54" t="n">
        <f aca="false">IFERROR((INDEX(Normalisering!$C$31:$H$31,$B$5))/INDEX(Normalisering!$C$38:$H$38,$B$5),0)</f>
        <v>0</v>
      </c>
    </row>
    <row r="17" customFormat="false" ht="15" hidden="false" customHeight="true" outlineLevel="0" collapsed="false">
      <c r="A17" s="24" t="s">
        <v>69</v>
      </c>
      <c r="B17" s="54" t="n">
        <f aca="false">IFERROR((INDEX(Normalisering!$C$32:$H$32,$B$5))/INDEX(Normalisering!$C$38:$H$38,$B$5),0)</f>
        <v>0</v>
      </c>
    </row>
    <row r="18" customFormat="false" ht="15" hidden="false" customHeight="true" outlineLevel="0" collapsed="false">
      <c r="A18" s="24" t="s">
        <v>70</v>
      </c>
      <c r="B18" s="54" t="n">
        <f aca="false">IFERROR((INDEX(Normalisering!$C$33:$H$33,$B$5))/INDEX(Normalisering!$C$38:$H$38,$B$5),0)</f>
        <v>0</v>
      </c>
    </row>
    <row r="19" customFormat="false" ht="15" hidden="false" customHeight="true" outlineLevel="0" collapsed="false">
      <c r="A19" s="24" t="s">
        <v>71</v>
      </c>
      <c r="B19" s="54" t="n">
        <f aca="false">IFERROR((INDEX(Normalisering!$C$34:$H$34,$B$5))/INDEX(Normalisering!$C$38:$H$38,$B$5),0)</f>
        <v>0</v>
      </c>
    </row>
    <row r="20" customFormat="false" ht="15" hidden="false" customHeight="true" outlineLevel="0" collapsed="false">
      <c r="A20" s="24" t="s">
        <v>72</v>
      </c>
      <c r="B20" s="54" t="n">
        <f aca="false">IFERROR((INDEX(Normalisering!$C$35:$H$35,$B$5))/INDEX(Normalisering!$C$38:$H$38,$B$5),0)</f>
        <v>0</v>
      </c>
    </row>
    <row r="21" customFormat="false" ht="15" hidden="false" customHeight="true" outlineLevel="0" collapsed="false">
      <c r="A21" s="24" t="s">
        <v>73</v>
      </c>
      <c r="B21" s="54" t="n">
        <f aca="false">IFERROR((INDEX(Normalisering!$C$36:$H$36,$B$5))/INDEX(Normalisering!$C$38:$H$38,$B$5),0)</f>
        <v>0</v>
      </c>
    </row>
    <row r="22" customFormat="false" ht="15" hidden="false" customHeight="true" outlineLevel="0" collapsed="false">
      <c r="A22" s="24" t="s">
        <v>74</v>
      </c>
      <c r="B22" s="54" t="n">
        <f aca="false">IFERROR((INDEX(Normalisering!$C$37:$H$37,$B$5))/INDEX(Normalisering!$C$38:$H$38,$B$5),0)</f>
        <v>0</v>
      </c>
    </row>
    <row r="23" customFormat="false" ht="15" hidden="false" customHeight="true" outlineLevel="0" collapsed="false">
      <c r="A23" s="3" t="s">
        <v>24</v>
      </c>
      <c r="B23" s="54" t="n">
        <f aca="false">SUM(B14:B22)</f>
        <v>0</v>
      </c>
    </row>
    <row r="25" customFormat="false" ht="15" hidden="false" customHeight="true" outlineLevel="0" collapsed="false">
      <c r="A25" s="33" t="s">
        <v>487</v>
      </c>
    </row>
    <row r="26" customFormat="false" ht="15" hidden="false" customHeight="true" outlineLevel="0" collapsed="false">
      <c r="A26" s="24" t="s">
        <v>488</v>
      </c>
      <c r="B26" s="175" t="n">
        <f aca="false">Byggnader!C8</f>
        <v>0</v>
      </c>
    </row>
    <row r="27" customFormat="false" ht="15" hidden="false" customHeight="true" outlineLevel="0" collapsed="false">
      <c r="A27" s="24" t="s">
        <v>489</v>
      </c>
      <c r="B27" s="175" t="n">
        <f aca="false">Byggnader!C9</f>
        <v>0</v>
      </c>
    </row>
    <row r="28" customFormat="false" ht="15" hidden="false" customHeight="true" outlineLevel="0" collapsed="false">
      <c r="A28" s="24" t="s">
        <v>490</v>
      </c>
      <c r="B28" s="59" t="str">
        <f aca="false">Byggnader!C6</f>
        <v>Karlstad</v>
      </c>
    </row>
    <row r="30" customFormat="false" ht="15" hidden="false" customHeight="true" outlineLevel="0" collapsed="false">
      <c r="A30" s="3" t="s">
        <v>491</v>
      </c>
    </row>
    <row r="31" customFormat="false" ht="25.5" hidden="false" customHeight="true" outlineLevel="0" collapsed="false">
      <c r="A31" s="38" t="s">
        <v>492</v>
      </c>
      <c r="B31" s="38" t="s">
        <v>493</v>
      </c>
      <c r="C31" s="38" t="s">
        <v>169</v>
      </c>
      <c r="D31" s="38" t="s">
        <v>171</v>
      </c>
    </row>
    <row r="32" customFormat="false" ht="15" hidden="false" customHeight="true" outlineLevel="0" collapsed="false">
      <c r="A32" s="176" t="str">
        <f aca="false">Mätdata!F47</f>
        <v>Fjärrvärme</v>
      </c>
      <c r="B32" s="43" t="n">
        <f aca="false">INDEX(Normalisering!$C$112:$H$112,$B$5)</f>
        <v>0</v>
      </c>
      <c r="C32" s="43" t="n">
        <f aca="false">INDEX(Normalisering!$C$81:$H$81,$B$5)</f>
        <v>0</v>
      </c>
      <c r="D32" s="174" t="n">
        <f aca="false">Mätdata!D47</f>
        <v>1</v>
      </c>
    </row>
    <row r="33" customFormat="false" ht="15" hidden="false" customHeight="true" outlineLevel="0" collapsed="false">
      <c r="A33" s="176" t="str">
        <f aca="false">Mätdata!F48</f>
        <v>Värmepump – välj typ</v>
      </c>
      <c r="B33" s="43" t="n">
        <f aca="false">INDEX(Normalisering!$C$113:$H$113,$B$5)</f>
        <v>0</v>
      </c>
      <c r="C33" s="43" t="n">
        <f aca="false">INDEX(Normalisering!$C$82:$H$82,$B$5)</f>
        <v>0</v>
      </c>
      <c r="D33" s="174" t="n">
        <f aca="false">Mätdata!D48</f>
        <v>2.5</v>
      </c>
    </row>
    <row r="34" customFormat="false" ht="15" hidden="false" customHeight="true" outlineLevel="0" collapsed="false">
      <c r="A34" s="176" t="str">
        <f aca="false">Mätdata!F49</f>
        <v>El – välj typ</v>
      </c>
      <c r="B34" s="43" t="n">
        <f aca="false">INDEX(Normalisering!$C$114:$H$114,$B$5)</f>
        <v>0</v>
      </c>
      <c r="C34" s="43" t="n">
        <f aca="false">INDEX(Normalisering!$C$83:$H$83,$B$5)</f>
        <v>0</v>
      </c>
      <c r="D34" s="174" t="n">
        <f aca="false">Mätdata!D49</f>
        <v>1</v>
      </c>
    </row>
    <row r="35" customFormat="false" ht="15" hidden="false" customHeight="true" outlineLevel="0" collapsed="false">
      <c r="A35" s="176" t="str">
        <f aca="false">Mätdata!F50</f>
        <v>Olja</v>
      </c>
      <c r="B35" s="43" t="n">
        <f aca="false">INDEX(Normalisering!$C$115:$H$115,$B$5)</f>
        <v>0</v>
      </c>
      <c r="C35" s="43" t="n">
        <f aca="false">INDEX(Normalisering!$C$84:$H$84,$B$5)</f>
        <v>0</v>
      </c>
      <c r="D35" s="174" t="n">
        <f aca="false">Mätdata!D50</f>
        <v>0.85</v>
      </c>
    </row>
    <row r="36" customFormat="false" ht="15" hidden="false" customHeight="true" outlineLevel="0" collapsed="false">
      <c r="A36" s="176" t="str">
        <f aca="false">Mätdata!F51</f>
        <v>Gas</v>
      </c>
      <c r="B36" s="43" t="n">
        <f aca="false">INDEX(Normalisering!$C$116:$H$116,$B$5)</f>
        <v>0</v>
      </c>
      <c r="C36" s="43" t="n">
        <f aca="false">INDEX(Normalisering!$C$85:$H$85,$B$5)</f>
        <v>0</v>
      </c>
      <c r="D36" s="174" t="n">
        <f aca="false">Mätdata!D51</f>
        <v>0.9</v>
      </c>
    </row>
    <row r="37" customFormat="false" ht="15" hidden="false" customHeight="true" outlineLevel="0" collapsed="false">
      <c r="A37" s="176" t="str">
        <f aca="false">Mätdata!F52</f>
        <v>Flis/pellets/briketter</v>
      </c>
      <c r="B37" s="43" t="n">
        <f aca="false">INDEX(Normalisering!$C$117:$H$117,$B$5)</f>
        <v>0</v>
      </c>
      <c r="C37" s="43" t="n">
        <f aca="false">INDEX(Normalisering!$C$86:$H$86,$B$5)</f>
        <v>0</v>
      </c>
      <c r="D37" s="174" t="n">
        <f aca="false">Mätdata!D52</f>
        <v>0.85</v>
      </c>
    </row>
    <row r="38" customFormat="false" ht="15" hidden="false" customHeight="true" outlineLevel="0" collapsed="false">
      <c r="A38" s="176" t="str">
        <f aca="false">Mätdata!F53</f>
        <v>Ved</v>
      </c>
      <c r="B38" s="43" t="n">
        <f aca="false">INDEX(Normalisering!$C$118:$H$118,$B$5)</f>
        <v>0</v>
      </c>
      <c r="C38" s="43" t="n">
        <f aca="false">INDEX(Normalisering!$C$87:$H$87,$B$5)</f>
        <v>0</v>
      </c>
      <c r="D38" s="174" t="n">
        <f aca="false">Mätdata!D53</f>
        <v>0.75</v>
      </c>
    </row>
    <row r="39" customFormat="false" ht="15" hidden="false" customHeight="true" outlineLevel="0" collapsed="false">
      <c r="A39" s="176" t="str">
        <f aca="false">Mätdata!F54</f>
        <v>Övrigt biobränsle</v>
      </c>
      <c r="B39" s="43" t="n">
        <f aca="false">INDEX(Normalisering!$C$119:$H$119,$B$5)</f>
        <v>0</v>
      </c>
      <c r="C39" s="43" t="n">
        <f aca="false">INDEX(Normalisering!$C$88:$H$88,$B$5)</f>
        <v>0</v>
      </c>
      <c r="D39" s="174" t="n">
        <f aca="false">Mätdata!D54</f>
        <v>0.85</v>
      </c>
    </row>
    <row r="41" customFormat="false" ht="15" hidden="false" customHeight="true" outlineLevel="0" collapsed="false">
      <c r="A41" s="3" t="s">
        <v>494</v>
      </c>
    </row>
    <row r="42" customFormat="false" ht="25.5" hidden="false" customHeight="true" outlineLevel="0" collapsed="false">
      <c r="A42" s="38" t="s">
        <v>492</v>
      </c>
      <c r="B42" s="38" t="s">
        <v>493</v>
      </c>
      <c r="C42" s="38" t="s">
        <v>169</v>
      </c>
      <c r="D42" s="38" t="s">
        <v>171</v>
      </c>
    </row>
    <row r="43" customFormat="false" ht="15" hidden="false" customHeight="true" outlineLevel="0" collapsed="false">
      <c r="A43" s="176" t="str">
        <f aca="false">Mätdata!F47</f>
        <v>Fjärrvärme</v>
      </c>
      <c r="B43" s="43" t="n">
        <f aca="false">INDEX(Normalisering!$C$124:$H$124,$B$5)</f>
        <v>0</v>
      </c>
      <c r="C43" s="43" t="n">
        <f aca="false">INDEX(Normalisering!$C$69:$H$69,$B$5)</f>
        <v>0</v>
      </c>
      <c r="D43" s="174" t="n">
        <f aca="false">Mätdata!D47</f>
        <v>1</v>
      </c>
    </row>
    <row r="44" customFormat="false" ht="15" hidden="false" customHeight="true" outlineLevel="0" collapsed="false">
      <c r="A44" s="176" t="str">
        <f aca="false">Mätdata!F48</f>
        <v>Värmepump – välj typ</v>
      </c>
      <c r="B44" s="43" t="n">
        <f aca="false">INDEX(Normalisering!$C$125:$H$125,$B$5)</f>
        <v>0</v>
      </c>
      <c r="C44" s="43" t="n">
        <f aca="false">INDEX(Normalisering!$C$70:$H$70,$B$5)</f>
        <v>0</v>
      </c>
      <c r="D44" s="174" t="n">
        <f aca="false">Mätdata!D48</f>
        <v>2.5</v>
      </c>
    </row>
    <row r="45" customFormat="false" ht="15" hidden="false" customHeight="true" outlineLevel="0" collapsed="false">
      <c r="A45" s="176" t="str">
        <f aca="false">Mätdata!F49</f>
        <v>El – välj typ</v>
      </c>
      <c r="B45" s="43" t="n">
        <f aca="false">INDEX(Normalisering!$C$126:$H$126,$B$5)</f>
        <v>0</v>
      </c>
      <c r="C45" s="43" t="n">
        <f aca="false">INDEX(Normalisering!$C$71:$H$71,$B$5)</f>
        <v>0</v>
      </c>
      <c r="D45" s="174" t="n">
        <f aca="false">Mätdata!D49</f>
        <v>1</v>
      </c>
    </row>
    <row r="46" customFormat="false" ht="15" hidden="false" customHeight="true" outlineLevel="0" collapsed="false">
      <c r="A46" s="176" t="str">
        <f aca="false">Mätdata!F50</f>
        <v>Olja</v>
      </c>
      <c r="B46" s="43" t="n">
        <f aca="false">INDEX(Normalisering!$C$127:$H$127,$B$5)</f>
        <v>0</v>
      </c>
      <c r="C46" s="43" t="n">
        <f aca="false">INDEX(Normalisering!$C$72:$H$72,$B$5)</f>
        <v>0</v>
      </c>
      <c r="D46" s="174" t="n">
        <f aca="false">Mätdata!D50</f>
        <v>0.85</v>
      </c>
    </row>
    <row r="47" customFormat="false" ht="15" hidden="false" customHeight="true" outlineLevel="0" collapsed="false">
      <c r="A47" s="176" t="str">
        <f aca="false">Mätdata!F51</f>
        <v>Gas</v>
      </c>
      <c r="B47" s="43" t="n">
        <f aca="false">INDEX(Normalisering!$C$128:$H$128,$B$5)</f>
        <v>0</v>
      </c>
      <c r="C47" s="43" t="n">
        <f aca="false">INDEX(Normalisering!$C$73:$H$73,$B$5)</f>
        <v>0</v>
      </c>
      <c r="D47" s="174" t="n">
        <f aca="false">Mätdata!D51</f>
        <v>0.9</v>
      </c>
    </row>
    <row r="48" customFormat="false" ht="15" hidden="false" customHeight="true" outlineLevel="0" collapsed="false">
      <c r="A48" s="176" t="str">
        <f aca="false">Mätdata!F52</f>
        <v>Flis/pellets/briketter</v>
      </c>
      <c r="B48" s="43" t="n">
        <f aca="false">INDEX(Normalisering!$C$129:$H$129,$B$5)</f>
        <v>0</v>
      </c>
      <c r="C48" s="43" t="n">
        <f aca="false">INDEX(Normalisering!$C$74:$H$74,$B$5)</f>
        <v>0</v>
      </c>
      <c r="D48" s="174" t="n">
        <f aca="false">Mätdata!D52</f>
        <v>0.85</v>
      </c>
    </row>
    <row r="49" customFormat="false" ht="15" hidden="false" customHeight="true" outlineLevel="0" collapsed="false">
      <c r="A49" s="176" t="str">
        <f aca="false">Mätdata!F53</f>
        <v>Ved</v>
      </c>
      <c r="B49" s="43" t="n">
        <f aca="false">INDEX(Normalisering!$C$130:$H$130,$B$5)</f>
        <v>0</v>
      </c>
      <c r="C49" s="43" t="n">
        <f aca="false">INDEX(Normalisering!$C$75:$H$75,$B$5)</f>
        <v>0</v>
      </c>
      <c r="D49" s="174" t="n">
        <f aca="false">Mätdata!D53</f>
        <v>0.75</v>
      </c>
    </row>
    <row r="50" customFormat="false" ht="15" hidden="false" customHeight="true" outlineLevel="0" collapsed="false">
      <c r="A50" s="176" t="str">
        <f aca="false">Mätdata!F54</f>
        <v>Övrigt biobränsle</v>
      </c>
      <c r="B50" s="43" t="n">
        <f aca="false">INDEX(Normalisering!$C$131:$H$131,$B$5)</f>
        <v>0</v>
      </c>
      <c r="C50" s="43" t="n">
        <f aca="false">INDEX(Normalisering!$C$76:$H$76,$B$5)</f>
        <v>0</v>
      </c>
      <c r="D50" s="174" t="n">
        <f aca="false">Mätdata!D54</f>
        <v>0.85</v>
      </c>
    </row>
    <row r="52" customFormat="false" ht="15" hidden="false" customHeight="true" outlineLevel="0" collapsed="false">
      <c r="A52" s="3" t="s">
        <v>495</v>
      </c>
    </row>
    <row r="53" customFormat="false" ht="25.5" hidden="false" customHeight="true" outlineLevel="0" collapsed="false">
      <c r="A53" s="38" t="s">
        <v>492</v>
      </c>
      <c r="B53" s="38" t="s">
        <v>493</v>
      </c>
      <c r="C53" s="38" t="s">
        <v>169</v>
      </c>
      <c r="D53" s="38" t="s">
        <v>171</v>
      </c>
    </row>
    <row r="54" customFormat="false" ht="15" hidden="false" customHeight="true" outlineLevel="0" collapsed="false">
      <c r="A54" s="24" t="s">
        <v>194</v>
      </c>
      <c r="B54" s="43" t="n">
        <f aca="false">INDEX(Normalisering!$C$140:$H$140,$B$5)</f>
        <v>0</v>
      </c>
      <c r="C54" s="43" t="n">
        <f aca="false">INDEX(Normalisering!$C$140:$H$140,$B$5)</f>
        <v>0</v>
      </c>
    </row>
    <row r="55" customFormat="false" ht="15" hidden="false" customHeight="true" outlineLevel="0" collapsed="false">
      <c r="A55" s="24" t="s">
        <v>449</v>
      </c>
      <c r="B55" s="43" t="n">
        <f aca="false">INDEX(Normalisering!$C$141:$H$141,$B$5)</f>
        <v>0</v>
      </c>
      <c r="C55" s="43" t="n">
        <f aca="false">INDEX(Normalisering!$C$141:$H$141,$B$5)</f>
        <v>0</v>
      </c>
    </row>
    <row r="56" customFormat="false" ht="15" hidden="false" customHeight="true" outlineLevel="0" collapsed="false">
      <c r="A56" s="24" t="s">
        <v>496</v>
      </c>
      <c r="B56" s="43" t="n">
        <f aca="false">INDEX(Normalisering!$C$139:$H$139,$B$5)</f>
        <v>0</v>
      </c>
      <c r="C56" s="43" t="n">
        <f aca="false">INDEX(Normalisering!$C$139:$H$139,$B$5)</f>
        <v>0</v>
      </c>
    </row>
    <row r="58" customFormat="false" ht="15" hidden="false" customHeight="true" outlineLevel="0" collapsed="false">
      <c r="A58" s="3" t="s">
        <v>497</v>
      </c>
    </row>
    <row r="59" customFormat="false" ht="15" hidden="false" customHeight="true" outlineLevel="0" collapsed="false">
      <c r="A59" s="24" t="s">
        <v>498</v>
      </c>
      <c r="B59" s="43" t="n">
        <f aca="false">INDEX(Normalisering!$C$138:$H$138,$B$5)+INDEX(Normalisering!$C$142:$H$142,$B$5)</f>
        <v>0</v>
      </c>
    </row>
    <row r="60" customFormat="false" ht="15" hidden="false" customHeight="true" outlineLevel="0" collapsed="false">
      <c r="A60" s="24" t="s">
        <v>499</v>
      </c>
      <c r="B60" s="35" t="n">
        <f aca="false">INDEX(Solceller!$C$13:$H$13,$B$5)</f>
        <v>0</v>
      </c>
      <c r="C60" s="43" t="n">
        <f aca="false">INDEX(Solceller!$C$16:$H$16,$B$5)</f>
        <v>0</v>
      </c>
      <c r="D60" s="51"/>
    </row>
    <row r="61" customFormat="false" ht="15" hidden="false" customHeight="true" outlineLevel="0" collapsed="false">
      <c r="A61" s="3" t="s">
        <v>500</v>
      </c>
    </row>
    <row r="62" customFormat="false" ht="15" hidden="false" customHeight="true" outlineLevel="0" collapsed="false">
      <c r="A62" s="24" t="s">
        <v>196</v>
      </c>
      <c r="B62" s="43" t="n">
        <f aca="false">INDEX(Normalisering!$C$143:$H$143,$B$5)</f>
        <v>0</v>
      </c>
    </row>
    <row r="63" customFormat="false" ht="15" hidden="false" customHeight="true" outlineLevel="0" collapsed="false">
      <c r="A63" s="24" t="s">
        <v>23</v>
      </c>
      <c r="B63" s="43" t="n">
        <f aca="false">INDEX(Normalisering!$C$144:$H$144,$B$5)</f>
        <v>0</v>
      </c>
    </row>
    <row r="64" customFormat="false" ht="15" hidden="false" customHeight="true" outlineLevel="0" collapsed="false">
      <c r="A64" s="24" t="s">
        <v>501</v>
      </c>
      <c r="B64" s="43" t="n">
        <f aca="false">INDEX(Normalisering!$C$145:$H$145,$B$5)</f>
        <v>0</v>
      </c>
    </row>
    <row r="66" customFormat="false" ht="15" hidden="false" customHeight="true" outlineLevel="0" collapsed="false">
      <c r="A66" s="33" t="s">
        <v>502</v>
      </c>
    </row>
    <row r="67" customFormat="false" ht="15" hidden="false" customHeight="true" outlineLevel="0" collapsed="false">
      <c r="A67" s="32" t="s">
        <v>503</v>
      </c>
    </row>
    <row r="68" customFormat="false" ht="15" hidden="false" customHeight="true" outlineLevel="0" collapsed="false">
      <c r="A68" s="24" t="s">
        <v>504</v>
      </c>
      <c r="B68" s="41" t="str">
        <f aca="false">INDEX(Resultat!$C$13:$H$13,$B$5)</f>
        <v/>
      </c>
    </row>
    <row r="69" customFormat="false" ht="15" hidden="false" customHeight="true" outlineLevel="0" collapsed="false">
      <c r="A69" s="24" t="s">
        <v>458</v>
      </c>
      <c r="B69" s="43" t="n">
        <f aca="false">INDEX(Resultat!$C$11:$H$11,$B$5)</f>
        <v>0</v>
      </c>
    </row>
    <row r="70" customFormat="false" ht="15" hidden="false" customHeight="true" outlineLevel="0" collapsed="false">
      <c r="A70" s="24" t="s">
        <v>459</v>
      </c>
      <c r="B70" s="43" t="n">
        <f aca="false">INDEX(Resultat!$C$12:$H$12,$B$5)</f>
        <v>0</v>
      </c>
    </row>
    <row r="71" customFormat="false" ht="15" hidden="false" customHeight="true" outlineLevel="0" collapsed="false">
      <c r="A71" s="24" t="s">
        <v>505</v>
      </c>
      <c r="B71" s="41" t="str">
        <f aca="false">INDEX(Resultat!$C$27:$H$27,$B$5)</f>
        <v/>
      </c>
    </row>
    <row r="72" customFormat="false" ht="15" hidden="false" customHeight="true" outlineLevel="0" collapsed="false">
      <c r="A72" s="24" t="s">
        <v>506</v>
      </c>
      <c r="B72" s="41" t="str">
        <f aca="false">INDEX(Resultat!$C$28:$H$28,$B$5)</f>
        <v/>
      </c>
    </row>
    <row r="73" customFormat="false" ht="15" hidden="false" customHeight="true" outlineLevel="0" collapsed="false">
      <c r="A73" s="24" t="s">
        <v>93</v>
      </c>
      <c r="B73" s="59" t="str">
        <f aca="false">INDEX(Resultat!$C$24:$H$24,$B$5)</f>
        <v/>
      </c>
    </row>
    <row r="74" customFormat="false" ht="15" hidden="false" customHeight="true" outlineLevel="0" collapsed="false">
      <c r="A74" s="24" t="s">
        <v>507</v>
      </c>
      <c r="B74" s="43" t="n">
        <f aca="false">INDEX(Normalisering!$C$120:$H$120,$B$5)+INDEX(Normalisering!$C$140:$H$140,$B$5)+INDEX(Normalisering!$C$141:$H$141,$B$5)</f>
        <v>0</v>
      </c>
    </row>
    <row r="76" customFormat="false" ht="15" hidden="false" customHeight="true" outlineLevel="0" collapsed="false">
      <c r="A76" s="33" t="s">
        <v>508</v>
      </c>
    </row>
    <row r="77" customFormat="false" ht="25.5" hidden="false" customHeight="true" outlineLevel="0" collapsed="false">
      <c r="A77" s="38" t="s">
        <v>509</v>
      </c>
      <c r="B77" s="38" t="s">
        <v>510</v>
      </c>
      <c r="C77" s="38" t="s">
        <v>511</v>
      </c>
      <c r="D77" s="38" t="s">
        <v>512</v>
      </c>
      <c r="E77" s="38" t="s">
        <v>513</v>
      </c>
      <c r="F77" s="38" t="s">
        <v>514</v>
      </c>
    </row>
    <row r="78" customFormat="false" ht="25.5" hidden="false" customHeight="true" outlineLevel="0" collapsed="false">
      <c r="A78" s="24" t="s">
        <v>515</v>
      </c>
      <c r="B78" s="35" t="n">
        <f aca="false">INDEX(Normalisering!$C$14:$H$14,$B$5)</f>
        <v>21</v>
      </c>
      <c r="C78" s="35" t="n">
        <f aca="false">INDEX(Normalisering!$C$39:$H$39,$B$5)</f>
        <v>0</v>
      </c>
      <c r="D78" s="59" t="str">
        <f aca="false">INDEX(Normalisering!$C$19:$H$19,$B$5)</f>
        <v>Ja</v>
      </c>
      <c r="E78" s="35" t="n">
        <f aca="false">IFERROR(INDEX(Normalisering!$C$105:$H$105,$B$5)/$B$9,0)</f>
        <v>0</v>
      </c>
      <c r="F78" s="177" t="str">
        <f aca="false">IF(ABS(B78-C78)&lt;0.005,"Faktisk användning motsvarar kategoritypisk.",IF(D78="Ja","Normaliserat från "&amp;FIXED(B78,1)&amp;" till kategoritypiska "&amp;FIXED(C78,1)&amp;" °C. Påverkan "&amp;FIXED(E78,1)&amp;" kWh/m²,år.","Ej normaliserat, avvikelsen bedöms försumbar."))</f>
        <v>Normaliserat från 21.0 till kategoritypiska 0.0 °C. Påverkan 0.0 kWh/m²,år.</v>
      </c>
    </row>
    <row r="79" customFormat="false" ht="25.5" hidden="false" customHeight="true" outlineLevel="0" collapsed="false">
      <c r="A79" s="24" t="s">
        <v>516</v>
      </c>
      <c r="B79" s="174" t="n">
        <f aca="false">INDEX(Normalisering!$C$15:$H$15,$B$5)</f>
        <v>0.35</v>
      </c>
      <c r="C79" s="174" t="n">
        <f aca="false">INDEX(Normalisering!$C$40:$H$40,$B$5)</f>
        <v>0</v>
      </c>
      <c r="D79" s="59" t="str">
        <f aca="false">INDEX(Normalisering!$C$20:$H$20,$B$5)</f>
        <v>Ja</v>
      </c>
      <c r="E79" s="35" t="n">
        <f aca="false">IFERROR(INDEX(Normalisering!$C$107:$H$107,$B$5)/$B$9,0)</f>
        <v>0</v>
      </c>
      <c r="F79" s="177" t="str">
        <f aca="false">IF(ABS(B79-C79)&lt;0.005,"Faktisk användning motsvarar kategoritypisk.",IF(D79="Ja","Normaliserat från "&amp;FIXED(B79,2)&amp;" till kategoritypiska "&amp;FIXED(C79,2)&amp;" l/s,m². Påverkan "&amp;FIXED(E79,1)&amp;" kWh/m²,år.","Ej normaliserat, avvikelsen bedöms försumbar."))</f>
        <v>Normaliserat från 0.35 till kategoritypiska 0.00 l/s,m². Påverkan 0.0 kWh/m²,år.</v>
      </c>
    </row>
    <row r="80" customFormat="false" ht="25.5" hidden="false" customHeight="true" outlineLevel="0" collapsed="false">
      <c r="A80" s="24" t="s">
        <v>517</v>
      </c>
      <c r="B80" s="174" t="n">
        <f aca="false">INDEX(Normalisering!$C$49:$H$49,$B$5)</f>
        <v>0</v>
      </c>
      <c r="C80" s="174" t="n">
        <f aca="false">INDEX(Normalisering!$C$41:$H$41,$B$5)</f>
        <v>0</v>
      </c>
      <c r="D80" s="59" t="str">
        <f aca="false">INDEX(Normalisering!$C$21:$H$21,$B$5)</f>
        <v>Ja</v>
      </c>
      <c r="E80" s="35" t="n">
        <f aca="false">IFERROR(INDEX(Normalisering!$C$106:$H$106,$B$5)/$B$9,0)</f>
        <v>0</v>
      </c>
      <c r="F80" s="177" t="str">
        <f aca="false">IF(ABS(B80-C80)&lt;0.005,"Faktisk användning motsvarar kategoritypisk.",IF(D80="Ja","Normaliserat från "&amp;FIXED(B80,2)&amp;" till kategoritypiska "&amp;FIXED(C80,2)&amp;" W/m². Påverkan "&amp;FIXED(E80,1)&amp;" kWh/m²,år.","Ej normaliserat, avvikelsen bedöms försumbar."))</f>
        <v>Faktisk användning motsvarar kategoritypisk.</v>
      </c>
    </row>
    <row r="81" customFormat="false" ht="25.5" hidden="false" customHeight="true" outlineLevel="0" collapsed="false">
      <c r="A81" s="24" t="s">
        <v>518</v>
      </c>
      <c r="B81" s="35" t="n">
        <f aca="false">INDEX(Normalisering!$C$52:$H$52,$B$5)</f>
        <v>0</v>
      </c>
      <c r="C81" s="35" t="n">
        <f aca="false">INDEX(Normalisering!$C$42:$H$42,$B$5)</f>
        <v>0</v>
      </c>
      <c r="D81" s="59" t="str">
        <f aca="false">INDEX(Normalisering!$C$22:$H$22,$B$5)</f>
        <v>Ja</v>
      </c>
      <c r="E81" s="35" t="n">
        <f aca="false">IFERROR((INDEX(Normalisering!$C$132:$H$132,$B$5)-INDEX(Normalisering!$C$77:$H$77,$B$5))/$B$9,0)</f>
        <v>0</v>
      </c>
      <c r="F81" s="177" t="str">
        <f aca="false">IF(ABS(B81-C81)&lt;0.005,"Faktisk användning motsvarar kategoritypisk.",IF(D81="Ja","Normaliserat från "&amp;FIXED(B81,1)&amp;" till kategoritypiska "&amp;FIXED(C81,1)&amp;" kWh/m². Påverkan "&amp;FIXED(E81,1)&amp;" kWh/m²,år.","Ej normaliserat, avvikelsen bedöms försumbar."))</f>
        <v>Faktisk användning motsvarar kategoritypisk.</v>
      </c>
    </row>
    <row r="83" customFormat="false" ht="15" hidden="false" customHeight="true" outlineLevel="0" collapsed="false">
      <c r="A83" s="33" t="s">
        <v>519</v>
      </c>
    </row>
    <row r="84" customFormat="false" ht="15" hidden="false" customHeight="true" outlineLevel="0" collapsed="false">
      <c r="A84" s="24" t="s">
        <v>520</v>
      </c>
      <c r="B84" s="41" t="n">
        <f aca="false">Besiktningsprotokoll!H30</f>
        <v>63.39</v>
      </c>
    </row>
    <row r="85" customFormat="false" ht="15" hidden="false" customHeight="true" outlineLevel="0" collapsed="false">
      <c r="A85" s="24" t="s">
        <v>521</v>
      </c>
      <c r="B85" s="41" t="e">
        <f aca="false">Besiktningsprotokoll!B28*$B$9/1000</f>
        <v>#DIV/0!</v>
      </c>
    </row>
    <row r="87" customFormat="false" ht="15" hidden="false" customHeight="true" outlineLevel="0" collapsed="false">
      <c r="A87" s="33" t="s">
        <v>522</v>
      </c>
    </row>
    <row r="88" customFormat="false" ht="25.5" hidden="false" customHeight="true" outlineLevel="0" collapsed="false">
      <c r="A88" s="38" t="s">
        <v>31</v>
      </c>
      <c r="B88" s="38" t="s">
        <v>32</v>
      </c>
      <c r="C88" s="38" t="s">
        <v>523</v>
      </c>
      <c r="D88" s="38" t="s">
        <v>524</v>
      </c>
      <c r="E88" s="38" t="s">
        <v>525</v>
      </c>
    </row>
    <row r="89" customFormat="false" ht="15" hidden="false" customHeight="true" outlineLevel="0" collapsed="false">
      <c r="A89" s="176" t="str">
        <f aca="false">'Installera bergvärme'!A1</f>
        <v>Bergvärme</v>
      </c>
      <c r="B89" s="59" t="str">
        <f aca="false">'Installera bergvärme'!B2</f>
        <v>Nej</v>
      </c>
      <c r="C89" s="43" t="str">
        <f aca="false">Sammanfattning!N19</f>
        <v/>
      </c>
      <c r="D89" s="43" t="str">
        <f aca="false">IF(B89="Ja",IFERROR(C89*INDEX(Byggnader!$C$33:$H$33,$B$5),0),"")</f>
        <v/>
      </c>
      <c r="E89" s="174" t="str">
        <f aca="false">IFERROR(IF(B89="Ja",'Installera bergvärme'!C43,""),"")</f>
        <v/>
      </c>
    </row>
    <row r="90" customFormat="false" ht="15" hidden="false" customHeight="true" outlineLevel="0" collapsed="false">
      <c r="A90" s="176" t="str">
        <f aca="false">'Injustering av värmesystem'!A1</f>
        <v>Injustering av värmesystem</v>
      </c>
      <c r="B90" s="59" t="str">
        <f aca="false">'Injustering av värmesystem'!B2</f>
        <v>Nej</v>
      </c>
      <c r="C90" s="43" t="str">
        <f aca="false">Sammanfattning!N20</f>
        <v/>
      </c>
      <c r="D90" s="43" t="str">
        <f aca="false">IF(B90="Ja",IFERROR(C90*INDEX(Byggnader!$C$33:$H$33,$B$5),0),"")</f>
        <v/>
      </c>
      <c r="E90" s="174" t="str">
        <f aca="false">IFERROR(IF(B90="Ja",'Injustering av värmesystem'!C43,""),"")</f>
        <v/>
      </c>
    </row>
    <row r="91" customFormat="false" ht="15" hidden="false" customHeight="true" outlineLevel="0" collapsed="false">
      <c r="A91" s="176" t="str">
        <f aca="false">'Styrsystem för värme'!A1</f>
        <v>Byte styrsystem för värme</v>
      </c>
      <c r="B91" s="59" t="str">
        <f aca="false">'Styrsystem för värme'!B2</f>
        <v>Nej</v>
      </c>
      <c r="C91" s="43" t="str">
        <f aca="false">Sammanfattning!N21</f>
        <v/>
      </c>
      <c r="D91" s="43" t="str">
        <f aca="false">IF(B91="Ja",IFERROR(C91*INDEX(Byggnader!$C$33:$H$33,$B$5),0),"")</f>
        <v/>
      </c>
      <c r="E91" s="174" t="str">
        <f aca="false">IFERROR(IF(B91="Ja",'Styrsystem för värme'!C43,""),"")</f>
        <v/>
      </c>
    </row>
    <row r="92" customFormat="false" ht="15" hidden="false" customHeight="true" outlineLevel="0" collapsed="false">
      <c r="A92" s="176" t="str">
        <f aca="false">'Tilläggisolering av vindsbjälk'!A1</f>
        <v>Tilläggisolering av vindbjälklaget</v>
      </c>
      <c r="B92" s="59" t="str">
        <f aca="false">'Tilläggisolering av vindsbjälk'!B2</f>
        <v>Nej</v>
      </c>
      <c r="C92" s="43" t="str">
        <f aca="false">Sammanfattning!N22</f>
        <v/>
      </c>
      <c r="D92" s="43" t="str">
        <f aca="false">IF(B92="Ja",IFERROR(C92*INDEX(Byggnader!$C$33:$H$33,$B$5),0),"")</f>
        <v/>
      </c>
      <c r="E92" s="174" t="str">
        <f aca="false">IFERROR(IF(B92="Ja",'Tilläggisolering av vindsbjälk'!C43,""),"")</f>
        <v/>
      </c>
    </row>
    <row r="93" customFormat="false" ht="15" hidden="false" customHeight="true" outlineLevel="0" collapsed="false">
      <c r="A93" s="176" t="str">
        <f aca="false">'Byte fönster'!A1</f>
        <v>Byte av fönster</v>
      </c>
      <c r="B93" s="59" t="str">
        <f aca="false">'Byte fönster'!B2</f>
        <v>Nej</v>
      </c>
      <c r="C93" s="43" t="str">
        <f aca="false">Sammanfattning!N23</f>
        <v/>
      </c>
      <c r="D93" s="43" t="str">
        <f aca="false">IF(B93="Ja",IFERROR(C93*INDEX(Byggnader!$C$33:$H$33,$B$5),0),"")</f>
        <v/>
      </c>
      <c r="E93" s="174" t="str">
        <f aca="false">IFERROR(IF(B93="Ja",'Byte fönster'!C43,""),"")</f>
        <v/>
      </c>
    </row>
    <row r="94" customFormat="false" ht="15" hidden="false" customHeight="true" outlineLevel="0" collapsed="false">
      <c r="A94" s="176" t="str">
        <f aca="false">'Tilläggisol fasad'!A1</f>
        <v>Tilläggisolering av fasader</v>
      </c>
      <c r="B94" s="59" t="str">
        <f aca="false">'Tilläggisol fasad'!B2</f>
        <v>Nej</v>
      </c>
      <c r="C94" s="43" t="str">
        <f aca="false">Sammanfattning!N24</f>
        <v/>
      </c>
      <c r="D94" s="43" t="str">
        <f aca="false">IF(B94="Ja",IFERROR(C94*INDEX(Byggnader!$C$33:$H$33,$B$5),0),"")</f>
        <v/>
      </c>
      <c r="E94" s="174" t="str">
        <f aca="false">IFERROR(IF(B94="Ja",'Tilläggisol fasad'!C43,""),"")</f>
        <v/>
      </c>
    </row>
    <row r="95" customFormat="false" ht="15" hidden="false" customHeight="true" outlineLevel="0" collapsed="false">
      <c r="A95" s="176" t="str">
        <f aca="false">'Installation F-återvinning'!A1</f>
        <v>Installation av frånluftsåtervinning</v>
      </c>
      <c r="B95" s="59" t="str">
        <f aca="false">'Installation F-återvinning'!B2</f>
        <v>Nej</v>
      </c>
      <c r="C95" s="43" t="str">
        <f aca="false">Sammanfattning!N25</f>
        <v/>
      </c>
      <c r="D95" s="43" t="str">
        <f aca="false">IF(B95="Ja",IFERROR(C95*INDEX(Byggnader!$C$33:$H$33,$B$5),0),"")</f>
        <v/>
      </c>
      <c r="E95" s="174" t="str">
        <f aca="false">IFERROR(IF(B95="Ja",'Installation F-återvinning'!C43,""),"")</f>
        <v/>
      </c>
    </row>
    <row r="96" customFormat="false" ht="15" hidden="false" customHeight="true" outlineLevel="0" collapsed="false">
      <c r="A96" s="176" t="str">
        <f aca="false">'Installation av solceller'!A1</f>
        <v>Installation av solceller på taket</v>
      </c>
      <c r="B96" s="59" t="str">
        <f aca="false">'Installation av solceller'!B2</f>
        <v>Nej</v>
      </c>
      <c r="C96" s="43" t="str">
        <f aca="false">Sammanfattning!N26</f>
        <v/>
      </c>
      <c r="D96" s="43" t="str">
        <f aca="false">IF(B96="Ja",IFERROR(C96*INDEX(Byggnader!$C$33:$H$33,$B$5),0),"")</f>
        <v/>
      </c>
      <c r="E96" s="174" t="str">
        <f aca="false">IFERROR(IF(B96="Ja",'Installation av solceller'!C43,""),"")</f>
        <v/>
      </c>
    </row>
    <row r="97" customFormat="false" ht="15" hidden="false" customHeight="true" outlineLevel="0" collapsed="false">
      <c r="A97" s="176" t="str">
        <f aca="false">'Byte av pump'!A1</f>
        <v>Byte av pump till tryckstyrd med bättre effektivitet</v>
      </c>
      <c r="B97" s="59" t="str">
        <f aca="false">'Byte av pump'!B2</f>
        <v>Nej</v>
      </c>
      <c r="C97" s="43" t="str">
        <f aca="false">Sammanfattning!N27</f>
        <v/>
      </c>
      <c r="D97" s="43" t="str">
        <f aca="false">IF(B97="Ja",IFERROR(C97*INDEX(Byggnader!$C$33:$H$33,$B$5),0),"")</f>
        <v/>
      </c>
      <c r="E97" s="174" t="str">
        <f aca="false">IFERROR(IF(B97="Ja",'Byte av pump'!C43,""),"")</f>
        <v/>
      </c>
    </row>
    <row r="98" customFormat="false" ht="15" hidden="false" customHeight="true" outlineLevel="0" collapsed="false">
      <c r="A98" s="176" t="str">
        <f aca="false">'Byte av fläkt'!A1</f>
        <v>Byte av fläktar till tryckstyrd med bättre effektivitet</v>
      </c>
      <c r="B98" s="59" t="str">
        <f aca="false">'Byte av fläkt'!B2</f>
        <v>Nej</v>
      </c>
      <c r="C98" s="43" t="str">
        <f aca="false">Sammanfattning!N28</f>
        <v/>
      </c>
      <c r="D98" s="43" t="str">
        <f aca="false">IF(B98="Ja",IFERROR(C98*INDEX(Byggnader!$C$33:$H$33,$B$5),0),"")</f>
        <v/>
      </c>
      <c r="E98" s="174" t="str">
        <f aca="false">IFERROR(IF(B98="Ja",'Byte av fläkt'!C43,""),"")</f>
        <v/>
      </c>
    </row>
    <row r="99" customFormat="false" ht="15" hidden="false" customHeight="true" outlineLevel="0" collapsed="false">
      <c r="A99" s="176" t="str">
        <f aca="false">'Övrig åtgärd'!A1</f>
        <v>Övrig åtgärd</v>
      </c>
      <c r="B99" s="59" t="str">
        <f aca="false">'Övrig åtgärd'!B2</f>
        <v>Nej</v>
      </c>
      <c r="C99" s="43" t="str">
        <f aca="false">Sammanfattning!N29</f>
        <v/>
      </c>
      <c r="D99" s="43" t="str">
        <f aca="false">IF(B99="Ja",IFERROR(C99*INDEX(Byggnader!$C$33:$H$33,$B$5),0),"")</f>
        <v/>
      </c>
      <c r="E99" s="174" t="str">
        <f aca="false">IFERROR(IF(B99="Ja",'Övrig åtgärd'!C43,""),"")</f>
        <v/>
      </c>
    </row>
    <row r="100" customFormat="false" ht="15" hidden="false" customHeight="true" outlineLevel="0" collapsed="false">
      <c r="A100" s="33" t="s">
        <v>526</v>
      </c>
    </row>
    <row r="101" customFormat="false" ht="15" hidden="false" customHeight="true" outlineLevel="0" collapsed="false">
      <c r="A101" s="24" t="s">
        <v>470</v>
      </c>
      <c r="B101" s="59" t="str">
        <f aca="false">INDEX(Resultat!$C$25:$H$25,$B$5)</f>
        <v/>
      </c>
    </row>
    <row r="102" customFormat="false" ht="15" hidden="false" customHeight="true" outlineLevel="0" collapsed="false">
      <c r="A102" s="24" t="s">
        <v>527</v>
      </c>
      <c r="B102" s="59" t="str">
        <f aca="false">INDEX(Resultat!$C$26:$H$26,$B$5)</f>
        <v/>
      </c>
    </row>
  </sheetData>
  <mergeCells count="1">
    <mergeCell ref="B6:D6"/>
  </mergeCells>
  <dataValidations count="1">
    <dataValidation allowBlank="false" errorStyle="stop" operator="between" showDropDown="false" showErrorMessage="false" showInputMessage="false" sqref="B4" type="list">
      <formula1>Byggnader!$C$12:$H$12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5:D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3" activeCellId="0" sqref="B33"/>
    </sheetView>
  </sheetViews>
  <sheetFormatPr defaultColWidth="8.7109375" defaultRowHeight="15" zeroHeight="false" outlineLevelRow="0" outlineLevelCol="0"/>
  <cols>
    <col collapsed="false" customWidth="true" hidden="false" outlineLevel="0" max="1" min="1" style="1" width="37.28"/>
    <col collapsed="false" customWidth="true" hidden="false" outlineLevel="0" max="2" min="2" style="1" width="13.85"/>
    <col collapsed="false" customWidth="true" hidden="false" outlineLevel="0" max="3" min="3" style="1" width="16.28"/>
    <col collapsed="false" customWidth="true" hidden="false" outlineLevel="0" max="4" min="4" style="1" width="19.28"/>
  </cols>
  <sheetData>
    <row r="5" customFormat="false" ht="15.75" hidden="false" customHeight="true" outlineLevel="0" collapsed="false"/>
    <row r="6" customFormat="false" ht="15" hidden="false" customHeight="true" outlineLevel="0" collapsed="false">
      <c r="A6" s="178" t="s">
        <v>528</v>
      </c>
      <c r="B6" s="179"/>
      <c r="C6" s="179"/>
      <c r="D6" s="180"/>
    </row>
    <row r="7" customFormat="false" ht="15" hidden="false" customHeight="true" outlineLevel="0" collapsed="false">
      <c r="A7" s="181" t="s">
        <v>529</v>
      </c>
      <c r="B7" s="1" t="n">
        <v>0.35</v>
      </c>
      <c r="D7" s="182"/>
    </row>
    <row r="8" customFormat="false" ht="15" hidden="false" customHeight="true" outlineLevel="0" collapsed="false">
      <c r="A8" s="181" t="s">
        <v>530</v>
      </c>
      <c r="B8" s="1" t="n">
        <v>7</v>
      </c>
      <c r="D8" s="182"/>
    </row>
    <row r="9" customFormat="false" ht="15.75" hidden="false" customHeight="true" outlineLevel="0" collapsed="false">
      <c r="A9" s="183" t="s">
        <v>531</v>
      </c>
      <c r="B9" s="184" t="n">
        <f aca="false">1/((1/B7)+B8)</f>
        <v>0.101449275362319</v>
      </c>
      <c r="C9" s="185"/>
      <c r="D9" s="186"/>
    </row>
    <row r="10" customFormat="false" ht="15.75" hidden="false" customHeight="true" outlineLevel="0" collapsed="false">
      <c r="B10" s="187"/>
    </row>
    <row r="11" customFormat="false" ht="15" hidden="false" customHeight="true" outlineLevel="0" collapsed="false">
      <c r="A11" s="178" t="s">
        <v>532</v>
      </c>
      <c r="B11" s="188"/>
      <c r="C11" s="179"/>
      <c r="D11" s="180"/>
    </row>
    <row r="12" customFormat="false" ht="15" hidden="false" customHeight="true" outlineLevel="0" collapsed="false">
      <c r="A12" s="181" t="s">
        <v>533</v>
      </c>
      <c r="B12" s="1" t="n">
        <v>4</v>
      </c>
      <c r="D12" s="182"/>
    </row>
    <row r="13" customFormat="false" ht="15" hidden="false" customHeight="true" outlineLevel="0" collapsed="false">
      <c r="A13" s="181" t="s">
        <v>534</v>
      </c>
      <c r="B13" s="1" t="n">
        <v>5</v>
      </c>
      <c r="D13" s="182"/>
    </row>
    <row r="14" customFormat="false" ht="15" hidden="false" customHeight="true" outlineLevel="0" collapsed="false">
      <c r="A14" s="181" t="s">
        <v>535</v>
      </c>
      <c r="B14" s="189" t="n">
        <v>0.15</v>
      </c>
      <c r="D14" s="182"/>
    </row>
    <row r="15" customFormat="false" ht="15" hidden="false" customHeight="true" outlineLevel="0" collapsed="false">
      <c r="A15" s="181" t="s">
        <v>536</v>
      </c>
      <c r="B15" s="1" t="n">
        <v>0.4</v>
      </c>
      <c r="D15" s="182"/>
    </row>
    <row r="16" customFormat="false" ht="15" hidden="false" customHeight="true" outlineLevel="0" collapsed="false">
      <c r="A16" s="181" t="s">
        <v>537</v>
      </c>
      <c r="B16" s="1" t="n">
        <v>0.31</v>
      </c>
      <c r="D16" s="182"/>
    </row>
    <row r="17" customFormat="false" ht="15" hidden="false" customHeight="true" outlineLevel="0" collapsed="false">
      <c r="A17" s="181" t="s">
        <v>295</v>
      </c>
      <c r="B17" s="1" t="n">
        <v>100000</v>
      </c>
      <c r="D17" s="182"/>
    </row>
    <row r="18" customFormat="false" ht="15" hidden="false" customHeight="true" outlineLevel="0" collapsed="false">
      <c r="A18" s="181" t="s">
        <v>538</v>
      </c>
      <c r="B18" s="1" t="n">
        <v>10</v>
      </c>
      <c r="D18" s="182"/>
    </row>
    <row r="19" customFormat="false" ht="15" hidden="false" customHeight="true" outlineLevel="0" collapsed="false">
      <c r="A19" s="181" t="s">
        <v>539</v>
      </c>
      <c r="B19" s="1" t="n">
        <v>30</v>
      </c>
      <c r="D19" s="182"/>
    </row>
    <row r="20" customFormat="false" ht="15.75" hidden="false" customHeight="true" outlineLevel="0" collapsed="false">
      <c r="A20" s="190" t="s">
        <v>540</v>
      </c>
      <c r="B20" s="191" t="n">
        <f aca="false">B16*(B18+B19+B18+B19)*B13/(((B18+B19+B18+B19)*B12*2.7-B14*B18*B19*B12))*100000/1000</f>
        <v>18.1286549707602</v>
      </c>
      <c r="C20" s="185"/>
      <c r="D20" s="186"/>
    </row>
    <row r="22" customFormat="false" ht="15.75" hidden="false" customHeight="true" outlineLevel="0" collapsed="false"/>
    <row r="23" customFormat="false" ht="15" hidden="false" customHeight="true" outlineLevel="0" collapsed="false">
      <c r="A23" s="178" t="s">
        <v>541</v>
      </c>
      <c r="B23" s="179"/>
      <c r="C23" s="179"/>
      <c r="D23" s="180"/>
    </row>
    <row r="24" customFormat="false" ht="15" hidden="false" customHeight="true" outlineLevel="0" collapsed="false">
      <c r="A24" s="181"/>
      <c r="C24" s="1" t="s">
        <v>487</v>
      </c>
      <c r="D24" s="182" t="s">
        <v>542</v>
      </c>
    </row>
    <row r="25" customFormat="false" ht="15" hidden="false" customHeight="true" outlineLevel="0" collapsed="false">
      <c r="A25" s="181" t="s">
        <v>543</v>
      </c>
      <c r="B25" s="1" t="n">
        <v>110000</v>
      </c>
      <c r="D25" s="182"/>
    </row>
    <row r="26" customFormat="false" ht="15" hidden="false" customHeight="true" outlineLevel="0" collapsed="false">
      <c r="A26" s="181" t="s">
        <v>544</v>
      </c>
      <c r="B26" s="1" t="n">
        <v>100000</v>
      </c>
      <c r="D26" s="182"/>
    </row>
    <row r="27" customFormat="false" ht="15" hidden="false" customHeight="true" outlineLevel="0" collapsed="false">
      <c r="A27" s="181" t="s">
        <v>545</v>
      </c>
      <c r="B27" s="1" t="n">
        <v>3679</v>
      </c>
      <c r="D27" s="182"/>
    </row>
    <row r="28" customFormat="false" ht="15" hidden="false" customHeight="true" outlineLevel="0" collapsed="false">
      <c r="A28" s="181" t="s">
        <v>546</v>
      </c>
      <c r="B28" s="1" t="n">
        <v>0.35</v>
      </c>
      <c r="C28" s="1" t="n">
        <f aca="false">B28*B27*B25/1000</f>
        <v>141641.5</v>
      </c>
      <c r="D28" s="182" t="n">
        <f aca="false">C28/B27</f>
        <v>38.5</v>
      </c>
    </row>
    <row r="29" customFormat="false" ht="15" hidden="false" customHeight="true" outlineLevel="0" collapsed="false">
      <c r="A29" s="181" t="s">
        <v>547</v>
      </c>
      <c r="B29" s="1" t="n">
        <v>0.1</v>
      </c>
      <c r="C29" s="1" t="n">
        <f aca="false">B29*B27*B26/1000</f>
        <v>36790</v>
      </c>
      <c r="D29" s="182" t="n">
        <f aca="false">C29/B27</f>
        <v>10</v>
      </c>
    </row>
    <row r="30" customFormat="false" ht="15.75" hidden="false" customHeight="true" outlineLevel="0" collapsed="false">
      <c r="A30" s="183" t="s">
        <v>548</v>
      </c>
      <c r="B30" s="192" t="n">
        <f aca="false">(B28*B27*B25/1000)-(B29*B27*B26/1000)</f>
        <v>104851.5</v>
      </c>
      <c r="C30" s="185"/>
      <c r="D30" s="186" t="n">
        <f aca="false">D28-D29</f>
        <v>28.5</v>
      </c>
    </row>
    <row r="31" customFormat="false" ht="15.75" hidden="false" customHeight="true" outlineLevel="0" collapsed="false"/>
    <row r="32" customFormat="false" ht="15" hidden="false" customHeight="true" outlineLevel="0" collapsed="false">
      <c r="A32" s="178" t="s">
        <v>549</v>
      </c>
      <c r="B32" s="179"/>
      <c r="C32" s="179"/>
      <c r="D32" s="180"/>
    </row>
    <row r="33" customFormat="false" ht="15" hidden="false" customHeight="true" outlineLevel="0" collapsed="false">
      <c r="A33" s="181"/>
      <c r="D33" s="182"/>
    </row>
    <row r="34" customFormat="false" ht="15" hidden="false" customHeight="true" outlineLevel="0" collapsed="false">
      <c r="A34" s="181" t="s">
        <v>550</v>
      </c>
      <c r="B34" s="1" t="n">
        <v>22</v>
      </c>
      <c r="D34" s="182"/>
    </row>
    <row r="35" customFormat="false" ht="15" hidden="false" customHeight="true" outlineLevel="0" collapsed="false">
      <c r="A35" s="181" t="s">
        <v>551</v>
      </c>
      <c r="B35" s="1" t="n">
        <v>21</v>
      </c>
      <c r="D35" s="182"/>
    </row>
    <row r="36" customFormat="false" ht="15" hidden="false" customHeight="true" outlineLevel="0" collapsed="false">
      <c r="A36" s="181" t="s">
        <v>552</v>
      </c>
      <c r="B36" s="1" t="n">
        <v>5</v>
      </c>
      <c r="C36" s="193" t="n">
        <f aca="false">(B34-B35)/100*B36</f>
        <v>0.05</v>
      </c>
      <c r="D36" s="182"/>
    </row>
    <row r="37" customFormat="false" ht="15" hidden="false" customHeight="true" outlineLevel="0" collapsed="false">
      <c r="A37" s="181" t="s">
        <v>553</v>
      </c>
      <c r="B37" s="187" t="e">
        <f aca="false">Normalisering!$I$89/Byggnader!$I$32</f>
        <v>#DIV/0!</v>
      </c>
      <c r="D37" s="182"/>
    </row>
    <row r="38" customFormat="false" ht="15" hidden="false" customHeight="true" outlineLevel="0" collapsed="false">
      <c r="A38" s="181" t="s">
        <v>554</v>
      </c>
      <c r="B38" s="187" t="e">
        <f aca="false">B37-B37*C36</f>
        <v>#DIV/0!</v>
      </c>
      <c r="D38" s="182"/>
    </row>
    <row r="39" customFormat="false" ht="15" hidden="false" customHeight="true" outlineLevel="0" collapsed="false">
      <c r="A39" s="181" t="s">
        <v>555</v>
      </c>
      <c r="B39" s="187" t="e">
        <f aca="false">B37-B38</f>
        <v>#DIV/0!</v>
      </c>
      <c r="D39" s="182"/>
    </row>
    <row r="40" customFormat="false" ht="15.75" hidden="false" customHeight="true" outlineLevel="0" collapsed="false">
      <c r="A40" s="183"/>
      <c r="B40" s="185"/>
      <c r="C40" s="185"/>
      <c r="D40" s="186"/>
    </row>
    <row r="41" customFormat="false" ht="15.75" hidden="false" customHeight="true" outlineLevel="0" collapsed="false"/>
    <row r="42" customFormat="false" ht="15" hidden="false" customHeight="true" outlineLevel="0" collapsed="false">
      <c r="A42" s="178" t="s">
        <v>556</v>
      </c>
      <c r="B42" s="179"/>
      <c r="C42" s="179"/>
      <c r="D42" s="180"/>
    </row>
    <row r="43" customFormat="false" ht="15" hidden="false" customHeight="true" outlineLevel="0" collapsed="false">
      <c r="A43" s="181"/>
      <c r="D43" s="182"/>
    </row>
    <row r="44" customFormat="false" ht="15" hidden="false" customHeight="true" outlineLevel="0" collapsed="false">
      <c r="A44" s="181" t="s">
        <v>557</v>
      </c>
      <c r="B44" s="1" t="n">
        <v>0.35</v>
      </c>
      <c r="D44" s="182"/>
    </row>
    <row r="45" customFormat="false" ht="15" hidden="false" customHeight="true" outlineLevel="0" collapsed="false">
      <c r="A45" s="181" t="s">
        <v>558</v>
      </c>
      <c r="B45" s="189" t="n">
        <v>0.15</v>
      </c>
      <c r="D45" s="182"/>
    </row>
    <row r="46" customFormat="false" ht="15" hidden="false" customHeight="true" outlineLevel="0" collapsed="false">
      <c r="A46" s="181" t="s">
        <v>559</v>
      </c>
      <c r="B46" s="189" t="n">
        <v>0.1</v>
      </c>
      <c r="D46" s="182"/>
    </row>
    <row r="47" customFormat="false" ht="15" hidden="false" customHeight="true" outlineLevel="0" collapsed="false">
      <c r="A47" s="181" t="s">
        <v>560</v>
      </c>
      <c r="B47" s="189" t="n">
        <v>0.05</v>
      </c>
      <c r="D47" s="182"/>
    </row>
    <row r="48" customFormat="false" ht="15" hidden="false" customHeight="true" outlineLevel="0" collapsed="false">
      <c r="A48" s="181"/>
      <c r="D48" s="182"/>
    </row>
    <row r="49" customFormat="false" ht="15" hidden="false" customHeight="true" outlineLevel="0" collapsed="false">
      <c r="A49" s="181"/>
      <c r="D49" s="182"/>
    </row>
    <row r="50" customFormat="false" ht="15.75" hidden="false" customHeight="true" outlineLevel="0" collapsed="false">
      <c r="A50" s="183"/>
      <c r="B50" s="185"/>
      <c r="C50" s="185"/>
      <c r="D50" s="186"/>
    </row>
    <row r="52" customFormat="false" ht="15.75" hidden="false" customHeight="true" outlineLevel="0" collapsed="false"/>
    <row r="53" customFormat="false" ht="15" hidden="false" customHeight="true" outlineLevel="0" collapsed="false">
      <c r="A53" s="178" t="s">
        <v>561</v>
      </c>
      <c r="B53" s="179"/>
      <c r="C53" s="179"/>
      <c r="D53" s="180"/>
    </row>
    <row r="54" customFormat="false" ht="15" hidden="false" customHeight="true" outlineLevel="0" collapsed="false">
      <c r="A54" s="181"/>
      <c r="D54" s="182"/>
    </row>
    <row r="55" customFormat="false" ht="15" hidden="false" customHeight="true" outlineLevel="0" collapsed="false">
      <c r="A55" s="181" t="s">
        <v>562</v>
      </c>
      <c r="B55" s="1" t="n">
        <v>0.35</v>
      </c>
      <c r="D55" s="182"/>
    </row>
    <row r="56" customFormat="false" ht="15" hidden="false" customHeight="true" outlineLevel="0" collapsed="false">
      <c r="A56" s="181" t="s">
        <v>563</v>
      </c>
      <c r="B56" s="1" t="n">
        <f aca="false">Byggnader!$I$32*B55/1000</f>
        <v>0</v>
      </c>
      <c r="D56" s="182"/>
    </row>
    <row r="57" customFormat="false" ht="15" hidden="false" customHeight="true" outlineLevel="0" collapsed="false">
      <c r="A57" s="181" t="s">
        <v>564</v>
      </c>
      <c r="B57" s="1" t="n">
        <v>4</v>
      </c>
      <c r="D57" s="182"/>
    </row>
    <row r="58" customFormat="false" ht="15" hidden="false" customHeight="true" outlineLevel="0" collapsed="false">
      <c r="A58" s="181" t="s">
        <v>565</v>
      </c>
      <c r="B58" s="1" t="n">
        <v>18</v>
      </c>
      <c r="D58" s="182"/>
    </row>
    <row r="59" customFormat="false" ht="15" hidden="false" customHeight="true" outlineLevel="0" collapsed="false">
      <c r="A59" s="181" t="s">
        <v>338</v>
      </c>
      <c r="B59" s="1" t="n">
        <v>5500</v>
      </c>
      <c r="D59" s="182"/>
    </row>
    <row r="60" customFormat="false" ht="15" hidden="false" customHeight="true" outlineLevel="0" collapsed="false">
      <c r="A60" s="181" t="s">
        <v>566</v>
      </c>
      <c r="B60" s="1" t="n">
        <f aca="false">(B58-B57)*B56*1.2*1*5000</f>
        <v>0</v>
      </c>
      <c r="D60" s="182"/>
    </row>
    <row r="61" customFormat="false" ht="15" hidden="false" customHeight="true" outlineLevel="0" collapsed="false">
      <c r="A61" s="181" t="s">
        <v>567</v>
      </c>
      <c r="B61" s="1" t="n">
        <v>3.2</v>
      </c>
      <c r="D61" s="182"/>
    </row>
    <row r="62" customFormat="false" ht="15" hidden="false" customHeight="true" outlineLevel="0" collapsed="false">
      <c r="A62" s="181" t="s">
        <v>568</v>
      </c>
      <c r="B62" s="17" t="n">
        <f aca="false">B60/B61</f>
        <v>0</v>
      </c>
      <c r="D62" s="182"/>
    </row>
    <row r="63" customFormat="false" ht="15" hidden="false" customHeight="true" outlineLevel="0" collapsed="false">
      <c r="A63" s="181" t="s">
        <v>569</v>
      </c>
      <c r="B63" s="17" t="n">
        <v>1</v>
      </c>
      <c r="D63" s="182"/>
    </row>
    <row r="64" customFormat="false" ht="15" hidden="false" customHeight="true" outlineLevel="0" collapsed="false">
      <c r="A64" s="181" t="s">
        <v>570</v>
      </c>
      <c r="B64" s="1" t="n">
        <f aca="false">B63*8760</f>
        <v>8760</v>
      </c>
      <c r="D64" s="182"/>
    </row>
    <row r="65" customFormat="false" ht="15" hidden="false" customHeight="true" outlineLevel="0" collapsed="false">
      <c r="A65" s="181"/>
      <c r="D65" s="182"/>
    </row>
    <row r="66" customFormat="false" ht="15.75" hidden="false" customHeight="true" outlineLevel="0" collapsed="false">
      <c r="A66" s="183"/>
      <c r="B66" s="185"/>
      <c r="C66" s="185"/>
      <c r="D66" s="186"/>
    </row>
    <row r="67" customFormat="false" ht="15.75" hidden="false" customHeight="true" outlineLevel="0" collapsed="false"/>
    <row r="68" customFormat="false" ht="15" hidden="false" customHeight="true" outlineLevel="0" collapsed="false">
      <c r="A68" s="178" t="s">
        <v>571</v>
      </c>
      <c r="B68" s="179"/>
      <c r="C68" s="179"/>
      <c r="D68" s="180"/>
    </row>
    <row r="69" customFormat="false" ht="15" hidden="false" customHeight="true" outlineLevel="0" collapsed="false">
      <c r="A69" s="181" t="s">
        <v>572</v>
      </c>
      <c r="B69" s="17" t="n">
        <f aca="false">Normalisering!$I$53/12</f>
        <v>0</v>
      </c>
      <c r="D69" s="182"/>
    </row>
    <row r="70" customFormat="false" ht="15" hidden="false" customHeight="true" outlineLevel="0" collapsed="false">
      <c r="A70" s="181" t="s">
        <v>573</v>
      </c>
      <c r="B70" s="1" t="n">
        <v>100</v>
      </c>
      <c r="D70" s="182"/>
    </row>
    <row r="71" customFormat="false" ht="15" hidden="false" customHeight="true" outlineLevel="0" collapsed="false">
      <c r="A71" s="181" t="s">
        <v>574</v>
      </c>
      <c r="B71" s="1" t="n">
        <v>450</v>
      </c>
      <c r="D71" s="182"/>
    </row>
    <row r="72" customFormat="false" ht="15" hidden="false" customHeight="true" outlineLevel="0" collapsed="false">
      <c r="A72" s="181" t="s">
        <v>575</v>
      </c>
      <c r="B72" s="1" t="n">
        <f aca="false">B71*B70</f>
        <v>45000</v>
      </c>
      <c r="D72" s="182"/>
    </row>
    <row r="73" customFormat="false" ht="15" hidden="false" customHeight="true" outlineLevel="0" collapsed="false">
      <c r="A73" s="181" t="s">
        <v>576</v>
      </c>
      <c r="B73" s="1" t="n">
        <f aca="false">1000</f>
        <v>1000</v>
      </c>
      <c r="D73" s="182"/>
    </row>
    <row r="74" customFormat="false" ht="15" hidden="false" customHeight="true" outlineLevel="0" collapsed="false">
      <c r="A74" s="181" t="s">
        <v>577</v>
      </c>
      <c r="B74" s="1" t="n">
        <v>200</v>
      </c>
      <c r="D74" s="182"/>
    </row>
    <row r="75" customFormat="false" ht="15" hidden="false" customHeight="true" outlineLevel="0" collapsed="false">
      <c r="A75" s="181"/>
      <c r="D75" s="182"/>
    </row>
    <row r="76" customFormat="false" ht="15.75" hidden="false" customHeight="true" outlineLevel="0" collapsed="false">
      <c r="A76" s="183"/>
      <c r="B76" s="185"/>
      <c r="C76" s="185"/>
      <c r="D76" s="186"/>
    </row>
    <row r="78" customFormat="false" ht="15" hidden="false" customHeight="true" outlineLevel="0" collapsed="false">
      <c r="A78" s="1" t="s">
        <v>533</v>
      </c>
      <c r="B78" s="1" t="n">
        <v>4</v>
      </c>
    </row>
    <row r="79" customFormat="false" ht="15" hidden="false" customHeight="true" outlineLevel="0" collapsed="false">
      <c r="A79" s="1" t="s">
        <v>534</v>
      </c>
      <c r="B79" s="1" t="n">
        <v>5</v>
      </c>
    </row>
    <row r="80" customFormat="false" ht="15" hidden="false" customHeight="true" outlineLevel="0" collapsed="false">
      <c r="A80" s="1" t="s">
        <v>535</v>
      </c>
      <c r="B80" s="189" t="n">
        <v>0.15</v>
      </c>
    </row>
    <row r="81" customFormat="false" ht="15" hidden="false" customHeight="true" outlineLevel="0" collapsed="false">
      <c r="A81" s="1" t="s">
        <v>536</v>
      </c>
      <c r="B81" s="1" t="n">
        <v>0.4</v>
      </c>
    </row>
    <row r="82" customFormat="false" ht="15" hidden="false" customHeight="true" outlineLevel="0" collapsed="false">
      <c r="A82" s="1" t="s">
        <v>537</v>
      </c>
      <c r="B82" s="1" t="n">
        <v>0.31</v>
      </c>
    </row>
    <row r="83" customFormat="false" ht="15" hidden="false" customHeight="true" outlineLevel="0" collapsed="false">
      <c r="A83" s="1" t="s">
        <v>295</v>
      </c>
      <c r="B83" s="1" t="n">
        <v>100000</v>
      </c>
    </row>
    <row r="84" customFormat="false" ht="15" hidden="false" customHeight="true" outlineLevel="0" collapsed="false">
      <c r="A84" s="1" t="s">
        <v>538</v>
      </c>
      <c r="B84" s="1" t="n">
        <v>10</v>
      </c>
    </row>
    <row r="85" customFormat="false" ht="15" hidden="false" customHeight="true" outlineLevel="0" collapsed="false">
      <c r="A85" s="1" t="s">
        <v>539</v>
      </c>
      <c r="B85" s="1" t="n">
        <v>30</v>
      </c>
    </row>
    <row r="88" customFormat="false" ht="15" hidden="false" customHeight="true" outlineLevel="0" collapsed="false">
      <c r="A88" s="1" t="s">
        <v>578</v>
      </c>
      <c r="B88" s="194" t="n">
        <f aca="false">B82*(B84+B85+B84+B85)*B79/(((B84+B85+B84+B85)*B78*2.7-B80*B84*B85*B78))*100000/1000</f>
        <v>18.1286549707602</v>
      </c>
    </row>
    <row r="91" customFormat="false" ht="15" hidden="false" customHeight="true" outlineLevel="0" collapsed="false">
      <c r="A91" s="1" t="s">
        <v>579</v>
      </c>
    </row>
    <row r="92" customFormat="false" ht="30.75" hidden="false" customHeight="true" outlineLevel="0" collapsed="false">
      <c r="A92" s="23"/>
      <c r="B92" s="23" t="s">
        <v>580</v>
      </c>
      <c r="C92" s="23" t="s">
        <v>581</v>
      </c>
    </row>
    <row r="93" customFormat="false" ht="15" hidden="false" customHeight="true" outlineLevel="0" collapsed="false">
      <c r="A93" s="1" t="s">
        <v>582</v>
      </c>
      <c r="B93" s="1" t="n">
        <v>240</v>
      </c>
      <c r="C93" s="1" t="n">
        <v>700</v>
      </c>
    </row>
    <row r="94" customFormat="false" ht="15" hidden="false" customHeight="true" outlineLevel="0" collapsed="false">
      <c r="A94" s="1" t="s">
        <v>583</v>
      </c>
      <c r="B94" s="1" t="n">
        <v>270</v>
      </c>
      <c r="C94" s="1" t="n">
        <v>800</v>
      </c>
    </row>
    <row r="95" customFormat="false" ht="15" hidden="false" customHeight="true" outlineLevel="0" collapsed="false">
      <c r="A95" s="1" t="s">
        <v>584</v>
      </c>
      <c r="B95" s="1" t="n">
        <v>285</v>
      </c>
      <c r="C95" s="1" t="n">
        <v>850</v>
      </c>
    </row>
    <row r="96" customFormat="false" ht="15" hidden="false" customHeight="true" outlineLevel="0" collapsed="false">
      <c r="A96" s="1" t="s">
        <v>585</v>
      </c>
      <c r="B96" s="1" t="n">
        <v>300</v>
      </c>
      <c r="C96" s="1" t="n">
        <v>900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8.7109375" defaultRowHeight="15" zeroHeight="false" outlineLevelRow="0" outlineLevelCol="0"/>
  <cols>
    <col collapsed="false" customWidth="true" hidden="false" outlineLevel="0" max="1" min="1" style="1" width="38.87"/>
    <col collapsed="false" customWidth="true" hidden="false" outlineLevel="0" max="2" min="2" style="1" width="12.28"/>
    <col collapsed="false" customWidth="true" hidden="false" outlineLevel="0" max="4" min="4" style="1" width="19.28"/>
    <col collapsed="false" customWidth="true" hidden="false" outlineLevel="0" max="7" min="7" style="1" width="46.71"/>
  </cols>
  <sheetData>
    <row r="2" customFormat="false" ht="15" hidden="false" customHeight="true" outlineLevel="0" collapsed="false">
      <c r="A2" s="195" t="s">
        <v>31</v>
      </c>
      <c r="B2" s="195" t="s">
        <v>586</v>
      </c>
      <c r="C2" s="195" t="s">
        <v>587</v>
      </c>
      <c r="D2" s="195" t="s">
        <v>588</v>
      </c>
      <c r="E2" s="195" t="s">
        <v>589</v>
      </c>
      <c r="F2" s="195" t="s">
        <v>590</v>
      </c>
      <c r="G2" s="195" t="s">
        <v>38</v>
      </c>
    </row>
    <row r="3" customFormat="false" ht="15" hidden="false" customHeight="true" outlineLevel="0" collapsed="false">
      <c r="A3" s="1" t="s">
        <v>591</v>
      </c>
      <c r="B3" s="1" t="n">
        <v>2400</v>
      </c>
      <c r="C3" s="1" t="n">
        <v>225000</v>
      </c>
      <c r="G3" s="1" t="s">
        <v>592</v>
      </c>
    </row>
    <row r="4" customFormat="false" ht="15" hidden="false" customHeight="true" outlineLevel="0" collapsed="false">
      <c r="A4" s="1" t="s">
        <v>593</v>
      </c>
      <c r="B4" s="1" t="n">
        <v>1100</v>
      </c>
      <c r="C4" s="1" t="n">
        <v>61000</v>
      </c>
      <c r="G4" s="1" t="s">
        <v>594</v>
      </c>
    </row>
    <row r="5" customFormat="false" ht="15" hidden="false" customHeight="true" outlineLevel="0" collapsed="false">
      <c r="A5" s="1" t="s">
        <v>595</v>
      </c>
      <c r="B5" s="1" t="n">
        <v>20000</v>
      </c>
      <c r="G5" s="1" t="s">
        <v>596</v>
      </c>
    </row>
    <row r="6" customFormat="false" ht="15" hidden="false" customHeight="true" outlineLevel="0" collapsed="false">
      <c r="A6" s="1" t="s">
        <v>597</v>
      </c>
      <c r="B6" s="1" t="n">
        <v>35000</v>
      </c>
      <c r="G6" s="1" t="s">
        <v>598</v>
      </c>
    </row>
    <row r="7" customFormat="false" ht="15" hidden="false" customHeight="true" outlineLevel="0" collapsed="false">
      <c r="A7" s="1" t="s">
        <v>599</v>
      </c>
      <c r="C7" s="1" t="n">
        <v>80000</v>
      </c>
      <c r="G7" s="1" t="s">
        <v>600</v>
      </c>
    </row>
    <row r="8" customFormat="false" ht="15" hidden="false" customHeight="true" outlineLevel="0" collapsed="false">
      <c r="A8" s="1" t="s">
        <v>601</v>
      </c>
      <c r="C8" s="1" t="n">
        <v>27000</v>
      </c>
      <c r="G8" s="1" t="s">
        <v>602</v>
      </c>
    </row>
    <row r="9" customFormat="false" ht="15" hidden="false" customHeight="true" outlineLevel="0" collapsed="false">
      <c r="A9" s="1" t="s">
        <v>603</v>
      </c>
      <c r="F9" s="1" t="n">
        <v>17500</v>
      </c>
      <c r="G9" s="1" t="s">
        <v>604</v>
      </c>
    </row>
    <row r="10" customFormat="false" ht="15" hidden="false" customHeight="true" outlineLevel="0" collapsed="false">
      <c r="A10" s="1" t="s">
        <v>605</v>
      </c>
      <c r="C10" s="1" t="n">
        <v>4500</v>
      </c>
      <c r="G10" s="1" t="s">
        <v>606</v>
      </c>
    </row>
    <row r="11" customFormat="false" ht="15" hidden="false" customHeight="true" outlineLevel="0" collapsed="false">
      <c r="A11" s="1" t="s">
        <v>607</v>
      </c>
      <c r="C11" s="1" t="n">
        <v>3500</v>
      </c>
      <c r="G11" s="1" t="s">
        <v>608</v>
      </c>
    </row>
    <row r="12" customFormat="false" ht="15" hidden="false" customHeight="true" outlineLevel="0" collapsed="false">
      <c r="A12" s="1" t="s">
        <v>609</v>
      </c>
      <c r="D12" s="1" t="n">
        <v>200</v>
      </c>
      <c r="G12" s="1" t="s">
        <v>610</v>
      </c>
    </row>
    <row r="13" customFormat="false" ht="15" hidden="false" customHeight="true" outlineLevel="0" collapsed="false">
      <c r="A13" s="1" t="s">
        <v>611</v>
      </c>
      <c r="C13" s="1" t="n">
        <v>2000</v>
      </c>
      <c r="E13" s="1" t="n">
        <v>100000</v>
      </c>
      <c r="G13" s="1" t="s">
        <v>612</v>
      </c>
    </row>
    <row r="16" customFormat="false" ht="45" hidden="false" customHeight="true" outlineLevel="0" collapsed="false">
      <c r="A16" s="196" t="s">
        <v>613</v>
      </c>
      <c r="B16" s="197" t="s">
        <v>614</v>
      </c>
      <c r="C16" s="197"/>
      <c r="D16" s="197"/>
      <c r="E16" s="197"/>
      <c r="F16" s="197"/>
      <c r="G16" s="197"/>
    </row>
  </sheetData>
  <mergeCells count="1">
    <mergeCell ref="B16:G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6" activeCellId="0" sqref="B16"/>
    </sheetView>
  </sheetViews>
  <sheetFormatPr defaultColWidth="8.7109375" defaultRowHeight="15" zeroHeight="false" outlineLevelRow="0" outlineLevelCol="0"/>
  <cols>
    <col collapsed="false" customWidth="true" hidden="false" outlineLevel="0" max="1" min="1" style="1" width="38.28"/>
    <col collapsed="false" customWidth="true" hidden="false" outlineLevel="0" max="2" min="2" style="1" width="15.58"/>
  </cols>
  <sheetData>
    <row r="3" customFormat="false" ht="15.75" hidden="false" customHeight="true" outlineLevel="0" collapsed="false">
      <c r="A3" s="198"/>
      <c r="B3" s="198" t="s">
        <v>174</v>
      </c>
      <c r="C3" s="198" t="s">
        <v>615</v>
      </c>
    </row>
    <row r="4" customFormat="false" ht="15.75" hidden="false" customHeight="true" outlineLevel="0" collapsed="false">
      <c r="A4" s="199" t="s">
        <v>616</v>
      </c>
      <c r="B4" s="200" t="n">
        <v>1.15</v>
      </c>
      <c r="C4" s="200" t="n">
        <v>2</v>
      </c>
    </row>
    <row r="5" customFormat="false" ht="15" hidden="false" customHeight="true" outlineLevel="0" collapsed="false">
      <c r="A5" s="199" t="s">
        <v>617</v>
      </c>
      <c r="B5" s="201" t="n">
        <v>0.03</v>
      </c>
      <c r="C5" s="202" t="n">
        <v>0.04</v>
      </c>
    </row>
    <row r="6" customFormat="false" ht="15" hidden="false" customHeight="true" outlineLevel="0" collapsed="false">
      <c r="A6" s="199" t="s">
        <v>618</v>
      </c>
      <c r="B6" s="202" t="n">
        <v>0.04</v>
      </c>
    </row>
    <row r="7" customFormat="false" ht="15" hidden="false" customHeight="true" outlineLevel="0" collapsed="false">
      <c r="A7" s="199" t="s">
        <v>619</v>
      </c>
      <c r="B7" s="202" t="n">
        <v>0.02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36" activeCellId="0" sqref="I36"/>
    </sheetView>
  </sheetViews>
  <sheetFormatPr defaultColWidth="9.140625" defaultRowHeight="15" zeroHeight="false" outlineLevelRow="1" outlineLevelCol="1"/>
  <cols>
    <col collapsed="false" customWidth="true" hidden="false" outlineLevel="0" max="1" min="1" style="1" width="58.85"/>
    <col collapsed="false" customWidth="true" hidden="false" outlineLevel="0" max="2" min="2" style="1" width="7.43"/>
    <col collapsed="false" customWidth="true" hidden="false" outlineLevel="0" max="3" min="3" style="1" width="16"/>
    <col collapsed="false" customWidth="true" hidden="false" outlineLevel="0" max="4" min="4" style="1" width="15.85"/>
    <col collapsed="false" customWidth="false" hidden="false" outlineLevel="1" max="5" min="5" style="1" width="9.14"/>
    <col collapsed="false" customWidth="true" hidden="false" outlineLevel="1" max="6" min="6" style="1" width="20.57"/>
    <col collapsed="false" customWidth="true" hidden="false" outlineLevel="0" max="9" min="9" style="1" width="30.57"/>
    <col collapsed="false" customWidth="true" hidden="false" outlineLevel="0" max="10" min="10" style="1" width="23.57"/>
    <col collapsed="false" customWidth="true" hidden="false" outlineLevel="0" max="11" min="11" style="1" width="10"/>
  </cols>
  <sheetData>
    <row r="1" customFormat="false" ht="45.75" hidden="false" customHeight="true" outlineLevel="0" collapsed="false">
      <c r="A1" s="203" t="s">
        <v>620</v>
      </c>
      <c r="C1" s="204" t="s">
        <v>621</v>
      </c>
      <c r="D1" s="205"/>
    </row>
    <row r="2" customFormat="false" ht="24" hidden="false" customHeight="true" outlineLevel="0" collapsed="false">
      <c r="A2" s="206" t="s">
        <v>622</v>
      </c>
      <c r="B2" s="207" t="s">
        <v>623</v>
      </c>
      <c r="C2" s="208"/>
      <c r="D2" s="208"/>
      <c r="E2" s="204" t="s">
        <v>624</v>
      </c>
      <c r="F2" s="205"/>
    </row>
    <row r="3" customFormat="false" ht="15.75" hidden="false" customHeight="true" outlineLevel="0" collapsed="false">
      <c r="A3" s="209"/>
      <c r="B3" s="210"/>
      <c r="C3" s="211" t="s">
        <v>625</v>
      </c>
      <c r="D3" s="212" t="s">
        <v>626</v>
      </c>
      <c r="E3" s="204" t="s">
        <v>627</v>
      </c>
      <c r="F3" s="205"/>
    </row>
    <row r="4" customFormat="false" ht="13.5" hidden="false" customHeight="true" outlineLevel="0" collapsed="false">
      <c r="A4" s="209" t="s">
        <v>628</v>
      </c>
      <c r="C4" s="213" t="n">
        <f aca="false">Byggnader!$I$32</f>
        <v>0</v>
      </c>
      <c r="D4" s="213" t="s">
        <v>629</v>
      </c>
    </row>
    <row r="5" customFormat="false" ht="13.5" hidden="false" customHeight="true" outlineLevel="0" collapsed="false">
      <c r="A5" s="209" t="s">
        <v>630</v>
      </c>
      <c r="C5" s="214" t="n">
        <f aca="false">Energiprisfaktorer!B6</f>
        <v>0.04</v>
      </c>
      <c r="D5" s="215" t="s">
        <v>631</v>
      </c>
      <c r="E5" s="216"/>
      <c r="F5" s="217" t="s">
        <v>632</v>
      </c>
    </row>
    <row r="6" customFormat="false" ht="15.75" hidden="false" customHeight="true" outlineLevel="0" collapsed="false">
      <c r="A6" s="209" t="s">
        <v>633</v>
      </c>
      <c r="C6" s="218" t="n">
        <v>20</v>
      </c>
      <c r="D6" s="215" t="s">
        <v>634</v>
      </c>
      <c r="E6" s="219" t="e">
        <f aca="false">(D20-C20)/(C34+C22-D34-D22)</f>
        <v>#DIV/0!</v>
      </c>
      <c r="F6" s="217" t="s">
        <v>635</v>
      </c>
    </row>
    <row r="7" customFormat="false" ht="15.75" hidden="false" customHeight="true" outlineLevel="0" collapsed="false">
      <c r="A7" s="220" t="s">
        <v>636</v>
      </c>
      <c r="C7" s="214" t="n">
        <f aca="false">Energiprisfaktorer!B7</f>
        <v>0.02</v>
      </c>
      <c r="D7" s="221" t="str">
        <f aca="false">D5</f>
        <v>nominell</v>
      </c>
      <c r="E7" s="222"/>
      <c r="F7" s="223"/>
      <c r="I7" s="195" t="s">
        <v>637</v>
      </c>
      <c r="J7" s="195"/>
      <c r="K7" s="195"/>
      <c r="L7" s="195"/>
    </row>
    <row r="8" customFormat="false" ht="15.75" hidden="false" customHeight="true" outlineLevel="0" collapsed="false">
      <c r="A8" s="224" t="s">
        <v>638</v>
      </c>
      <c r="C8" s="225" t="s">
        <v>174</v>
      </c>
      <c r="D8" s="225" t="s">
        <v>143</v>
      </c>
      <c r="E8" s="222"/>
      <c r="F8" s="223"/>
    </row>
    <row r="9" customFormat="false" ht="14.25" hidden="false" customHeight="true" outlineLevel="0" collapsed="false">
      <c r="A9" s="226" t="s">
        <v>639</v>
      </c>
      <c r="C9" s="227" t="n">
        <f aca="false">Energiprisfaktorer!B4</f>
        <v>1.15</v>
      </c>
      <c r="D9" s="228" t="s">
        <v>640</v>
      </c>
      <c r="E9" s="222"/>
      <c r="F9" s="223"/>
      <c r="I9" s="199" t="s">
        <v>641</v>
      </c>
      <c r="K9" s="187" t="n">
        <v>20000</v>
      </c>
    </row>
    <row r="10" customFormat="false" ht="14.25" hidden="false" customHeight="true" outlineLevel="0" collapsed="false">
      <c r="A10" s="229" t="s">
        <v>642</v>
      </c>
      <c r="C10" s="230" t="n">
        <f aca="false">Energiprisfaktorer!B5</f>
        <v>0.03</v>
      </c>
      <c r="D10" s="231" t="str">
        <f aca="false">D5</f>
        <v>nominell</v>
      </c>
      <c r="E10" s="222"/>
      <c r="F10" s="223"/>
      <c r="I10" s="199" t="s">
        <v>643</v>
      </c>
      <c r="K10" s="1" t="n">
        <f aca="false">K9*J21*0.001</f>
        <v>0</v>
      </c>
    </row>
    <row r="11" customFormat="false" ht="14.25" hidden="false" customHeight="true" outlineLevel="1" collapsed="false">
      <c r="A11" s="224" t="s">
        <v>644</v>
      </c>
      <c r="C11" s="225" t="s">
        <v>615</v>
      </c>
      <c r="D11" s="225"/>
      <c r="E11" s="222"/>
      <c r="F11" s="223"/>
    </row>
    <row r="12" customFormat="false" ht="14.25" hidden="false" customHeight="true" outlineLevel="1" collapsed="false">
      <c r="A12" s="226" t="s">
        <v>639</v>
      </c>
      <c r="C12" s="227" t="n">
        <f aca="false">Energiprisfaktorer!C4</f>
        <v>2</v>
      </c>
      <c r="D12" s="228" t="s">
        <v>640</v>
      </c>
      <c r="E12" s="222"/>
      <c r="F12" s="223"/>
      <c r="I12" s="232" t="s">
        <v>645</v>
      </c>
      <c r="J12" s="233"/>
      <c r="K12" s="233"/>
      <c r="L12" s="233"/>
    </row>
    <row r="13" customFormat="false" ht="14.25" hidden="false" customHeight="true" outlineLevel="1" collapsed="false">
      <c r="A13" s="229" t="s">
        <v>642</v>
      </c>
      <c r="C13" s="230" t="n">
        <f aca="false">Energiprisfaktorer!C5</f>
        <v>0.04</v>
      </c>
      <c r="D13" s="231" t="str">
        <f aca="false">D5</f>
        <v>nominell</v>
      </c>
      <c r="E13" s="222"/>
      <c r="F13" s="223"/>
    </row>
    <row r="14" customFormat="false" ht="14.25" hidden="false" customHeight="true" outlineLevel="1" collapsed="false">
      <c r="A14" s="224" t="s">
        <v>646</v>
      </c>
      <c r="C14" s="225"/>
      <c r="D14" s="225"/>
      <c r="E14" s="222"/>
      <c r="F14" s="223"/>
      <c r="I14" s="199" t="s">
        <v>647</v>
      </c>
    </row>
    <row r="15" customFormat="false" ht="15.75" hidden="false" customHeight="true" outlineLevel="1" collapsed="false">
      <c r="A15" s="226" t="s">
        <v>639</v>
      </c>
      <c r="C15" s="227" t="n">
        <v>0.6</v>
      </c>
      <c r="D15" s="228" t="s">
        <v>640</v>
      </c>
      <c r="I15" s="234" t="s">
        <v>648</v>
      </c>
      <c r="J15" s="234"/>
      <c r="K15" s="234"/>
      <c r="L15" s="234"/>
      <c r="M15" s="234"/>
      <c r="N15" s="234"/>
    </row>
    <row r="16" customFormat="false" ht="15.75" hidden="false" customHeight="true" outlineLevel="1" collapsed="false">
      <c r="A16" s="229" t="s">
        <v>642</v>
      </c>
      <c r="C16" s="230" t="n">
        <v>0.04</v>
      </c>
      <c r="D16" s="231" t="str">
        <f aca="false">D5</f>
        <v>nominell</v>
      </c>
      <c r="I16" s="234"/>
      <c r="J16" s="234"/>
      <c r="K16" s="234"/>
      <c r="L16" s="234"/>
      <c r="M16" s="234"/>
      <c r="N16" s="234"/>
    </row>
    <row r="17" customFormat="false" ht="15.75" hidden="false" customHeight="true" outlineLevel="0" collapsed="false">
      <c r="A17" s="229" t="s">
        <v>649</v>
      </c>
      <c r="C17" s="235"/>
      <c r="D17" s="235"/>
      <c r="E17" s="222"/>
    </row>
    <row r="18" customFormat="false" ht="15.75" hidden="false" customHeight="true" outlineLevel="0" collapsed="false">
      <c r="A18" s="236"/>
      <c r="C18" s="236"/>
      <c r="D18" s="235"/>
      <c r="E18" s="222"/>
      <c r="I18" s="237" t="s">
        <v>650</v>
      </c>
    </row>
    <row r="19" customFormat="false" ht="15.75" hidden="false" customHeight="true" outlineLevel="0" collapsed="false">
      <c r="A19" s="236"/>
      <c r="C19" s="238" t="s">
        <v>651</v>
      </c>
      <c r="D19" s="239" t="s">
        <v>652</v>
      </c>
      <c r="I19" s="199" t="s">
        <v>653</v>
      </c>
      <c r="J19" s="189" t="n">
        <v>0.5</v>
      </c>
    </row>
    <row r="20" customFormat="false" ht="15.75" hidden="false" customHeight="true" outlineLevel="0" collapsed="false">
      <c r="A20" s="240" t="s">
        <v>654</v>
      </c>
      <c r="C20" s="241" t="n">
        <v>0</v>
      </c>
      <c r="D20" s="241" t="n">
        <f aca="false">K10</f>
        <v>0</v>
      </c>
      <c r="E20" s="242" t="e">
        <f aca="false">D20+C41-D41</f>
        <v>#DIV/0!</v>
      </c>
      <c r="F20" s="217" t="s">
        <v>655</v>
      </c>
      <c r="I20" s="199" t="s">
        <v>316</v>
      </c>
      <c r="J20" s="1" t="n">
        <f aca="false">Besiktningsprotokoll!B27</f>
        <v>0</v>
      </c>
    </row>
    <row r="21" customFormat="false" ht="15.75" hidden="false" customHeight="true" outlineLevel="0" collapsed="false">
      <c r="A21" s="236"/>
      <c r="C21" s="243"/>
      <c r="D21" s="243"/>
      <c r="E21" s="244"/>
      <c r="F21" s="245"/>
      <c r="I21" s="199" t="s">
        <v>656</v>
      </c>
      <c r="J21" s="194" t="n">
        <f aca="false">J20*J19</f>
        <v>0</v>
      </c>
    </row>
    <row r="22" customFormat="false" ht="15.75" hidden="false" customHeight="true" outlineLevel="0" collapsed="false">
      <c r="A22" s="220" t="s">
        <v>657</v>
      </c>
      <c r="C22" s="246" t="n">
        <v>0</v>
      </c>
      <c r="D22" s="246" t="n">
        <v>0</v>
      </c>
      <c r="I22" s="199" t="s">
        <v>658</v>
      </c>
      <c r="J22" s="194" t="n">
        <v>3.5</v>
      </c>
    </row>
    <row r="23" customFormat="false" ht="15.75" hidden="true" customHeight="true" outlineLevel="1" collapsed="false">
      <c r="A23" s="220" t="s">
        <v>659</v>
      </c>
      <c r="C23" s="241"/>
      <c r="D23" s="241"/>
    </row>
    <row r="24" customFormat="false" ht="15.75" hidden="true" customHeight="true" outlineLevel="1" collapsed="false">
      <c r="A24" s="220" t="s">
        <v>660</v>
      </c>
      <c r="C24" s="241"/>
      <c r="D24" s="241"/>
    </row>
    <row r="25" customFormat="false" ht="15.75" hidden="true" customHeight="true" outlineLevel="1" collapsed="false">
      <c r="A25" s="220" t="s">
        <v>661</v>
      </c>
      <c r="C25" s="241"/>
      <c r="D25" s="241"/>
    </row>
    <row r="26" customFormat="false" ht="15" hidden="false" customHeight="true" outlineLevel="0" collapsed="false">
      <c r="A26" s="220" t="s">
        <v>662</v>
      </c>
      <c r="C26" s="247"/>
      <c r="D26" s="247"/>
      <c r="I26" s="199" t="s">
        <v>663</v>
      </c>
      <c r="J26" s="17" t="n">
        <f aca="false">J28/25</f>
        <v>0</v>
      </c>
    </row>
    <row r="27" customFormat="false" ht="15.75" hidden="false" customHeight="true" outlineLevel="0" collapsed="false">
      <c r="A27" s="236"/>
      <c r="C27" s="247"/>
      <c r="D27" s="247"/>
      <c r="I27" s="199" t="s">
        <v>664</v>
      </c>
      <c r="J27" s="17" t="n">
        <f aca="false">J21/(J22)</f>
        <v>0</v>
      </c>
    </row>
    <row r="28" customFormat="false" ht="15.75" hidden="false" customHeight="true" outlineLevel="0" collapsed="false">
      <c r="A28" s="224" t="s">
        <v>665</v>
      </c>
      <c r="C28" s="248" t="e">
        <f aca="false">Normalisering!$I$89/'Installera bergvärme'!C4</f>
        <v>#DIV/0!</v>
      </c>
      <c r="D28" s="248" t="e">
        <f aca="false">(Normalisering!$I$89-'Installera bergvärme'!J30)/'Installera bergvärme'!C4</f>
        <v>#DIV/0!</v>
      </c>
      <c r="I28" s="199" t="s">
        <v>666</v>
      </c>
      <c r="J28" s="17" t="n">
        <f aca="false">J21-J27</f>
        <v>0</v>
      </c>
      <c r="K28" s="199"/>
      <c r="L28" s="199"/>
    </row>
    <row r="29" customFormat="false" ht="15.75" hidden="false" customHeight="true" outlineLevel="0" collapsed="false">
      <c r="A29" s="249" t="s">
        <v>667</v>
      </c>
      <c r="C29" s="250" t="e">
        <f aca="false">C28*$C$4*$C$9</f>
        <v>#DIV/0!</v>
      </c>
      <c r="D29" s="250" t="e">
        <f aca="false">D28*$C$4*$C$9</f>
        <v>#DIV/0!</v>
      </c>
      <c r="I29" s="199" t="s">
        <v>320</v>
      </c>
      <c r="J29" s="1" t="n">
        <v>5000</v>
      </c>
    </row>
    <row r="30" customFormat="false" ht="15.75" hidden="false" customHeight="true" outlineLevel="1" collapsed="false">
      <c r="A30" s="224" t="s">
        <v>668</v>
      </c>
      <c r="C30" s="248" t="e">
        <f aca="false">Mätdata!$D$68/'Installera bergvärme'!C4</f>
        <v>#DIV/0!</v>
      </c>
      <c r="D30" s="251" t="e">
        <f aca="false">(Mätdata!$D$68+'Installera bergvärme'!J31)/C4</f>
        <v>#DIV/0!</v>
      </c>
      <c r="I30" s="199" t="s">
        <v>669</v>
      </c>
      <c r="J30" s="194" t="n">
        <f aca="false">J21*J29*0.001</f>
        <v>0</v>
      </c>
    </row>
    <row r="31" customFormat="false" ht="15.75" hidden="false" customHeight="true" outlineLevel="1" collapsed="false">
      <c r="A31" s="249" t="s">
        <v>670</v>
      </c>
      <c r="C31" s="250" t="e">
        <f aca="false">C30*$C$4*$C$12</f>
        <v>#DIV/0!</v>
      </c>
      <c r="D31" s="250" t="e">
        <f aca="false">D30*$C$4*$C$12</f>
        <v>#DIV/0!</v>
      </c>
      <c r="I31" s="199" t="s">
        <v>671</v>
      </c>
      <c r="J31" s="194" t="n">
        <f aca="false">J27*J29*0.001</f>
        <v>0</v>
      </c>
    </row>
    <row r="32" customFormat="false" ht="15.75" hidden="false" customHeight="true" outlineLevel="1" collapsed="false">
      <c r="A32" s="224" t="s">
        <v>672</v>
      </c>
      <c r="C32" s="248"/>
      <c r="D32" s="248"/>
    </row>
    <row r="33" customFormat="false" ht="15.75" hidden="false" customHeight="true" outlineLevel="1" collapsed="false">
      <c r="A33" s="249" t="s">
        <v>673</v>
      </c>
      <c r="C33" s="250" t="n">
        <f aca="false">C32*$C$4*$C$15</f>
        <v>0</v>
      </c>
      <c r="D33" s="250" t="n">
        <f aca="false">D32*$C$4*$C$15</f>
        <v>0</v>
      </c>
    </row>
    <row r="34" customFormat="false" ht="15" hidden="false" customHeight="true" outlineLevel="1" collapsed="false">
      <c r="A34" s="236" t="s">
        <v>674</v>
      </c>
      <c r="C34" s="247" t="e">
        <f aca="false">C29+C31+C33</f>
        <v>#DIV/0!</v>
      </c>
      <c r="D34" s="247" t="e">
        <f aca="false">D29+D31+D33</f>
        <v>#DIV/0!</v>
      </c>
      <c r="F34" s="236"/>
    </row>
    <row r="35" customFormat="false" ht="15" hidden="false" customHeight="true" outlineLevel="1" collapsed="false">
      <c r="A35" s="236" t="s">
        <v>675</v>
      </c>
      <c r="C35" s="247" t="e">
        <f aca="false">(C28+C30+C32)*$C$4</f>
        <v>#DIV/0!</v>
      </c>
      <c r="D35" s="247" t="e">
        <f aca="false">(D28+D30+D32)*$C$4</f>
        <v>#DIV/0!</v>
      </c>
      <c r="F35" s="236"/>
    </row>
    <row r="36" customFormat="false" ht="15" hidden="false" customHeight="true" outlineLevel="1" collapsed="false">
      <c r="A36" s="236" t="s">
        <v>676</v>
      </c>
      <c r="C36" s="252" t="e">
        <f aca="false">C34/C35</f>
        <v>#DIV/0!</v>
      </c>
      <c r="D36" s="247"/>
      <c r="F36" s="236"/>
    </row>
    <row r="37" customFormat="false" ht="15" hidden="false" customHeight="true" outlineLevel="0" collapsed="false">
      <c r="A37" s="226" t="s">
        <v>649</v>
      </c>
      <c r="C37" s="247"/>
      <c r="D37" s="247"/>
      <c r="F37" s="236"/>
    </row>
    <row r="38" customFormat="false" ht="15.75" hidden="false" customHeight="true" outlineLevel="0" collapsed="false">
      <c r="A38" s="253"/>
      <c r="C38" s="247"/>
      <c r="D38" s="247"/>
      <c r="F38" s="236"/>
    </row>
    <row r="39" customFormat="false" ht="15" hidden="false" customHeight="true" outlineLevel="0" collapsed="false">
      <c r="A39" s="254" t="s">
        <v>677</v>
      </c>
      <c r="B39" s="255"/>
      <c r="C39" s="256" t="n">
        <f aca="false">C20-PV($C$5-$C$7,$C$6,C22)+C23+C24/(1+$C$5-$C$7)^10+C25/(1+$C$5-$C$7)^20</f>
        <v>0</v>
      </c>
      <c r="D39" s="257" t="n">
        <f aca="false">D20-PV($C$5-$C$7,$C$6,D22)+D23+D24/(1+$C$5-$C$7)^10+D25/(1+$C$5-$C$7)^20</f>
        <v>0</v>
      </c>
      <c r="F39" s="236"/>
    </row>
    <row r="40" customFormat="false" ht="15.75" hidden="false" customHeight="true" outlineLevel="0" collapsed="false">
      <c r="A40" s="258" t="s">
        <v>678</v>
      </c>
      <c r="B40" s="259"/>
      <c r="C40" s="260" t="e">
        <f aca="false">-PV($C$5-$C$10,$C$6,C29)-PV($C$5-$C$13,$C$6,C31)-PV($C$5-$C$16,$C$6,C33)</f>
        <v>#DIV/0!</v>
      </c>
      <c r="D40" s="261" t="e">
        <f aca="false">-PV($C$5-$C$10,$C$6,D29)-PV($C$5-$C$13,$C$6,D31)-PV($C$5-$C$16,$C$6,D33)</f>
        <v>#DIV/0!</v>
      </c>
      <c r="F40" s="236"/>
    </row>
    <row r="41" customFormat="false" ht="15.75" hidden="false" customHeight="true" outlineLevel="0" collapsed="false">
      <c r="A41" s="262" t="s">
        <v>679</v>
      </c>
      <c r="B41" s="263"/>
      <c r="C41" s="264" t="e">
        <f aca="false">C39+C40</f>
        <v>#DIV/0!</v>
      </c>
      <c r="D41" s="265" t="e">
        <f aca="false">D39+D40</f>
        <v>#DIV/0!</v>
      </c>
      <c r="F41" s="236"/>
    </row>
    <row r="42" customFormat="false" ht="15.75" hidden="false" customHeight="true" outlineLevel="0" collapsed="false">
      <c r="A42" s="266"/>
      <c r="B42" s="267"/>
      <c r="C42" s="268" t="s">
        <v>680</v>
      </c>
      <c r="D42" s="269" t="e">
        <f aca="false">C41-D41</f>
        <v>#DIV/0!</v>
      </c>
      <c r="F42" s="236"/>
    </row>
    <row r="43" s="236" customFormat="true" ht="12.75" hidden="false" customHeight="true" outlineLevel="0" collapsed="false">
      <c r="A43" s="270" t="s">
        <v>681</v>
      </c>
      <c r="B43" s="271"/>
      <c r="C43" s="272" t="e">
        <f aca="false">(D39-C39)/(C40-D40)*C36</f>
        <v>#DIV/0!</v>
      </c>
      <c r="D43" s="273" t="e">
        <f aca="false">IF($D42&gt;0,"LÖNSAMT","EJ LÖNSAMT")</f>
        <v>#DIV/0!</v>
      </c>
    </row>
    <row r="44" customFormat="false" ht="15.75" hidden="false" customHeight="true" outlineLevel="0" collapsed="false">
      <c r="A44" s="274" t="s">
        <v>682</v>
      </c>
      <c r="B44" s="185"/>
      <c r="C44" s="275" t="e">
        <f aca="false">C36</f>
        <v>#DIV/0!</v>
      </c>
      <c r="D44" s="276"/>
      <c r="F44" s="236"/>
    </row>
    <row r="45" customFormat="false" ht="15" hidden="false" customHeight="true" outlineLevel="0" collapsed="false">
      <c r="C45" s="247"/>
      <c r="D45" s="247"/>
      <c r="F45" s="236"/>
    </row>
    <row r="46" customFormat="false" ht="15.75" hidden="false" customHeight="true" outlineLevel="0" collapsed="false">
      <c r="D46" s="277"/>
    </row>
    <row r="47" customFormat="false" ht="15.75" hidden="false" customHeight="true" outlineLevel="0" collapsed="false">
      <c r="A47" s="278" t="s">
        <v>683</v>
      </c>
      <c r="B47" s="279"/>
      <c r="D47" s="280" t="s">
        <v>684</v>
      </c>
    </row>
    <row r="49" customFormat="false" ht="15" hidden="false" customHeight="true" outlineLevel="0" collapsed="false">
      <c r="F49" s="222"/>
    </row>
  </sheetData>
  <mergeCells count="3">
    <mergeCell ref="C2:D2"/>
    <mergeCell ref="I7:L7"/>
    <mergeCell ref="I15:N16"/>
  </mergeCells>
  <dataValidations count="1">
    <dataValidation allowBlank="false" errorStyle="stop" operator="between" showDropDown="false" showErrorMessage="false" showInputMessage="false" sqref="B2" type="list">
      <formula1>"Ja,Nej"</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9"/>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B2" activeCellId="0" sqref="B2"/>
    </sheetView>
  </sheetViews>
  <sheetFormatPr defaultColWidth="9.140625" defaultRowHeight="15" zeroHeight="false" outlineLevelRow="1" outlineLevelCol="1"/>
  <cols>
    <col collapsed="false" customWidth="true" hidden="false" outlineLevel="0" max="1" min="1" style="1" width="58.85"/>
    <col collapsed="false" customWidth="true" hidden="false" outlineLevel="0" max="2" min="2" style="1" width="6"/>
    <col collapsed="false" customWidth="true" hidden="false" outlineLevel="0" max="3" min="3" style="1" width="16"/>
    <col collapsed="false" customWidth="true" hidden="false" outlineLevel="0" max="4" min="4" style="1" width="15.85"/>
    <col collapsed="false" customWidth="false" hidden="false" outlineLevel="1" max="5" min="5" style="1" width="9.14"/>
    <col collapsed="false" customWidth="true" hidden="false" outlineLevel="1" max="6" min="6" style="1" width="20.57"/>
  </cols>
  <sheetData>
    <row r="1" customFormat="false" ht="39.75" hidden="false" customHeight="true" outlineLevel="0" collapsed="false">
      <c r="A1" s="203" t="s">
        <v>685</v>
      </c>
      <c r="C1" s="204" t="s">
        <v>621</v>
      </c>
      <c r="D1" s="205"/>
    </row>
    <row r="2" customFormat="false" ht="24" hidden="false" customHeight="true" outlineLevel="0" collapsed="false">
      <c r="A2" s="206" t="s">
        <v>622</v>
      </c>
      <c r="B2" s="207" t="s">
        <v>623</v>
      </c>
      <c r="C2" s="208"/>
      <c r="D2" s="208"/>
      <c r="E2" s="204" t="s">
        <v>624</v>
      </c>
      <c r="F2" s="205"/>
    </row>
    <row r="3" customFormat="false" ht="15.75" hidden="false" customHeight="true" outlineLevel="0" collapsed="false">
      <c r="A3" s="209"/>
      <c r="B3" s="210"/>
      <c r="C3" s="211" t="s">
        <v>625</v>
      </c>
      <c r="D3" s="212" t="s">
        <v>626</v>
      </c>
      <c r="E3" s="204" t="s">
        <v>627</v>
      </c>
      <c r="F3" s="205"/>
    </row>
    <row r="4" customFormat="false" ht="13.5" hidden="false" customHeight="true" outlineLevel="0" collapsed="false">
      <c r="A4" s="209" t="s">
        <v>628</v>
      </c>
      <c r="C4" s="213" t="n">
        <f aca="false">Byggnader!$I$32</f>
        <v>0</v>
      </c>
      <c r="D4" s="213" t="s">
        <v>629</v>
      </c>
    </row>
    <row r="5" customFormat="false" ht="13.5" hidden="false" customHeight="true" outlineLevel="0" collapsed="false">
      <c r="A5" s="209" t="s">
        <v>630</v>
      </c>
      <c r="C5" s="214" t="n">
        <f aca="false">Energiprisfaktorer!B6</f>
        <v>0.04</v>
      </c>
      <c r="D5" s="215" t="s">
        <v>631</v>
      </c>
      <c r="E5" s="216"/>
      <c r="F5" s="217" t="s">
        <v>632</v>
      </c>
    </row>
    <row r="6" customFormat="false" ht="15.75" hidden="false" customHeight="true" outlineLevel="0" collapsed="false">
      <c r="A6" s="209" t="s">
        <v>633</v>
      </c>
      <c r="C6" s="218" t="n">
        <v>20</v>
      </c>
      <c r="D6" s="215" t="s">
        <v>634</v>
      </c>
      <c r="E6" s="219" t="e">
        <f aca="false">(D20-C20)/(C34+C22-D34-D22)</f>
        <v>#DIV/0!</v>
      </c>
      <c r="F6" s="217" t="s">
        <v>635</v>
      </c>
    </row>
    <row r="7" customFormat="false" ht="15.75" hidden="false" customHeight="true" outlineLevel="0" collapsed="false">
      <c r="A7" s="220" t="s">
        <v>636</v>
      </c>
      <c r="C7" s="214" t="n">
        <f aca="false">Energiprisfaktorer!B7</f>
        <v>0.02</v>
      </c>
      <c r="D7" s="221" t="str">
        <f aca="false">D5</f>
        <v>nominell</v>
      </c>
      <c r="E7" s="222"/>
      <c r="F7" s="223"/>
      <c r="I7" s="195" t="s">
        <v>637</v>
      </c>
      <c r="J7" s="195"/>
      <c r="K7" s="195"/>
      <c r="L7" s="195"/>
    </row>
    <row r="8" customFormat="false" ht="15.75" hidden="false" customHeight="true" outlineLevel="0" collapsed="false">
      <c r="A8" s="224" t="s">
        <v>638</v>
      </c>
      <c r="C8" s="225" t="s">
        <v>174</v>
      </c>
      <c r="D8" s="225" t="s">
        <v>143</v>
      </c>
      <c r="E8" s="222"/>
      <c r="F8" s="223"/>
    </row>
    <row r="9" customFormat="false" ht="14.25" hidden="false" customHeight="true" outlineLevel="0" collapsed="false">
      <c r="A9" s="226" t="s">
        <v>639</v>
      </c>
      <c r="C9" s="227" t="n">
        <f aca="false">Energiprisfaktorer!B4</f>
        <v>1.15</v>
      </c>
      <c r="D9" s="228" t="s">
        <v>640</v>
      </c>
      <c r="E9" s="222"/>
      <c r="F9" s="223"/>
      <c r="I9" s="199" t="s">
        <v>686</v>
      </c>
      <c r="K9" s="189" t="n">
        <v>0.1</v>
      </c>
    </row>
    <row r="10" customFormat="false" ht="14.25" hidden="false" customHeight="true" outlineLevel="0" collapsed="false">
      <c r="A10" s="229" t="s">
        <v>642</v>
      </c>
      <c r="C10" s="230" t="n">
        <f aca="false">Energiprisfaktorer!B5</f>
        <v>0.03</v>
      </c>
      <c r="D10" s="231" t="str">
        <f aca="false">D5</f>
        <v>nominell</v>
      </c>
      <c r="E10" s="222"/>
      <c r="F10" s="223"/>
      <c r="I10" s="199" t="s">
        <v>643</v>
      </c>
      <c r="K10" s="1" t="n">
        <f aca="false">J21*J20*J19</f>
        <v>0</v>
      </c>
    </row>
    <row r="11" customFormat="false" ht="14.25" hidden="false" customHeight="true" outlineLevel="1" collapsed="false">
      <c r="A11" s="224" t="s">
        <v>644</v>
      </c>
      <c r="C11" s="225" t="s">
        <v>615</v>
      </c>
      <c r="D11" s="225"/>
      <c r="E11" s="222"/>
      <c r="F11" s="223"/>
    </row>
    <row r="12" customFormat="false" ht="14.25" hidden="false" customHeight="true" outlineLevel="1" collapsed="false">
      <c r="A12" s="226" t="s">
        <v>639</v>
      </c>
      <c r="C12" s="227" t="n">
        <f aca="false">Energiprisfaktorer!C4</f>
        <v>2</v>
      </c>
      <c r="D12" s="228" t="s">
        <v>640</v>
      </c>
      <c r="E12" s="222"/>
      <c r="F12" s="223"/>
      <c r="I12" s="232" t="s">
        <v>645</v>
      </c>
      <c r="J12" s="233"/>
      <c r="K12" s="233"/>
      <c r="L12" s="233"/>
    </row>
    <row r="13" customFormat="false" ht="14.25" hidden="false" customHeight="true" outlineLevel="1" collapsed="false">
      <c r="A13" s="229" t="s">
        <v>642</v>
      </c>
      <c r="C13" s="230" t="n">
        <f aca="false">Energiprisfaktorer!C5</f>
        <v>0.04</v>
      </c>
      <c r="D13" s="231" t="str">
        <f aca="false">D5</f>
        <v>nominell</v>
      </c>
      <c r="E13" s="222"/>
      <c r="F13" s="223"/>
    </row>
    <row r="14" customFormat="false" ht="14.25" hidden="false" customHeight="true" outlineLevel="1" collapsed="false">
      <c r="A14" s="224" t="s">
        <v>646</v>
      </c>
      <c r="C14" s="225"/>
      <c r="D14" s="225"/>
      <c r="E14" s="222"/>
      <c r="F14" s="223"/>
      <c r="I14" s="199" t="s">
        <v>647</v>
      </c>
    </row>
    <row r="15" customFormat="false" ht="15.75" hidden="false" customHeight="true" outlineLevel="1" collapsed="false">
      <c r="A15" s="226" t="s">
        <v>639</v>
      </c>
      <c r="C15" s="227" t="n">
        <v>0.6</v>
      </c>
      <c r="D15" s="228" t="s">
        <v>640</v>
      </c>
      <c r="I15" s="234" t="s">
        <v>687</v>
      </c>
      <c r="J15" s="234"/>
      <c r="K15" s="234"/>
      <c r="L15" s="234"/>
      <c r="M15" s="234"/>
      <c r="N15" s="234"/>
    </row>
    <row r="16" customFormat="false" ht="70.5" hidden="false" customHeight="true" outlineLevel="1" collapsed="false">
      <c r="A16" s="229" t="s">
        <v>642</v>
      </c>
      <c r="C16" s="230" t="n">
        <v>0.04</v>
      </c>
      <c r="D16" s="231" t="str">
        <f aca="false">D5</f>
        <v>nominell</v>
      </c>
      <c r="I16" s="234"/>
      <c r="J16" s="234"/>
      <c r="K16" s="234"/>
      <c r="L16" s="234"/>
      <c r="M16" s="234"/>
      <c r="N16" s="234"/>
    </row>
    <row r="17" customFormat="false" ht="15.75" hidden="false" customHeight="true" outlineLevel="0" collapsed="false">
      <c r="A17" s="229" t="s">
        <v>649</v>
      </c>
      <c r="C17" s="235"/>
      <c r="D17" s="235"/>
      <c r="E17" s="222"/>
    </row>
    <row r="18" customFormat="false" ht="15.75" hidden="false" customHeight="true" outlineLevel="0" collapsed="false">
      <c r="A18" s="236"/>
      <c r="C18" s="236"/>
      <c r="D18" s="235"/>
      <c r="E18" s="222"/>
      <c r="I18" s="199" t="s">
        <v>650</v>
      </c>
    </row>
    <row r="19" customFormat="false" ht="15.75" hidden="false" customHeight="true" outlineLevel="0" collapsed="false">
      <c r="A19" s="236"/>
      <c r="C19" s="238" t="s">
        <v>651</v>
      </c>
      <c r="D19" s="239" t="s">
        <v>652</v>
      </c>
      <c r="I19" s="199" t="s">
        <v>688</v>
      </c>
      <c r="J19" s="17" t="n">
        <f aca="false">Byggnader!$I$18</f>
        <v>0</v>
      </c>
    </row>
    <row r="20" customFormat="false" ht="15.75" hidden="false" customHeight="true" outlineLevel="0" collapsed="false">
      <c r="A20" s="240" t="s">
        <v>654</v>
      </c>
      <c r="C20" s="241" t="n">
        <v>0</v>
      </c>
      <c r="D20" s="241" t="n">
        <f aca="false">K10</f>
        <v>0</v>
      </c>
      <c r="E20" s="242" t="e">
        <f aca="false">D20+C41-D41</f>
        <v>#DIV/0!</v>
      </c>
      <c r="F20" s="217" t="s">
        <v>655</v>
      </c>
      <c r="I20" s="199" t="s">
        <v>689</v>
      </c>
      <c r="J20" s="1" t="n">
        <v>6</v>
      </c>
    </row>
    <row r="21" customFormat="false" ht="15.75" hidden="false" customHeight="true" outlineLevel="0" collapsed="false">
      <c r="A21" s="236"/>
      <c r="C21" s="243"/>
      <c r="D21" s="243"/>
      <c r="E21" s="244"/>
      <c r="F21" s="245"/>
      <c r="I21" s="199" t="s">
        <v>690</v>
      </c>
      <c r="J21" s="1" t="n">
        <v>800</v>
      </c>
    </row>
    <row r="22" customFormat="false" ht="15.75" hidden="false" customHeight="true" outlineLevel="0" collapsed="false">
      <c r="A22" s="220" t="s">
        <v>657</v>
      </c>
      <c r="C22" s="246" t="n">
        <v>0</v>
      </c>
      <c r="D22" s="246" t="n">
        <v>0</v>
      </c>
    </row>
    <row r="23" customFormat="false" ht="15.75" hidden="true" customHeight="true" outlineLevel="1" collapsed="false">
      <c r="A23" s="220" t="s">
        <v>659</v>
      </c>
      <c r="C23" s="241"/>
      <c r="D23" s="241"/>
    </row>
    <row r="24" customFormat="false" ht="15.75" hidden="true" customHeight="true" outlineLevel="1" collapsed="false">
      <c r="A24" s="220" t="s">
        <v>660</v>
      </c>
      <c r="C24" s="241"/>
      <c r="D24" s="241"/>
    </row>
    <row r="25" customFormat="false" ht="15.75" hidden="true" customHeight="true" outlineLevel="1" collapsed="false">
      <c r="A25" s="220" t="s">
        <v>661</v>
      </c>
      <c r="C25" s="241"/>
      <c r="D25" s="241"/>
    </row>
    <row r="26" customFormat="false" ht="15" hidden="false" customHeight="true" outlineLevel="0" collapsed="false">
      <c r="A26" s="220" t="s">
        <v>662</v>
      </c>
      <c r="C26" s="247"/>
      <c r="D26" s="247"/>
    </row>
    <row r="27" customFormat="false" ht="15.75" hidden="false" customHeight="true" outlineLevel="0" collapsed="false">
      <c r="A27" s="236"/>
      <c r="C27" s="247"/>
      <c r="D27" s="247"/>
    </row>
    <row r="28" customFormat="false" ht="15.75" hidden="false" customHeight="true" outlineLevel="0" collapsed="false">
      <c r="A28" s="224" t="s">
        <v>665</v>
      </c>
      <c r="C28" s="248" t="e">
        <f aca="false">Normalisering!$I$112/'Injustering av värmesystem'!C4</f>
        <v>#DIV/0!</v>
      </c>
      <c r="D28" s="248" t="e">
        <f aca="false">C28-K9*C28</f>
        <v>#DIV/0!</v>
      </c>
    </row>
    <row r="29" customFormat="false" ht="15.75" hidden="false" customHeight="true" outlineLevel="0" collapsed="false">
      <c r="A29" s="249" t="s">
        <v>667</v>
      </c>
      <c r="C29" s="250" t="e">
        <f aca="false">C28*$C$4*$C$9</f>
        <v>#DIV/0!</v>
      </c>
      <c r="D29" s="250" t="e">
        <f aca="false">D28*$C$4*$C$9</f>
        <v>#DIV/0!</v>
      </c>
    </row>
    <row r="30" customFormat="false" ht="15.75" hidden="false" customHeight="true" outlineLevel="1" collapsed="false">
      <c r="A30" s="224" t="s">
        <v>668</v>
      </c>
      <c r="C30" s="248" t="e">
        <f aca="false">Normalisering!$I$113/'Injustering av värmesystem'!C4</f>
        <v>#DIV/0!</v>
      </c>
      <c r="D30" s="248" t="e">
        <f aca="false">C30-K9*C30</f>
        <v>#DIV/0!</v>
      </c>
    </row>
    <row r="31" customFormat="false" ht="15.75" hidden="false" customHeight="true" outlineLevel="1" collapsed="false">
      <c r="A31" s="249" t="s">
        <v>670</v>
      </c>
      <c r="C31" s="250" t="e">
        <f aca="false">C30*$C$4*$C$12</f>
        <v>#DIV/0!</v>
      </c>
      <c r="D31" s="250" t="e">
        <f aca="false">D30*$C$4*$C$12</f>
        <v>#DIV/0!</v>
      </c>
    </row>
    <row r="32" customFormat="false" ht="15.75" hidden="false" customHeight="true" outlineLevel="1" collapsed="false">
      <c r="A32" s="224" t="s">
        <v>672</v>
      </c>
      <c r="C32" s="248"/>
      <c r="D32" s="248"/>
    </row>
    <row r="33" customFormat="false" ht="15.75" hidden="false" customHeight="true" outlineLevel="1" collapsed="false">
      <c r="A33" s="249" t="s">
        <v>673</v>
      </c>
      <c r="C33" s="250" t="n">
        <f aca="false">C32*$C$4*$C$15</f>
        <v>0</v>
      </c>
      <c r="D33" s="250" t="n">
        <f aca="false">D32*$C$4*$C$15</f>
        <v>0</v>
      </c>
    </row>
    <row r="34" customFormat="false" ht="15" hidden="false" customHeight="true" outlineLevel="1" collapsed="false">
      <c r="A34" s="236" t="s">
        <v>674</v>
      </c>
      <c r="C34" s="247" t="e">
        <f aca="false">C29+C31+C33</f>
        <v>#DIV/0!</v>
      </c>
      <c r="D34" s="247" t="e">
        <f aca="false">D29+D31+D33</f>
        <v>#DIV/0!</v>
      </c>
      <c r="F34" s="236"/>
    </row>
    <row r="35" customFormat="false" ht="15" hidden="false" customHeight="true" outlineLevel="1" collapsed="false">
      <c r="A35" s="236" t="s">
        <v>675</v>
      </c>
      <c r="C35" s="247" t="e">
        <f aca="false">(C28+C30+C32)*$C$4</f>
        <v>#DIV/0!</v>
      </c>
      <c r="D35" s="247" t="e">
        <f aca="false">(D28+D30+D32)*$C$4</f>
        <v>#DIV/0!</v>
      </c>
      <c r="F35" s="236"/>
    </row>
    <row r="36" customFormat="false" ht="15" hidden="false" customHeight="true" outlineLevel="1" collapsed="false">
      <c r="A36" s="236" t="s">
        <v>676</v>
      </c>
      <c r="C36" s="252" t="e">
        <f aca="false">C34/C35</f>
        <v>#DIV/0!</v>
      </c>
      <c r="D36" s="247"/>
      <c r="F36" s="236"/>
    </row>
    <row r="37" customFormat="false" ht="15" hidden="false" customHeight="true" outlineLevel="0" collapsed="false">
      <c r="A37" s="226" t="s">
        <v>649</v>
      </c>
      <c r="C37" s="247"/>
      <c r="D37" s="247"/>
      <c r="F37" s="236"/>
    </row>
    <row r="38" customFormat="false" ht="15.75" hidden="false" customHeight="true" outlineLevel="0" collapsed="false">
      <c r="A38" s="253"/>
      <c r="C38" s="247"/>
      <c r="D38" s="247"/>
      <c r="F38" s="236"/>
    </row>
    <row r="39" customFormat="false" ht="15" hidden="false" customHeight="true" outlineLevel="0" collapsed="false">
      <c r="A39" s="254" t="s">
        <v>677</v>
      </c>
      <c r="B39" s="255"/>
      <c r="C39" s="256" t="n">
        <f aca="false">C20-PV($C$5-$C$7,$C$6,C22)+C23+C24/(1+$C$5-$C$7)^10+C25/(1+$C$5-$C$7)^20</f>
        <v>0</v>
      </c>
      <c r="D39" s="257" t="n">
        <f aca="false">D20-PV($C$5-$C$7,$C$6,D22)+D23+D24/(1+$C$5-$C$7)^10+D25/(1+$C$5-$C$7)^20</f>
        <v>0</v>
      </c>
      <c r="F39" s="236"/>
    </row>
    <row r="40" customFormat="false" ht="15.75" hidden="false" customHeight="true" outlineLevel="0" collapsed="false">
      <c r="A40" s="258" t="s">
        <v>678</v>
      </c>
      <c r="B40" s="259"/>
      <c r="C40" s="260" t="e">
        <f aca="false">-PV($C$5-$C$10,$C$6,C29)-PV($C$5-$C$13,$C$6,C31)-PV($C$5-$C$16,$C$6,C33)</f>
        <v>#DIV/0!</v>
      </c>
      <c r="D40" s="261" t="e">
        <f aca="false">-PV($C$5-$C$10,$C$6,D29)-PV($C$5-$C$13,$C$6,D31)-PV($C$5-$C$16,$C$6,D33)</f>
        <v>#DIV/0!</v>
      </c>
      <c r="F40" s="236"/>
    </row>
    <row r="41" customFormat="false" ht="15.75" hidden="false" customHeight="true" outlineLevel="0" collapsed="false">
      <c r="A41" s="262" t="s">
        <v>679</v>
      </c>
      <c r="B41" s="263"/>
      <c r="C41" s="264" t="e">
        <f aca="false">C39+C40</f>
        <v>#DIV/0!</v>
      </c>
      <c r="D41" s="265" t="e">
        <f aca="false">D39+D40</f>
        <v>#DIV/0!</v>
      </c>
      <c r="F41" s="236"/>
    </row>
    <row r="42" customFormat="false" ht="15.75" hidden="false" customHeight="true" outlineLevel="0" collapsed="false">
      <c r="A42" s="266"/>
      <c r="B42" s="267"/>
      <c r="C42" s="268" t="s">
        <v>680</v>
      </c>
      <c r="D42" s="269" t="e">
        <f aca="false">C41-D41</f>
        <v>#DIV/0!</v>
      </c>
      <c r="F42" s="236"/>
    </row>
    <row r="43" s="236" customFormat="true" ht="12.75" hidden="false" customHeight="true" outlineLevel="0" collapsed="false">
      <c r="A43" s="270" t="s">
        <v>681</v>
      </c>
      <c r="B43" s="271"/>
      <c r="C43" s="272" t="e">
        <f aca="false">(D39-C39)/(C40-D40)*C36</f>
        <v>#DIV/0!</v>
      </c>
      <c r="D43" s="273" t="e">
        <f aca="false">IF($D42&gt;0,"LÖNSAMT","EJ LÖNSAMT")</f>
        <v>#DIV/0!</v>
      </c>
    </row>
    <row r="44" customFormat="false" ht="15.75" hidden="false" customHeight="true" outlineLevel="0" collapsed="false">
      <c r="A44" s="274" t="s">
        <v>682</v>
      </c>
      <c r="B44" s="185"/>
      <c r="C44" s="275" t="e">
        <f aca="false">C36</f>
        <v>#DIV/0!</v>
      </c>
      <c r="D44" s="276"/>
      <c r="F44" s="236"/>
    </row>
    <row r="45" customFormat="false" ht="15" hidden="false" customHeight="true" outlineLevel="0" collapsed="false">
      <c r="C45" s="247"/>
      <c r="D45" s="247"/>
      <c r="F45" s="236"/>
    </row>
    <row r="46" customFormat="false" ht="15.75" hidden="false" customHeight="true" outlineLevel="0" collapsed="false">
      <c r="D46" s="277"/>
    </row>
    <row r="47" customFormat="false" ht="15.75" hidden="false" customHeight="true" outlineLevel="0" collapsed="false">
      <c r="A47" s="278" t="s">
        <v>683</v>
      </c>
      <c r="B47" s="279"/>
      <c r="D47" s="280" t="s">
        <v>684</v>
      </c>
    </row>
    <row r="49" customFormat="false" ht="15" hidden="false" customHeight="true" outlineLevel="0" collapsed="false">
      <c r="F49" s="222"/>
    </row>
  </sheetData>
  <mergeCells count="3">
    <mergeCell ref="C2:D2"/>
    <mergeCell ref="I7:L7"/>
    <mergeCell ref="I15:N16"/>
  </mergeCells>
  <dataValidations count="1">
    <dataValidation allowBlank="false" errorStyle="stop" operator="between" showDropDown="false" showErrorMessage="false" showInputMessage="false" sqref="B2" type="list">
      <formula1>"Ja,Nej"</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9.140625" defaultRowHeight="15" zeroHeight="false" outlineLevelRow="1" outlineLevelCol="1"/>
  <cols>
    <col collapsed="false" customWidth="true" hidden="false" outlineLevel="0" max="1" min="1" style="1" width="58.85"/>
    <col collapsed="false" customWidth="true" hidden="false" outlineLevel="0" max="2" min="2" style="1" width="1.28"/>
    <col collapsed="false" customWidth="true" hidden="false" outlineLevel="0" max="3" min="3" style="1" width="16"/>
    <col collapsed="false" customWidth="true" hidden="false" outlineLevel="0" max="4" min="4" style="1" width="15.85"/>
    <col collapsed="false" customWidth="false" hidden="false" outlineLevel="1" max="5" min="5" style="1" width="9.14"/>
    <col collapsed="false" customWidth="true" hidden="false" outlineLevel="1" max="6" min="6" style="1" width="20.57"/>
  </cols>
  <sheetData>
    <row r="1" customFormat="false" ht="43.5" hidden="false" customHeight="true" outlineLevel="0" collapsed="false">
      <c r="A1" s="203" t="s">
        <v>691</v>
      </c>
      <c r="C1" s="204" t="s">
        <v>621</v>
      </c>
      <c r="D1" s="205"/>
    </row>
    <row r="2" customFormat="false" ht="24" hidden="false" customHeight="true" outlineLevel="0" collapsed="false">
      <c r="A2" s="206" t="s">
        <v>622</v>
      </c>
      <c r="B2" s="207" t="s">
        <v>623</v>
      </c>
      <c r="C2" s="208"/>
      <c r="D2" s="208"/>
      <c r="E2" s="204" t="s">
        <v>624</v>
      </c>
      <c r="F2" s="205"/>
    </row>
    <row r="3" customFormat="false" ht="15.75" hidden="false" customHeight="true" outlineLevel="0" collapsed="false">
      <c r="A3" s="209"/>
      <c r="B3" s="210"/>
      <c r="C3" s="211" t="s">
        <v>625</v>
      </c>
      <c r="D3" s="212" t="s">
        <v>626</v>
      </c>
      <c r="E3" s="204" t="s">
        <v>627</v>
      </c>
      <c r="F3" s="205"/>
    </row>
    <row r="4" customFormat="false" ht="13.5" hidden="false" customHeight="true" outlineLevel="0" collapsed="false">
      <c r="A4" s="209" t="s">
        <v>628</v>
      </c>
      <c r="C4" s="213" t="n">
        <f aca="false">Byggnader!$I$32</f>
        <v>0</v>
      </c>
      <c r="D4" s="213" t="s">
        <v>629</v>
      </c>
    </row>
    <row r="5" customFormat="false" ht="13.5" hidden="false" customHeight="true" outlineLevel="0" collapsed="false">
      <c r="A5" s="209" t="s">
        <v>630</v>
      </c>
      <c r="C5" s="214" t="n">
        <f aca="false">Energiprisfaktorer!B6</f>
        <v>0.04</v>
      </c>
      <c r="D5" s="215" t="s">
        <v>631</v>
      </c>
      <c r="E5" s="216"/>
      <c r="F5" s="217" t="s">
        <v>632</v>
      </c>
    </row>
    <row r="6" customFormat="false" ht="15.75" hidden="false" customHeight="true" outlineLevel="0" collapsed="false">
      <c r="A6" s="209" t="s">
        <v>633</v>
      </c>
      <c r="C6" s="218" t="n">
        <v>20</v>
      </c>
      <c r="D6" s="215" t="s">
        <v>634</v>
      </c>
      <c r="E6" s="219" t="e">
        <f aca="false">(D20-C20)/(C34+C22-D34-D22)</f>
        <v>#DIV/0!</v>
      </c>
      <c r="F6" s="217" t="s">
        <v>635</v>
      </c>
    </row>
    <row r="7" customFormat="false" ht="15.75" hidden="false" customHeight="true" outlineLevel="0" collapsed="false">
      <c r="A7" s="220" t="s">
        <v>636</v>
      </c>
      <c r="C7" s="214" t="n">
        <f aca="false">Energiprisfaktorer!B7</f>
        <v>0.02</v>
      </c>
      <c r="D7" s="221" t="str">
        <f aca="false">D5</f>
        <v>nominell</v>
      </c>
      <c r="E7" s="222"/>
      <c r="F7" s="223"/>
      <c r="I7" s="195" t="s">
        <v>637</v>
      </c>
      <c r="J7" s="195"/>
      <c r="K7" s="195"/>
      <c r="L7" s="195"/>
    </row>
    <row r="8" customFormat="false" ht="15.75" hidden="false" customHeight="true" outlineLevel="0" collapsed="false">
      <c r="A8" s="224" t="s">
        <v>638</v>
      </c>
      <c r="C8" s="225" t="s">
        <v>174</v>
      </c>
      <c r="D8" s="225" t="s">
        <v>143</v>
      </c>
      <c r="E8" s="222"/>
      <c r="F8" s="223"/>
    </row>
    <row r="9" customFormat="false" ht="14.25" hidden="false" customHeight="true" outlineLevel="0" collapsed="false">
      <c r="A9" s="226" t="s">
        <v>639</v>
      </c>
      <c r="C9" s="227" t="n">
        <f aca="false">Energiprisfaktorer!B4</f>
        <v>1.15</v>
      </c>
      <c r="D9" s="228" t="s">
        <v>640</v>
      </c>
      <c r="E9" s="222"/>
      <c r="F9" s="223"/>
      <c r="I9" s="199" t="s">
        <v>686</v>
      </c>
      <c r="K9" s="189" t="n">
        <v>0.1</v>
      </c>
    </row>
    <row r="10" customFormat="false" ht="14.25" hidden="false" customHeight="true" outlineLevel="0" collapsed="false">
      <c r="A10" s="229" t="s">
        <v>642</v>
      </c>
      <c r="C10" s="230" t="n">
        <f aca="false">Energiprisfaktorer!B5</f>
        <v>0.03</v>
      </c>
      <c r="D10" s="231" t="str">
        <f aca="false">D5</f>
        <v>nominell</v>
      </c>
      <c r="E10" s="222"/>
      <c r="F10" s="223"/>
      <c r="I10" s="199" t="s">
        <v>643</v>
      </c>
      <c r="K10" s="1" t="n">
        <f aca="false">55000+1500*Byggnader!$I$18</f>
        <v>55000</v>
      </c>
    </row>
    <row r="11" customFormat="false" ht="14.25" hidden="false" customHeight="true" outlineLevel="1" collapsed="false">
      <c r="A11" s="224" t="s">
        <v>644</v>
      </c>
      <c r="C11" s="225" t="s">
        <v>615</v>
      </c>
      <c r="D11" s="225"/>
      <c r="E11" s="222"/>
      <c r="F11" s="223"/>
    </row>
    <row r="12" customFormat="false" ht="14.25" hidden="false" customHeight="true" outlineLevel="1" collapsed="false">
      <c r="A12" s="226" t="s">
        <v>639</v>
      </c>
      <c r="C12" s="227" t="n">
        <f aca="false">Energiprisfaktorer!C4</f>
        <v>2</v>
      </c>
      <c r="D12" s="228" t="s">
        <v>640</v>
      </c>
      <c r="E12" s="222"/>
      <c r="F12" s="223"/>
      <c r="I12" s="232" t="s">
        <v>645</v>
      </c>
      <c r="J12" s="233"/>
      <c r="K12" s="233"/>
      <c r="L12" s="233"/>
    </row>
    <row r="13" customFormat="false" ht="14.25" hidden="false" customHeight="true" outlineLevel="1" collapsed="false">
      <c r="A13" s="229" t="s">
        <v>642</v>
      </c>
      <c r="C13" s="230" t="n">
        <f aca="false">Energiprisfaktorer!C5</f>
        <v>0.04</v>
      </c>
      <c r="D13" s="231" t="str">
        <f aca="false">D5</f>
        <v>nominell</v>
      </c>
      <c r="E13" s="222"/>
      <c r="F13" s="223"/>
    </row>
    <row r="14" customFormat="false" ht="14.25" hidden="false" customHeight="true" outlineLevel="1" collapsed="false">
      <c r="A14" s="224" t="s">
        <v>646</v>
      </c>
      <c r="C14" s="225"/>
      <c r="D14" s="225"/>
      <c r="E14" s="222"/>
      <c r="F14" s="223"/>
      <c r="I14" s="199" t="s">
        <v>647</v>
      </c>
    </row>
    <row r="15" customFormat="false" ht="15.75" hidden="false" customHeight="true" outlineLevel="1" collapsed="false">
      <c r="A15" s="226" t="s">
        <v>639</v>
      </c>
      <c r="C15" s="227" t="n">
        <v>0.6</v>
      </c>
      <c r="D15" s="228" t="s">
        <v>640</v>
      </c>
      <c r="I15" s="234" t="s">
        <v>692</v>
      </c>
      <c r="J15" s="234"/>
      <c r="K15" s="234"/>
      <c r="L15" s="234"/>
      <c r="M15" s="234"/>
      <c r="N15" s="234"/>
    </row>
    <row r="16" customFormat="false" ht="75.75" hidden="false" customHeight="true" outlineLevel="1" collapsed="false">
      <c r="A16" s="229" t="s">
        <v>642</v>
      </c>
      <c r="C16" s="230" t="n">
        <v>0.04</v>
      </c>
      <c r="D16" s="231" t="str">
        <f aca="false">D5</f>
        <v>nominell</v>
      </c>
      <c r="I16" s="234"/>
      <c r="J16" s="234"/>
      <c r="K16" s="234"/>
      <c r="L16" s="234"/>
      <c r="M16" s="234"/>
      <c r="N16" s="234"/>
    </row>
    <row r="17" customFormat="false" ht="15.75" hidden="false" customHeight="true" outlineLevel="0" collapsed="false">
      <c r="A17" s="229" t="s">
        <v>649</v>
      </c>
      <c r="C17" s="235"/>
      <c r="D17" s="235"/>
      <c r="E17" s="222"/>
    </row>
    <row r="18" customFormat="false" ht="15.75" hidden="false" customHeight="true" outlineLevel="0" collapsed="false">
      <c r="A18" s="236"/>
      <c r="C18" s="236"/>
      <c r="D18" s="235"/>
      <c r="E18" s="222"/>
      <c r="I18" s="199"/>
    </row>
    <row r="19" customFormat="false" ht="15.75" hidden="false" customHeight="true" outlineLevel="0" collapsed="false">
      <c r="A19" s="236"/>
      <c r="C19" s="238" t="s">
        <v>651</v>
      </c>
      <c r="D19" s="239" t="s">
        <v>652</v>
      </c>
    </row>
    <row r="20" customFormat="false" ht="15.75" hidden="false" customHeight="true" outlineLevel="0" collapsed="false">
      <c r="A20" s="240" t="s">
        <v>654</v>
      </c>
      <c r="C20" s="241" t="n">
        <v>0</v>
      </c>
      <c r="D20" s="241" t="n">
        <f aca="false">K10</f>
        <v>55000</v>
      </c>
      <c r="E20" s="242" t="e">
        <f aca="false">D20+C41-D41</f>
        <v>#DIV/0!</v>
      </c>
      <c r="F20" s="217" t="s">
        <v>655</v>
      </c>
    </row>
    <row r="21" customFormat="false" ht="15.75" hidden="false" customHeight="true" outlineLevel="0" collapsed="false">
      <c r="A21" s="236"/>
      <c r="C21" s="243"/>
      <c r="D21" s="243"/>
      <c r="E21" s="244"/>
      <c r="F21" s="245"/>
    </row>
    <row r="22" customFormat="false" ht="15.75" hidden="false" customHeight="true" outlineLevel="0" collapsed="false">
      <c r="A22" s="220" t="s">
        <v>657</v>
      </c>
      <c r="C22" s="246" t="n">
        <v>0</v>
      </c>
      <c r="D22" s="246" t="n">
        <v>0</v>
      </c>
    </row>
    <row r="23" customFormat="false" ht="15.75" hidden="true" customHeight="true" outlineLevel="1" collapsed="false">
      <c r="A23" s="220" t="s">
        <v>659</v>
      </c>
      <c r="C23" s="241"/>
      <c r="D23" s="241"/>
    </row>
    <row r="24" customFormat="false" ht="15.75" hidden="true" customHeight="true" outlineLevel="1" collapsed="false">
      <c r="A24" s="220" t="s">
        <v>660</v>
      </c>
      <c r="C24" s="241"/>
      <c r="D24" s="241"/>
    </row>
    <row r="25" customFormat="false" ht="15.75" hidden="true" customHeight="true" outlineLevel="1" collapsed="false">
      <c r="A25" s="220" t="s">
        <v>661</v>
      </c>
      <c r="C25" s="241"/>
      <c r="D25" s="241"/>
    </row>
    <row r="26" customFormat="false" ht="15" hidden="false" customHeight="true" outlineLevel="0" collapsed="false">
      <c r="A26" s="220" t="s">
        <v>662</v>
      </c>
      <c r="C26" s="247"/>
      <c r="D26" s="247"/>
    </row>
    <row r="27" customFormat="false" ht="15.75" hidden="false" customHeight="true" outlineLevel="0" collapsed="false">
      <c r="A27" s="236"/>
      <c r="C27" s="247"/>
      <c r="D27" s="247"/>
    </row>
    <row r="28" customFormat="false" ht="15.75" hidden="false" customHeight="true" outlineLevel="0" collapsed="false">
      <c r="A28" s="224" t="s">
        <v>665</v>
      </c>
      <c r="C28" s="248" t="e">
        <f aca="false">Normalisering!$I$89/Byggnader!$I$32</f>
        <v>#DIV/0!</v>
      </c>
      <c r="D28" s="248" t="e">
        <f aca="false">C28-K9*C28</f>
        <v>#DIV/0!</v>
      </c>
    </row>
    <row r="29" customFormat="false" ht="15.75" hidden="false" customHeight="true" outlineLevel="0" collapsed="false">
      <c r="A29" s="249" t="s">
        <v>667</v>
      </c>
      <c r="C29" s="250" t="e">
        <f aca="false">C28*$C$4*$C$9</f>
        <v>#DIV/0!</v>
      </c>
      <c r="D29" s="250" t="e">
        <f aca="false">D28*$C$4*$C$9</f>
        <v>#DIV/0!</v>
      </c>
    </row>
    <row r="30" customFormat="false" ht="15.75" hidden="false" customHeight="true" outlineLevel="1" collapsed="false">
      <c r="A30" s="224" t="s">
        <v>668</v>
      </c>
      <c r="C30" s="248"/>
      <c r="D30" s="248"/>
    </row>
    <row r="31" customFormat="false" ht="15.75" hidden="false" customHeight="true" outlineLevel="1" collapsed="false">
      <c r="A31" s="249" t="s">
        <v>670</v>
      </c>
      <c r="C31" s="250" t="n">
        <f aca="false">C30*$C$4*$C$12</f>
        <v>0</v>
      </c>
      <c r="D31" s="250" t="n">
        <f aca="false">D30*$C$4*$C$12</f>
        <v>0</v>
      </c>
    </row>
    <row r="32" customFormat="false" ht="15.75" hidden="false" customHeight="true" outlineLevel="1" collapsed="false">
      <c r="A32" s="224" t="s">
        <v>672</v>
      </c>
      <c r="C32" s="248"/>
      <c r="D32" s="248"/>
    </row>
    <row r="33" customFormat="false" ht="15.75" hidden="false" customHeight="true" outlineLevel="1" collapsed="false">
      <c r="A33" s="249" t="s">
        <v>673</v>
      </c>
      <c r="C33" s="250" t="n">
        <f aca="false">C32*$C$4*$C$15</f>
        <v>0</v>
      </c>
      <c r="D33" s="250" t="n">
        <f aca="false">D32*$C$4*$C$15</f>
        <v>0</v>
      </c>
    </row>
    <row r="34" customFormat="false" ht="15" hidden="false" customHeight="true" outlineLevel="1" collapsed="false">
      <c r="A34" s="236" t="s">
        <v>674</v>
      </c>
      <c r="C34" s="247" t="e">
        <f aca="false">C29+C31+C33</f>
        <v>#DIV/0!</v>
      </c>
      <c r="D34" s="247" t="e">
        <f aca="false">D29+D31+D33</f>
        <v>#DIV/0!</v>
      </c>
      <c r="F34" s="236"/>
    </row>
    <row r="35" customFormat="false" ht="15" hidden="false" customHeight="true" outlineLevel="1" collapsed="false">
      <c r="A35" s="236" t="s">
        <v>675</v>
      </c>
      <c r="C35" s="247" t="e">
        <f aca="false">(C28+C30+C32)*$C$4</f>
        <v>#DIV/0!</v>
      </c>
      <c r="D35" s="247" t="e">
        <f aca="false">(D28+D30+D32)*$C$4</f>
        <v>#DIV/0!</v>
      </c>
      <c r="F35" s="236"/>
    </row>
    <row r="36" customFormat="false" ht="15" hidden="false" customHeight="true" outlineLevel="1" collapsed="false">
      <c r="A36" s="236" t="s">
        <v>676</v>
      </c>
      <c r="C36" s="252" t="e">
        <f aca="false">C34/C35</f>
        <v>#DIV/0!</v>
      </c>
      <c r="D36" s="247"/>
      <c r="F36" s="236"/>
    </row>
    <row r="37" customFormat="false" ht="15" hidden="false" customHeight="true" outlineLevel="0" collapsed="false">
      <c r="A37" s="226" t="s">
        <v>649</v>
      </c>
      <c r="C37" s="247"/>
      <c r="D37" s="247"/>
      <c r="F37" s="236"/>
    </row>
    <row r="38" customFormat="false" ht="15.75" hidden="false" customHeight="true" outlineLevel="0" collapsed="false">
      <c r="A38" s="253"/>
      <c r="C38" s="247"/>
      <c r="D38" s="247"/>
      <c r="F38" s="236"/>
    </row>
    <row r="39" customFormat="false" ht="15" hidden="false" customHeight="true" outlineLevel="0" collapsed="false">
      <c r="A39" s="254" t="s">
        <v>677</v>
      </c>
      <c r="B39" s="255"/>
      <c r="C39" s="256" t="n">
        <f aca="false">C20-PV($C$5-$C$7,$C$6,C22)+C23+C24/(1+$C$5-$C$7)^10+C25/(1+$C$5-$C$7)^20</f>
        <v>0</v>
      </c>
      <c r="D39" s="257" t="n">
        <f aca="false">D20-PV($C$5-$C$7,$C$6,D22)+D23+D24/(1+$C$5-$C$7)^10+D25/(1+$C$5-$C$7)^20</f>
        <v>55000</v>
      </c>
      <c r="F39" s="236"/>
    </row>
    <row r="40" customFormat="false" ht="15.75" hidden="false" customHeight="true" outlineLevel="0" collapsed="false">
      <c r="A40" s="258" t="s">
        <v>678</v>
      </c>
      <c r="B40" s="259"/>
      <c r="C40" s="260" t="e">
        <f aca="false">-PV($C$5-$C$10,$C$6,C29)-PV($C$5-$C$13,$C$6,C31)-PV($C$5-$C$16,$C$6,C33)</f>
        <v>#DIV/0!</v>
      </c>
      <c r="D40" s="261" t="e">
        <f aca="false">-PV($C$5-$C$10,$C$6,D29)-PV($C$5-$C$13,$C$6,D31)-PV($C$5-$C$16,$C$6,D33)</f>
        <v>#DIV/0!</v>
      </c>
      <c r="F40" s="236"/>
    </row>
    <row r="41" customFormat="false" ht="15.75" hidden="false" customHeight="true" outlineLevel="0" collapsed="false">
      <c r="A41" s="262" t="s">
        <v>679</v>
      </c>
      <c r="B41" s="263"/>
      <c r="C41" s="264" t="e">
        <f aca="false">C39+C40</f>
        <v>#DIV/0!</v>
      </c>
      <c r="D41" s="265" t="e">
        <f aca="false">D39+D40</f>
        <v>#DIV/0!</v>
      </c>
      <c r="F41" s="236"/>
    </row>
    <row r="42" customFormat="false" ht="15.75" hidden="false" customHeight="true" outlineLevel="0" collapsed="false">
      <c r="A42" s="266"/>
      <c r="B42" s="267"/>
      <c r="C42" s="268" t="s">
        <v>680</v>
      </c>
      <c r="D42" s="269" t="e">
        <f aca="false">C41-D41</f>
        <v>#DIV/0!</v>
      </c>
      <c r="F42" s="236"/>
    </row>
    <row r="43" s="236" customFormat="true" ht="12.75" hidden="false" customHeight="true" outlineLevel="0" collapsed="false">
      <c r="A43" s="270" t="s">
        <v>681</v>
      </c>
      <c r="B43" s="271"/>
      <c r="C43" s="272" t="e">
        <f aca="false">(D39-C39)/(C40-D40)*C36</f>
        <v>#DIV/0!</v>
      </c>
      <c r="D43" s="273" t="e">
        <f aca="false">IF($D42&gt;0,"LÖNSAMT","EJ LÖNSAMT")</f>
        <v>#DIV/0!</v>
      </c>
    </row>
    <row r="44" customFormat="false" ht="15.75" hidden="false" customHeight="true" outlineLevel="0" collapsed="false">
      <c r="A44" s="274" t="s">
        <v>682</v>
      </c>
      <c r="B44" s="185"/>
      <c r="C44" s="275" t="e">
        <f aca="false">C36</f>
        <v>#DIV/0!</v>
      </c>
      <c r="D44" s="276"/>
      <c r="F44" s="236"/>
    </row>
    <row r="45" customFormat="false" ht="15" hidden="false" customHeight="true" outlineLevel="0" collapsed="false">
      <c r="C45" s="247"/>
      <c r="D45" s="247"/>
      <c r="F45" s="236"/>
    </row>
    <row r="46" customFormat="false" ht="15.75" hidden="false" customHeight="true" outlineLevel="0" collapsed="false">
      <c r="D46" s="277"/>
    </row>
    <row r="47" customFormat="false" ht="15.75" hidden="false" customHeight="true" outlineLevel="0" collapsed="false">
      <c r="A47" s="278" t="s">
        <v>683</v>
      </c>
      <c r="B47" s="279"/>
      <c r="D47" s="280" t="s">
        <v>684</v>
      </c>
    </row>
    <row r="49" customFormat="false" ht="15" hidden="false" customHeight="true" outlineLevel="0" collapsed="false">
      <c r="F49" s="222"/>
    </row>
  </sheetData>
  <mergeCells count="3">
    <mergeCell ref="C2:D2"/>
    <mergeCell ref="I7:L7"/>
    <mergeCell ref="I15:N16"/>
  </mergeCells>
  <dataValidations count="1">
    <dataValidation allowBlank="false" errorStyle="stop" operator="between" showDropDown="false" showErrorMessage="false" showInputMessage="false" sqref="B2" type="list">
      <formula1>"Ja,Nej"</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9"/>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H27" activeCellId="0" sqref="H27"/>
    </sheetView>
  </sheetViews>
  <sheetFormatPr defaultColWidth="9.140625" defaultRowHeight="15" zeroHeight="false" outlineLevelRow="1" outlineLevelCol="1"/>
  <cols>
    <col collapsed="false" customWidth="true" hidden="false" outlineLevel="0" max="1" min="1" style="1" width="58.85"/>
    <col collapsed="false" customWidth="true" hidden="false" outlineLevel="0" max="2" min="2" style="1" width="1.28"/>
    <col collapsed="false" customWidth="true" hidden="false" outlineLevel="0" max="3" min="3" style="1" width="16"/>
    <col collapsed="false" customWidth="true" hidden="false" outlineLevel="0" max="4" min="4" style="1" width="15.85"/>
    <col collapsed="false" customWidth="false" hidden="false" outlineLevel="1" max="5" min="5" style="1" width="9.14"/>
    <col collapsed="false" customWidth="true" hidden="false" outlineLevel="1" max="6" min="6" style="1" width="20.57"/>
    <col collapsed="false" customWidth="true" hidden="false" outlineLevel="0" max="9" min="9" style="1" width="28.86"/>
    <col collapsed="false" customWidth="true" hidden="false" outlineLevel="0" max="10" min="10" style="1" width="13.43"/>
    <col collapsed="false" customWidth="true" hidden="false" outlineLevel="0" max="11" min="11" style="1" width="10.85"/>
  </cols>
  <sheetData>
    <row r="1" customFormat="false" ht="45.75" hidden="false" customHeight="true" outlineLevel="0" collapsed="false">
      <c r="A1" s="203" t="s">
        <v>693</v>
      </c>
      <c r="C1" s="204" t="s">
        <v>621</v>
      </c>
      <c r="D1" s="205"/>
    </row>
    <row r="2" customFormat="false" ht="24" hidden="false" customHeight="true" outlineLevel="0" collapsed="false">
      <c r="A2" s="206" t="s">
        <v>622</v>
      </c>
      <c r="B2" s="207" t="s">
        <v>623</v>
      </c>
      <c r="C2" s="208"/>
      <c r="D2" s="208"/>
      <c r="E2" s="204" t="s">
        <v>624</v>
      </c>
      <c r="F2" s="205"/>
    </row>
    <row r="3" customFormat="false" ht="15.75" hidden="false" customHeight="true" outlineLevel="0" collapsed="false">
      <c r="A3" s="209"/>
      <c r="B3" s="210"/>
      <c r="C3" s="211" t="s">
        <v>625</v>
      </c>
      <c r="D3" s="212" t="s">
        <v>626</v>
      </c>
      <c r="E3" s="204" t="s">
        <v>627</v>
      </c>
      <c r="F3" s="205"/>
    </row>
    <row r="4" customFormat="false" ht="13.5" hidden="false" customHeight="true" outlineLevel="0" collapsed="false">
      <c r="A4" s="209" t="s">
        <v>628</v>
      </c>
      <c r="C4" s="213" t="n">
        <f aca="false">Byggnader!$I$32</f>
        <v>0</v>
      </c>
      <c r="D4" s="213" t="s">
        <v>629</v>
      </c>
    </row>
    <row r="5" customFormat="false" ht="13.5" hidden="false" customHeight="true" outlineLevel="0" collapsed="false">
      <c r="A5" s="209" t="s">
        <v>630</v>
      </c>
      <c r="C5" s="214" t="n">
        <f aca="false">Energiprisfaktorer!B6</f>
        <v>0.04</v>
      </c>
      <c r="D5" s="215" t="s">
        <v>631</v>
      </c>
      <c r="E5" s="216"/>
      <c r="F5" s="217" t="s">
        <v>632</v>
      </c>
    </row>
    <row r="6" customFormat="false" ht="15.75" hidden="false" customHeight="true" outlineLevel="0" collapsed="false">
      <c r="A6" s="209" t="s">
        <v>633</v>
      </c>
      <c r="C6" s="218" t="n">
        <v>20</v>
      </c>
      <c r="D6" s="215" t="s">
        <v>634</v>
      </c>
      <c r="E6" s="219" t="e">
        <f aca="false">(D20-C20)/(C34+C22-D34-D22)</f>
        <v>#DIV/0!</v>
      </c>
      <c r="F6" s="217" t="s">
        <v>635</v>
      </c>
    </row>
    <row r="7" customFormat="false" ht="15.75" hidden="false" customHeight="true" outlineLevel="0" collapsed="false">
      <c r="A7" s="220" t="s">
        <v>636</v>
      </c>
      <c r="C7" s="214" t="n">
        <f aca="false">Energiprisfaktorer!B7</f>
        <v>0.02</v>
      </c>
      <c r="D7" s="221" t="str">
        <f aca="false">D5</f>
        <v>nominell</v>
      </c>
      <c r="E7" s="222"/>
      <c r="F7" s="223"/>
      <c r="I7" s="195" t="s">
        <v>637</v>
      </c>
      <c r="J7" s="195"/>
      <c r="K7" s="195"/>
      <c r="L7" s="195"/>
    </row>
    <row r="8" customFormat="false" ht="15.75" hidden="false" customHeight="true" outlineLevel="0" collapsed="false">
      <c r="A8" s="224" t="s">
        <v>638</v>
      </c>
      <c r="C8" s="225" t="s">
        <v>615</v>
      </c>
      <c r="D8" s="225" t="s">
        <v>143</v>
      </c>
      <c r="E8" s="222"/>
      <c r="F8" s="223"/>
      <c r="I8" s="1" t="s">
        <v>694</v>
      </c>
      <c r="K8" s="1" t="n">
        <v>120</v>
      </c>
    </row>
    <row r="9" customFormat="false" ht="14.25" hidden="false" customHeight="true" outlineLevel="0" collapsed="false">
      <c r="A9" s="226" t="s">
        <v>639</v>
      </c>
      <c r="C9" s="227" t="n">
        <f aca="false">Energiprisfaktorer!C4</f>
        <v>2</v>
      </c>
      <c r="D9" s="228" t="s">
        <v>640</v>
      </c>
      <c r="E9" s="222"/>
      <c r="F9" s="223"/>
      <c r="I9" s="199" t="s">
        <v>643</v>
      </c>
      <c r="K9" s="1" t="n">
        <f aca="false">K8*K19</f>
        <v>14400</v>
      </c>
    </row>
    <row r="10" customFormat="false" ht="14.25" hidden="false" customHeight="true" outlineLevel="0" collapsed="false">
      <c r="A10" s="229" t="s">
        <v>642</v>
      </c>
      <c r="C10" s="230" t="n">
        <f aca="false">Energiprisfaktorer!B5</f>
        <v>0.03</v>
      </c>
      <c r="D10" s="231" t="str">
        <f aca="false">D5</f>
        <v>nominell</v>
      </c>
      <c r="E10" s="222"/>
      <c r="F10" s="223"/>
      <c r="I10" s="199" t="s">
        <v>695</v>
      </c>
      <c r="K10" s="17" t="n">
        <f aca="false">K26-K27</f>
        <v>1848</v>
      </c>
    </row>
    <row r="11" customFormat="false" ht="14.25" hidden="false" customHeight="true" outlineLevel="1" collapsed="false">
      <c r="A11" s="224" t="s">
        <v>644</v>
      </c>
      <c r="C11" s="225" t="s">
        <v>174</v>
      </c>
      <c r="D11" s="225"/>
      <c r="E11" s="222"/>
      <c r="F11" s="223"/>
    </row>
    <row r="12" customFormat="false" ht="14.25" hidden="false" customHeight="true" outlineLevel="1" collapsed="false">
      <c r="A12" s="226" t="s">
        <v>639</v>
      </c>
      <c r="C12" s="227" t="n">
        <f aca="false">Energiprisfaktorer!B4</f>
        <v>1.15</v>
      </c>
      <c r="D12" s="228" t="s">
        <v>640</v>
      </c>
      <c r="E12" s="222"/>
      <c r="F12" s="223"/>
      <c r="I12" s="232" t="s">
        <v>645</v>
      </c>
      <c r="J12" s="233"/>
      <c r="K12" s="233"/>
      <c r="L12" s="233"/>
    </row>
    <row r="13" customFormat="false" ht="14.25" hidden="false" customHeight="true" outlineLevel="1" collapsed="false">
      <c r="A13" s="229" t="s">
        <v>642</v>
      </c>
      <c r="C13" s="230" t="n">
        <f aca="false">Energiprisfaktorer!C5</f>
        <v>0.04</v>
      </c>
      <c r="D13" s="231" t="str">
        <f aca="false">D5</f>
        <v>nominell</v>
      </c>
      <c r="E13" s="222"/>
      <c r="F13" s="223"/>
    </row>
    <row r="14" customFormat="false" ht="14.25" hidden="false" customHeight="true" outlineLevel="1" collapsed="false">
      <c r="A14" s="224" t="s">
        <v>646</v>
      </c>
      <c r="C14" s="225"/>
      <c r="D14" s="225"/>
      <c r="E14" s="222"/>
      <c r="F14" s="223"/>
      <c r="I14" s="199" t="s">
        <v>647</v>
      </c>
    </row>
    <row r="15" customFormat="false" ht="15.75" hidden="false" customHeight="true" outlineLevel="1" collapsed="false">
      <c r="A15" s="226" t="s">
        <v>639</v>
      </c>
      <c r="C15" s="227" t="n">
        <v>0.6</v>
      </c>
      <c r="D15" s="228" t="s">
        <v>640</v>
      </c>
      <c r="I15" s="234" t="s">
        <v>696</v>
      </c>
      <c r="J15" s="234"/>
      <c r="K15" s="234"/>
      <c r="L15" s="234"/>
      <c r="M15" s="234"/>
      <c r="N15" s="234"/>
    </row>
    <row r="16" customFormat="false" ht="15.75" hidden="false" customHeight="true" outlineLevel="1" collapsed="false">
      <c r="A16" s="229" t="s">
        <v>642</v>
      </c>
      <c r="C16" s="230" t="n">
        <v>0.04</v>
      </c>
      <c r="D16" s="231" t="str">
        <f aca="false">D5</f>
        <v>nominell</v>
      </c>
      <c r="I16" s="234"/>
      <c r="J16" s="234"/>
      <c r="K16" s="234"/>
      <c r="L16" s="234"/>
      <c r="M16" s="234"/>
      <c r="N16" s="234"/>
    </row>
    <row r="17" customFormat="false" ht="15.75" hidden="false" customHeight="true" outlineLevel="0" collapsed="false">
      <c r="A17" s="229" t="s">
        <v>649</v>
      </c>
      <c r="C17" s="235"/>
      <c r="D17" s="235"/>
      <c r="E17" s="222"/>
    </row>
    <row r="18" customFormat="false" ht="15.75" hidden="false" customHeight="true" outlineLevel="0" collapsed="false">
      <c r="A18" s="236"/>
      <c r="C18" s="236"/>
      <c r="D18" s="235"/>
      <c r="E18" s="222"/>
      <c r="I18" s="199" t="s">
        <v>650</v>
      </c>
    </row>
    <row r="19" customFormat="false" ht="15.75" hidden="false" customHeight="true" outlineLevel="0" collapsed="false">
      <c r="A19" s="236"/>
      <c r="C19" s="238" t="s">
        <v>651</v>
      </c>
      <c r="D19" s="239" t="s">
        <v>652</v>
      </c>
      <c r="I19" s="199" t="s">
        <v>697</v>
      </c>
      <c r="K19" s="1" t="n">
        <v>120</v>
      </c>
    </row>
    <row r="20" customFormat="false" ht="15.75" hidden="false" customHeight="true" outlineLevel="0" collapsed="false">
      <c r="A20" s="240" t="s">
        <v>654</v>
      </c>
      <c r="C20" s="241" t="n">
        <v>0</v>
      </c>
      <c r="D20" s="241" t="n">
        <f aca="false">K9</f>
        <v>14400</v>
      </c>
      <c r="E20" s="242" t="e">
        <f aca="false">D20+C41-D41</f>
        <v>#DIV/0!</v>
      </c>
      <c r="F20" s="217" t="s">
        <v>655</v>
      </c>
      <c r="I20" s="199" t="s">
        <v>698</v>
      </c>
      <c r="K20" s="1" t="n">
        <v>0.25</v>
      </c>
    </row>
    <row r="21" customFormat="false" ht="15.75" hidden="false" customHeight="true" outlineLevel="0" collapsed="false">
      <c r="A21" s="236"/>
      <c r="C21" s="243"/>
      <c r="D21" s="243"/>
      <c r="E21" s="244"/>
      <c r="F21" s="245"/>
      <c r="I21" s="199" t="s">
        <v>699</v>
      </c>
      <c r="K21" s="1" t="n">
        <v>0.11</v>
      </c>
    </row>
    <row r="22" customFormat="false" ht="15.75" hidden="false" customHeight="true" outlineLevel="0" collapsed="false">
      <c r="A22" s="220" t="s">
        <v>657</v>
      </c>
      <c r="C22" s="246" t="n">
        <v>0</v>
      </c>
      <c r="D22" s="246" t="n">
        <v>0</v>
      </c>
      <c r="I22" s="199" t="s">
        <v>295</v>
      </c>
      <c r="K22" s="1" t="n">
        <v>110000</v>
      </c>
      <c r="L22" s="1" t="s">
        <v>700</v>
      </c>
    </row>
    <row r="23" customFormat="false" ht="15.75" hidden="true" customHeight="true" outlineLevel="1" collapsed="false">
      <c r="A23" s="220" t="s">
        <v>659</v>
      </c>
      <c r="C23" s="241"/>
      <c r="D23" s="241"/>
    </row>
    <row r="24" customFormat="false" ht="15.75" hidden="true" customHeight="true" outlineLevel="1" collapsed="false">
      <c r="A24" s="220" t="s">
        <v>660</v>
      </c>
      <c r="C24" s="241"/>
      <c r="D24" s="241"/>
    </row>
    <row r="25" customFormat="false" ht="15.75" hidden="true" customHeight="true" outlineLevel="1" collapsed="false">
      <c r="A25" s="220" t="s">
        <v>661</v>
      </c>
      <c r="C25" s="241"/>
      <c r="D25" s="241"/>
    </row>
    <row r="26" customFormat="false" ht="15" hidden="false" customHeight="true" outlineLevel="0" collapsed="false">
      <c r="A26" s="220" t="s">
        <v>662</v>
      </c>
      <c r="C26" s="247"/>
      <c r="D26" s="247"/>
      <c r="I26" s="199" t="s">
        <v>701</v>
      </c>
      <c r="K26" s="1" t="n">
        <f aca="false">K19*K20*K22*0.001</f>
        <v>3300</v>
      </c>
    </row>
    <row r="27" customFormat="false" ht="15.75" hidden="false" customHeight="true" outlineLevel="0" collapsed="false">
      <c r="A27" s="236"/>
      <c r="C27" s="247"/>
      <c r="D27" s="247"/>
      <c r="I27" s="199" t="s">
        <v>702</v>
      </c>
      <c r="K27" s="1" t="n">
        <f aca="false">K19*K21*K22*0.001</f>
        <v>1452</v>
      </c>
    </row>
    <row r="28" customFormat="false" ht="15.75" hidden="false" customHeight="true" outlineLevel="0" collapsed="false">
      <c r="A28" s="224" t="s">
        <v>665</v>
      </c>
      <c r="C28" s="248" t="n">
        <v>0</v>
      </c>
      <c r="D28" s="248" t="n">
        <v>0</v>
      </c>
      <c r="I28" s="1" t="s">
        <v>703</v>
      </c>
      <c r="K28" s="1" t="n">
        <f aca="false">K26-K27</f>
        <v>1848</v>
      </c>
    </row>
    <row r="29" customFormat="false" ht="15.75" hidden="false" customHeight="true" outlineLevel="0" collapsed="false">
      <c r="A29" s="249" t="s">
        <v>667</v>
      </c>
      <c r="C29" s="250" t="n">
        <f aca="false">C28*$C$4*$C$9</f>
        <v>0</v>
      </c>
      <c r="D29" s="250" t="n">
        <f aca="false">D28*$C$4*$C$9</f>
        <v>0</v>
      </c>
    </row>
    <row r="30" customFormat="false" ht="15.75" hidden="false" customHeight="true" outlineLevel="1" collapsed="false">
      <c r="A30" s="224" t="s">
        <v>668</v>
      </c>
      <c r="C30" s="248" t="e">
        <f aca="false">Normalisering!$I$112/(Byggnader!$I$32)</f>
        <v>#DIV/0!</v>
      </c>
      <c r="D30" s="248" t="e">
        <f aca="false">(Normalisering!$I$112-K10)/(Byggnader!$I$32)</f>
        <v>#DIV/0!</v>
      </c>
    </row>
    <row r="31" customFormat="false" ht="15.75" hidden="false" customHeight="true" outlineLevel="1" collapsed="false">
      <c r="A31" s="249" t="s">
        <v>670</v>
      </c>
      <c r="C31" s="250" t="e">
        <f aca="false">C30*$C$4*$C$12</f>
        <v>#DIV/0!</v>
      </c>
      <c r="D31" s="250" t="e">
        <f aca="false">D30*$C$4*$C$12</f>
        <v>#DIV/0!</v>
      </c>
    </row>
    <row r="32" customFormat="false" ht="15.75" hidden="false" customHeight="true" outlineLevel="1" collapsed="false">
      <c r="A32" s="224" t="s">
        <v>672</v>
      </c>
      <c r="C32" s="248"/>
      <c r="D32" s="248"/>
    </row>
    <row r="33" customFormat="false" ht="15.75" hidden="false" customHeight="true" outlineLevel="1" collapsed="false">
      <c r="A33" s="249" t="s">
        <v>673</v>
      </c>
      <c r="C33" s="250" t="n">
        <f aca="false">C32*$C$4*$C$15</f>
        <v>0</v>
      </c>
      <c r="D33" s="250" t="n">
        <f aca="false">D32*$C$4*$C$15</f>
        <v>0</v>
      </c>
    </row>
    <row r="34" customFormat="false" ht="15" hidden="false" customHeight="true" outlineLevel="1" collapsed="false">
      <c r="A34" s="236" t="s">
        <v>674</v>
      </c>
      <c r="C34" s="247" t="e">
        <f aca="false">C29+C31+C33</f>
        <v>#DIV/0!</v>
      </c>
      <c r="D34" s="247" t="e">
        <f aca="false">D29+D31+D33</f>
        <v>#DIV/0!</v>
      </c>
      <c r="F34" s="236"/>
    </row>
    <row r="35" customFormat="false" ht="15" hidden="false" customHeight="true" outlineLevel="1" collapsed="false">
      <c r="A35" s="236" t="s">
        <v>675</v>
      </c>
      <c r="C35" s="247" t="e">
        <f aca="false">(C28+C30+C32)*$C$4</f>
        <v>#DIV/0!</v>
      </c>
      <c r="D35" s="247" t="e">
        <f aca="false">(D28+D30+D32)*$C$4</f>
        <v>#DIV/0!</v>
      </c>
      <c r="F35" s="236"/>
    </row>
    <row r="36" customFormat="false" ht="15" hidden="false" customHeight="true" outlineLevel="1" collapsed="false">
      <c r="A36" s="236" t="s">
        <v>676</v>
      </c>
      <c r="C36" s="252" t="e">
        <f aca="false">C34/C35</f>
        <v>#DIV/0!</v>
      </c>
      <c r="D36" s="247"/>
      <c r="F36" s="236"/>
    </row>
    <row r="37" customFormat="false" ht="15" hidden="false" customHeight="true" outlineLevel="0" collapsed="false">
      <c r="A37" s="226" t="s">
        <v>649</v>
      </c>
      <c r="C37" s="247"/>
      <c r="D37" s="247"/>
      <c r="F37" s="236"/>
    </row>
    <row r="38" customFormat="false" ht="15.75" hidden="false" customHeight="true" outlineLevel="0" collapsed="false">
      <c r="A38" s="253"/>
      <c r="C38" s="247"/>
      <c r="D38" s="247"/>
      <c r="F38" s="236"/>
    </row>
    <row r="39" customFormat="false" ht="15" hidden="false" customHeight="true" outlineLevel="0" collapsed="false">
      <c r="A39" s="254" t="s">
        <v>677</v>
      </c>
      <c r="B39" s="255"/>
      <c r="C39" s="256" t="n">
        <f aca="false">C20-PV($C$5-$C$7,$C$6,C22)+C23+C24/(1+$C$5-$C$7)^10+C25/(1+$C$5-$C$7)^20</f>
        <v>0</v>
      </c>
      <c r="D39" s="257" t="n">
        <f aca="false">D20-PV($C$5-$C$7,$C$6,D22)+D23+D24/(1+$C$5-$C$7)^10+D25/(1+$C$5-$C$7)^20</f>
        <v>14400</v>
      </c>
      <c r="F39" s="236"/>
    </row>
    <row r="40" customFormat="false" ht="15.75" hidden="false" customHeight="true" outlineLevel="0" collapsed="false">
      <c r="A40" s="258" t="s">
        <v>678</v>
      </c>
      <c r="B40" s="259"/>
      <c r="C40" s="260" t="e">
        <f aca="false">-PV($C$5-$C$10,$C$6,C29)-PV($C$5-$C$13,$C$6,C31)-PV($C$5-$C$16,$C$6,C33)</f>
        <v>#DIV/0!</v>
      </c>
      <c r="D40" s="261" t="e">
        <f aca="false">-PV($C$5-$C$10,$C$6,D29)-PV($C$5-$C$13,$C$6,D31)-PV($C$5-$C$16,$C$6,D33)</f>
        <v>#DIV/0!</v>
      </c>
      <c r="F40" s="236"/>
    </row>
    <row r="41" customFormat="false" ht="15.75" hidden="false" customHeight="true" outlineLevel="0" collapsed="false">
      <c r="A41" s="262" t="s">
        <v>679</v>
      </c>
      <c r="B41" s="263"/>
      <c r="C41" s="264" t="e">
        <f aca="false">C39+C40</f>
        <v>#DIV/0!</v>
      </c>
      <c r="D41" s="265" t="e">
        <f aca="false">D39+D40</f>
        <v>#DIV/0!</v>
      </c>
      <c r="F41" s="236"/>
    </row>
    <row r="42" customFormat="false" ht="15.75" hidden="false" customHeight="true" outlineLevel="0" collapsed="false">
      <c r="A42" s="266"/>
      <c r="B42" s="267"/>
      <c r="C42" s="268" t="s">
        <v>680</v>
      </c>
      <c r="D42" s="269" t="e">
        <f aca="false">C41-D41</f>
        <v>#DIV/0!</v>
      </c>
      <c r="F42" s="236"/>
    </row>
    <row r="43" s="236" customFormat="true" ht="12.75" hidden="false" customHeight="true" outlineLevel="0" collapsed="false">
      <c r="A43" s="270" t="s">
        <v>681</v>
      </c>
      <c r="B43" s="271"/>
      <c r="C43" s="272" t="e">
        <f aca="false">(D39-C39)/(C40-D40)*C36</f>
        <v>#DIV/0!</v>
      </c>
      <c r="D43" s="273" t="e">
        <f aca="false">IF($D42&gt;0,"LÖNSAMT","EJ LÖNSAMT")</f>
        <v>#DIV/0!</v>
      </c>
    </row>
    <row r="44" customFormat="false" ht="15.75" hidden="false" customHeight="true" outlineLevel="0" collapsed="false">
      <c r="A44" s="274" t="s">
        <v>682</v>
      </c>
      <c r="B44" s="185"/>
      <c r="C44" s="275" t="e">
        <f aca="false">C36</f>
        <v>#DIV/0!</v>
      </c>
      <c r="D44" s="276"/>
      <c r="F44" s="236"/>
    </row>
    <row r="45" customFormat="false" ht="15" hidden="false" customHeight="true" outlineLevel="0" collapsed="false">
      <c r="C45" s="247"/>
      <c r="D45" s="247"/>
      <c r="F45" s="236"/>
    </row>
    <row r="46" customFormat="false" ht="15.75" hidden="false" customHeight="true" outlineLevel="0" collapsed="false">
      <c r="D46" s="277"/>
    </row>
    <row r="47" customFormat="false" ht="15.75" hidden="false" customHeight="true" outlineLevel="0" collapsed="false">
      <c r="A47" s="278" t="s">
        <v>683</v>
      </c>
      <c r="B47" s="279"/>
      <c r="D47" s="280" t="s">
        <v>684</v>
      </c>
    </row>
    <row r="49" customFormat="false" ht="15" hidden="false" customHeight="true" outlineLevel="0" collapsed="false">
      <c r="F49" s="222"/>
    </row>
  </sheetData>
  <mergeCells count="3">
    <mergeCell ref="C2:D2"/>
    <mergeCell ref="I7:L7"/>
    <mergeCell ref="I15:N16"/>
  </mergeCells>
  <dataValidations count="1">
    <dataValidation allowBlank="false" errorStyle="stop" operator="between" showDropDown="false" showErrorMessage="false" showInputMessage="false" sqref="B2" type="list">
      <formula1>"Ja,Nej"</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3" activeCellId="0" sqref="F13"/>
    </sheetView>
  </sheetViews>
  <sheetFormatPr defaultColWidth="9.140625" defaultRowHeight="15" zeroHeight="false" outlineLevelRow="1" outlineLevelCol="1"/>
  <cols>
    <col collapsed="false" customWidth="true" hidden="false" outlineLevel="0" max="1" min="1" style="1" width="58.85"/>
    <col collapsed="false" customWidth="true" hidden="false" outlineLevel="0" max="2" min="2" style="1" width="1.28"/>
    <col collapsed="false" customWidth="true" hidden="false" outlineLevel="0" max="3" min="3" style="1" width="16"/>
    <col collapsed="false" customWidth="true" hidden="false" outlineLevel="0" max="4" min="4" style="1" width="15.85"/>
    <col collapsed="false" customWidth="false" hidden="false" outlineLevel="1" max="5" min="5" style="1" width="9.14"/>
    <col collapsed="false" customWidth="true" hidden="false" outlineLevel="1" max="6" min="6" style="1" width="20.57"/>
    <col collapsed="false" customWidth="true" hidden="false" outlineLevel="0" max="9" min="9" style="1" width="28.86"/>
    <col collapsed="false" customWidth="true" hidden="false" outlineLevel="0" max="10" min="10" style="1" width="13.43"/>
    <col collapsed="false" customWidth="true" hidden="false" outlineLevel="0" max="11" min="11" style="1" width="10.85"/>
  </cols>
  <sheetData>
    <row r="1" customFormat="false" ht="45.75" hidden="false" customHeight="true" outlineLevel="0" collapsed="false">
      <c r="A1" s="203" t="s">
        <v>704</v>
      </c>
      <c r="C1" s="204" t="s">
        <v>621</v>
      </c>
      <c r="D1" s="205"/>
    </row>
    <row r="2" customFormat="false" ht="24" hidden="false" customHeight="true" outlineLevel="0" collapsed="false">
      <c r="A2" s="206" t="s">
        <v>622</v>
      </c>
      <c r="B2" s="207" t="s">
        <v>623</v>
      </c>
      <c r="C2" s="208"/>
      <c r="D2" s="208"/>
      <c r="E2" s="204" t="s">
        <v>624</v>
      </c>
      <c r="F2" s="205"/>
    </row>
    <row r="3" customFormat="false" ht="15.75" hidden="false" customHeight="true" outlineLevel="0" collapsed="false">
      <c r="A3" s="209"/>
      <c r="B3" s="210"/>
      <c r="C3" s="211" t="s">
        <v>625</v>
      </c>
      <c r="D3" s="212" t="s">
        <v>626</v>
      </c>
      <c r="E3" s="204" t="s">
        <v>627</v>
      </c>
      <c r="F3" s="205"/>
    </row>
    <row r="4" customFormat="false" ht="13.5" hidden="false" customHeight="true" outlineLevel="0" collapsed="false">
      <c r="A4" s="209" t="s">
        <v>628</v>
      </c>
      <c r="C4" s="213" t="n">
        <f aca="false">Byggnader!$I$32</f>
        <v>0</v>
      </c>
      <c r="D4" s="213" t="s">
        <v>629</v>
      </c>
    </row>
    <row r="5" customFormat="false" ht="13.5" hidden="false" customHeight="true" outlineLevel="0" collapsed="false">
      <c r="A5" s="209" t="s">
        <v>630</v>
      </c>
      <c r="C5" s="214" t="n">
        <f aca="false">Energiprisfaktorer!B6</f>
        <v>0.04</v>
      </c>
      <c r="D5" s="215" t="s">
        <v>631</v>
      </c>
      <c r="E5" s="216"/>
      <c r="F5" s="217" t="s">
        <v>632</v>
      </c>
    </row>
    <row r="6" customFormat="false" ht="15.75" hidden="false" customHeight="true" outlineLevel="0" collapsed="false">
      <c r="A6" s="209" t="s">
        <v>633</v>
      </c>
      <c r="C6" s="218" t="n">
        <v>20</v>
      </c>
      <c r="D6" s="215" t="s">
        <v>634</v>
      </c>
      <c r="E6" s="219" t="e">
        <f aca="false">(D20-C20)/(C34+C22-D34-D22)</f>
        <v>#DIV/0!</v>
      </c>
      <c r="F6" s="217" t="s">
        <v>635</v>
      </c>
    </row>
    <row r="7" customFormat="false" ht="15.75" hidden="false" customHeight="true" outlineLevel="0" collapsed="false">
      <c r="A7" s="220" t="s">
        <v>636</v>
      </c>
      <c r="C7" s="214" t="n">
        <f aca="false">Energiprisfaktorer!B7</f>
        <v>0.02</v>
      </c>
      <c r="D7" s="221" t="str">
        <f aca="false">D5</f>
        <v>nominell</v>
      </c>
      <c r="E7" s="222"/>
      <c r="F7" s="223"/>
      <c r="I7" s="195" t="s">
        <v>637</v>
      </c>
      <c r="J7" s="195"/>
      <c r="K7" s="195"/>
      <c r="L7" s="195"/>
    </row>
    <row r="8" customFormat="false" ht="15.75" hidden="false" customHeight="true" outlineLevel="0" collapsed="false">
      <c r="A8" s="224" t="s">
        <v>638</v>
      </c>
      <c r="C8" s="225" t="s">
        <v>615</v>
      </c>
      <c r="D8" s="225" t="s">
        <v>143</v>
      </c>
      <c r="E8" s="222"/>
      <c r="F8" s="223"/>
    </row>
    <row r="9" customFormat="false" ht="14.25" hidden="false" customHeight="true" outlineLevel="0" collapsed="false">
      <c r="A9" s="226" t="s">
        <v>639</v>
      </c>
      <c r="C9" s="227" t="n">
        <f aca="false">Energiprisfaktorer!C4</f>
        <v>2</v>
      </c>
      <c r="D9" s="228" t="s">
        <v>640</v>
      </c>
      <c r="E9" s="222"/>
      <c r="F9" s="223"/>
      <c r="I9" s="199" t="s">
        <v>695</v>
      </c>
      <c r="K9" s="17" t="n">
        <f aca="false">K24-K25</f>
        <v>11000</v>
      </c>
    </row>
    <row r="10" customFormat="false" ht="14.25" hidden="false" customHeight="true" outlineLevel="0" collapsed="false">
      <c r="A10" s="229" t="s">
        <v>642</v>
      </c>
      <c r="C10" s="230" t="n">
        <f aca="false">Energiprisfaktorer!B5</f>
        <v>0.03</v>
      </c>
      <c r="D10" s="231" t="str">
        <f aca="false">D5</f>
        <v>nominell</v>
      </c>
      <c r="E10" s="222"/>
      <c r="F10" s="223"/>
      <c r="I10" s="1" t="s">
        <v>705</v>
      </c>
      <c r="K10" s="1" t="n">
        <v>6500</v>
      </c>
    </row>
    <row r="11" customFormat="false" ht="14.25" hidden="false" customHeight="true" outlineLevel="1" collapsed="false">
      <c r="A11" s="224" t="s">
        <v>644</v>
      </c>
      <c r="C11" s="225" t="s">
        <v>174</v>
      </c>
      <c r="D11" s="225"/>
      <c r="E11" s="222"/>
      <c r="F11" s="223"/>
      <c r="I11" s="199" t="s">
        <v>643</v>
      </c>
      <c r="K11" s="1" t="n">
        <f aca="false">K10*K20*K19</f>
        <v>325000</v>
      </c>
    </row>
    <row r="12" customFormat="false" ht="14.25" hidden="false" customHeight="true" outlineLevel="1" collapsed="false">
      <c r="A12" s="226" t="s">
        <v>639</v>
      </c>
      <c r="C12" s="227" t="n">
        <f aca="false">Energiprisfaktorer!B4</f>
        <v>1.15</v>
      </c>
      <c r="D12" s="228" t="s">
        <v>640</v>
      </c>
      <c r="E12" s="222"/>
      <c r="F12" s="223"/>
      <c r="I12" s="232" t="s">
        <v>645</v>
      </c>
      <c r="J12" s="233"/>
      <c r="K12" s="233"/>
      <c r="L12" s="233"/>
    </row>
    <row r="13" customFormat="false" ht="14.25" hidden="false" customHeight="true" outlineLevel="1" collapsed="false">
      <c r="A13" s="229" t="s">
        <v>642</v>
      </c>
      <c r="C13" s="230" t="n">
        <f aca="false">Energiprisfaktorer!C5</f>
        <v>0.04</v>
      </c>
      <c r="D13" s="231" t="str">
        <f aca="false">D5</f>
        <v>nominell</v>
      </c>
      <c r="E13" s="222"/>
      <c r="F13" s="223"/>
    </row>
    <row r="14" customFormat="false" ht="14.25" hidden="false" customHeight="true" outlineLevel="1" collapsed="false">
      <c r="A14" s="224" t="s">
        <v>646</v>
      </c>
      <c r="C14" s="225"/>
      <c r="D14" s="225"/>
      <c r="E14" s="222"/>
      <c r="F14" s="223"/>
      <c r="I14" s="199" t="s">
        <v>647</v>
      </c>
    </row>
    <row r="15" customFormat="false" ht="15.75" hidden="false" customHeight="true" outlineLevel="1" collapsed="false">
      <c r="A15" s="226" t="s">
        <v>639</v>
      </c>
      <c r="C15" s="227" t="n">
        <v>0.6</v>
      </c>
      <c r="D15" s="228" t="s">
        <v>640</v>
      </c>
      <c r="I15" s="234" t="s">
        <v>704</v>
      </c>
      <c r="J15" s="234"/>
      <c r="K15" s="234"/>
      <c r="L15" s="234"/>
      <c r="M15" s="234"/>
      <c r="N15" s="234"/>
    </row>
    <row r="16" customFormat="false" ht="15.75" hidden="false" customHeight="true" outlineLevel="1" collapsed="false">
      <c r="A16" s="229" t="s">
        <v>642</v>
      </c>
      <c r="C16" s="230" t="n">
        <v>0.04</v>
      </c>
      <c r="D16" s="231" t="str">
        <f aca="false">D5</f>
        <v>nominell</v>
      </c>
      <c r="I16" s="234"/>
      <c r="J16" s="234"/>
      <c r="K16" s="234"/>
      <c r="L16" s="234"/>
      <c r="M16" s="234"/>
      <c r="N16" s="234"/>
    </row>
    <row r="17" customFormat="false" ht="15.75" hidden="false" customHeight="true" outlineLevel="0" collapsed="false">
      <c r="A17" s="229" t="s">
        <v>649</v>
      </c>
      <c r="C17" s="235"/>
      <c r="D17" s="235"/>
      <c r="E17" s="222"/>
    </row>
    <row r="18" customFormat="false" ht="15.75" hidden="false" customHeight="true" outlineLevel="0" collapsed="false">
      <c r="A18" s="236"/>
      <c r="C18" s="236"/>
      <c r="D18" s="235"/>
      <c r="E18" s="222"/>
      <c r="I18" s="199" t="s">
        <v>650</v>
      </c>
    </row>
    <row r="19" customFormat="false" ht="15.75" hidden="false" customHeight="true" outlineLevel="0" collapsed="false">
      <c r="A19" s="236"/>
      <c r="C19" s="238" t="s">
        <v>651</v>
      </c>
      <c r="D19" s="239" t="s">
        <v>652</v>
      </c>
      <c r="I19" s="199" t="s">
        <v>706</v>
      </c>
      <c r="K19" s="1" t="n">
        <v>200</v>
      </c>
    </row>
    <row r="20" customFormat="false" ht="15.75" hidden="false" customHeight="true" outlineLevel="0" collapsed="false">
      <c r="A20" s="240" t="s">
        <v>654</v>
      </c>
      <c r="C20" s="241" t="n">
        <v>0</v>
      </c>
      <c r="D20" s="241" t="n">
        <f aca="false">K11</f>
        <v>325000</v>
      </c>
      <c r="E20" s="242" t="e">
        <f aca="false">D20+C41-D41</f>
        <v>#DIV/0!</v>
      </c>
      <c r="F20" s="217" t="s">
        <v>655</v>
      </c>
      <c r="I20" s="199" t="s">
        <v>707</v>
      </c>
      <c r="K20" s="189" t="n">
        <v>0.25</v>
      </c>
    </row>
    <row r="21" customFormat="false" ht="15.75" hidden="false" customHeight="true" outlineLevel="0" collapsed="false">
      <c r="A21" s="236"/>
      <c r="C21" s="243"/>
      <c r="D21" s="243"/>
      <c r="E21" s="244"/>
      <c r="F21" s="245"/>
      <c r="I21" s="199" t="s">
        <v>698</v>
      </c>
      <c r="K21" s="1" t="n">
        <v>3</v>
      </c>
    </row>
    <row r="22" customFormat="false" ht="15.75" hidden="false" customHeight="true" outlineLevel="0" collapsed="false">
      <c r="A22" s="220" t="s">
        <v>657</v>
      </c>
      <c r="C22" s="246" t="n">
        <v>0</v>
      </c>
      <c r="D22" s="246" t="n">
        <v>0</v>
      </c>
      <c r="I22" s="199" t="s">
        <v>699</v>
      </c>
      <c r="K22" s="1" t="n">
        <v>1</v>
      </c>
    </row>
    <row r="23" customFormat="false" ht="15.75" hidden="false" customHeight="true" outlineLevel="1" collapsed="false">
      <c r="A23" s="220" t="s">
        <v>659</v>
      </c>
      <c r="C23" s="241"/>
      <c r="D23" s="241"/>
      <c r="I23" s="199" t="s">
        <v>295</v>
      </c>
      <c r="K23" s="1" t="n">
        <v>110000</v>
      </c>
      <c r="L23" s="1" t="s">
        <v>700</v>
      </c>
    </row>
    <row r="24" customFormat="false" ht="15.75" hidden="false" customHeight="true" outlineLevel="1" collapsed="false">
      <c r="A24" s="220" t="s">
        <v>660</v>
      </c>
      <c r="C24" s="241"/>
      <c r="D24" s="241"/>
      <c r="I24" s="199" t="s">
        <v>708</v>
      </c>
      <c r="K24" s="1" t="n">
        <f aca="false">(K19*K20)*K21*K23*0.001</f>
        <v>16500</v>
      </c>
    </row>
    <row r="25" customFormat="false" ht="15.75" hidden="false" customHeight="true" outlineLevel="1" collapsed="false">
      <c r="A25" s="220" t="s">
        <v>661</v>
      </c>
      <c r="C25" s="241"/>
      <c r="D25" s="241"/>
      <c r="I25" s="199" t="s">
        <v>709</v>
      </c>
      <c r="K25" s="1" t="n">
        <f aca="false">(K19*K20)*K22*K23*0.001</f>
        <v>5500</v>
      </c>
    </row>
    <row r="26" customFormat="false" ht="15" hidden="false" customHeight="true" outlineLevel="0" collapsed="false">
      <c r="A26" s="220" t="s">
        <v>662</v>
      </c>
      <c r="C26" s="247"/>
      <c r="D26" s="247"/>
      <c r="I26" s="1" t="s">
        <v>703</v>
      </c>
      <c r="K26" s="1" t="n">
        <f aca="false">K24-K25</f>
        <v>11000</v>
      </c>
    </row>
    <row r="27" customFormat="false" ht="15.75" hidden="false" customHeight="true" outlineLevel="0" collapsed="false">
      <c r="A27" s="236"/>
      <c r="C27" s="247"/>
      <c r="D27" s="247"/>
    </row>
    <row r="28" customFormat="false" ht="15.75" hidden="false" customHeight="true" outlineLevel="0" collapsed="false">
      <c r="A28" s="224" t="s">
        <v>665</v>
      </c>
      <c r="C28" s="248" t="n">
        <v>0</v>
      </c>
      <c r="D28" s="248" t="n">
        <v>0</v>
      </c>
    </row>
    <row r="29" customFormat="false" ht="15.75" hidden="false" customHeight="true" outlineLevel="0" collapsed="false">
      <c r="A29" s="249" t="s">
        <v>667</v>
      </c>
      <c r="C29" s="250" t="n">
        <f aca="false">C28*$C$4*$C$9</f>
        <v>0</v>
      </c>
      <c r="D29" s="250" t="n">
        <f aca="false">D28*$C$4*$C$9</f>
        <v>0</v>
      </c>
    </row>
    <row r="30" customFormat="false" ht="15.75" hidden="false" customHeight="true" outlineLevel="1" collapsed="false">
      <c r="A30" s="224" t="s">
        <v>668</v>
      </c>
      <c r="C30" s="248" t="e">
        <f aca="false">Normalisering!$I$112/'Byte fönster'!C4</f>
        <v>#DIV/0!</v>
      </c>
      <c r="D30" s="248" t="e">
        <f aca="false">(Normalisering!$I$112-K26)/'Byte fönster'!C4</f>
        <v>#DIV/0!</v>
      </c>
    </row>
    <row r="31" customFormat="false" ht="15.75" hidden="false" customHeight="true" outlineLevel="1" collapsed="false">
      <c r="A31" s="249" t="s">
        <v>670</v>
      </c>
      <c r="C31" s="250" t="e">
        <f aca="false">C30*$C$4*$C$12</f>
        <v>#DIV/0!</v>
      </c>
      <c r="D31" s="250" t="e">
        <f aca="false">D30*$C$4*$C$12</f>
        <v>#DIV/0!</v>
      </c>
    </row>
    <row r="32" customFormat="false" ht="15.75" hidden="false" customHeight="true" outlineLevel="1" collapsed="false">
      <c r="A32" s="224" t="s">
        <v>672</v>
      </c>
      <c r="C32" s="248"/>
      <c r="D32" s="248"/>
    </row>
    <row r="33" customFormat="false" ht="15.75" hidden="false" customHeight="true" outlineLevel="1" collapsed="false">
      <c r="A33" s="249" t="s">
        <v>673</v>
      </c>
      <c r="C33" s="250" t="n">
        <f aca="false">C32*$C$4*$C$15</f>
        <v>0</v>
      </c>
      <c r="D33" s="250" t="n">
        <f aca="false">D32*$C$4*$C$15</f>
        <v>0</v>
      </c>
    </row>
    <row r="34" customFormat="false" ht="15" hidden="false" customHeight="true" outlineLevel="1" collapsed="false">
      <c r="A34" s="236" t="s">
        <v>674</v>
      </c>
      <c r="C34" s="247" t="e">
        <f aca="false">C29+C31+C33</f>
        <v>#DIV/0!</v>
      </c>
      <c r="D34" s="247" t="e">
        <f aca="false">D29+D31+D33</f>
        <v>#DIV/0!</v>
      </c>
      <c r="F34" s="236"/>
    </row>
    <row r="35" customFormat="false" ht="15" hidden="false" customHeight="true" outlineLevel="1" collapsed="false">
      <c r="A35" s="236" t="s">
        <v>675</v>
      </c>
      <c r="C35" s="247" t="e">
        <f aca="false">(C28+C30+C32)*$C$4</f>
        <v>#DIV/0!</v>
      </c>
      <c r="D35" s="247" t="e">
        <f aca="false">(D28+D30+D32)*$C$4</f>
        <v>#DIV/0!</v>
      </c>
      <c r="F35" s="236"/>
    </row>
    <row r="36" customFormat="false" ht="15" hidden="false" customHeight="true" outlineLevel="1" collapsed="false">
      <c r="A36" s="236" t="s">
        <v>676</v>
      </c>
      <c r="C36" s="252" t="e">
        <f aca="false">C34/C35</f>
        <v>#DIV/0!</v>
      </c>
      <c r="D36" s="247"/>
      <c r="F36" s="236"/>
    </row>
    <row r="37" customFormat="false" ht="15" hidden="false" customHeight="true" outlineLevel="0" collapsed="false">
      <c r="A37" s="226" t="s">
        <v>649</v>
      </c>
      <c r="C37" s="247"/>
      <c r="D37" s="247"/>
      <c r="F37" s="236"/>
    </row>
    <row r="38" customFormat="false" ht="15.75" hidden="false" customHeight="true" outlineLevel="0" collapsed="false">
      <c r="A38" s="253"/>
      <c r="C38" s="247"/>
      <c r="D38" s="247"/>
      <c r="F38" s="236"/>
    </row>
    <row r="39" customFormat="false" ht="15" hidden="false" customHeight="true" outlineLevel="0" collapsed="false">
      <c r="A39" s="254" t="s">
        <v>677</v>
      </c>
      <c r="B39" s="255"/>
      <c r="C39" s="256" t="n">
        <f aca="false">C20-PV($C$5-$C$7,$C$6,C22)+C23+C24/(1+$C$5-$C$7)^10+C25/(1+$C$5-$C$7)^20</f>
        <v>0</v>
      </c>
      <c r="D39" s="257" t="n">
        <f aca="false">D20-PV($C$5-$C$7,$C$6,D22)+D23+D24/(1+$C$5-$C$7)^10+D25/(1+$C$5-$C$7)^20</f>
        <v>325000</v>
      </c>
      <c r="F39" s="236"/>
    </row>
    <row r="40" customFormat="false" ht="15.75" hidden="false" customHeight="true" outlineLevel="0" collapsed="false">
      <c r="A40" s="258" t="s">
        <v>678</v>
      </c>
      <c r="B40" s="259"/>
      <c r="C40" s="260" t="e">
        <f aca="false">-PV($C$5-$C$10,$C$6,C29)-PV($C$5-$C$13,$C$6,C31)-PV($C$5-$C$16,$C$6,C33)</f>
        <v>#DIV/0!</v>
      </c>
      <c r="D40" s="261" t="e">
        <f aca="false">-PV($C$5-$C$10,$C$6,D29)-PV($C$5-$C$13,$C$6,D31)-PV($C$5-$C$16,$C$6,D33)</f>
        <v>#DIV/0!</v>
      </c>
      <c r="F40" s="236"/>
    </row>
    <row r="41" customFormat="false" ht="15.75" hidden="false" customHeight="true" outlineLevel="0" collapsed="false">
      <c r="A41" s="262" t="s">
        <v>679</v>
      </c>
      <c r="B41" s="263"/>
      <c r="C41" s="264" t="e">
        <f aca="false">C39+C40</f>
        <v>#DIV/0!</v>
      </c>
      <c r="D41" s="265" t="e">
        <f aca="false">D39+D40</f>
        <v>#DIV/0!</v>
      </c>
      <c r="F41" s="236"/>
    </row>
    <row r="42" customFormat="false" ht="15.75" hidden="false" customHeight="true" outlineLevel="0" collapsed="false">
      <c r="A42" s="266"/>
      <c r="B42" s="267"/>
      <c r="C42" s="268" t="s">
        <v>680</v>
      </c>
      <c r="D42" s="269" t="e">
        <f aca="false">C41-D41</f>
        <v>#DIV/0!</v>
      </c>
      <c r="F42" s="236"/>
    </row>
    <row r="43" s="236" customFormat="true" ht="12.75" hidden="false" customHeight="true" outlineLevel="0" collapsed="false">
      <c r="A43" s="270" t="s">
        <v>681</v>
      </c>
      <c r="B43" s="271"/>
      <c r="C43" s="272" t="e">
        <f aca="false">(D39-C39)/(C40-D40)*C36</f>
        <v>#DIV/0!</v>
      </c>
      <c r="D43" s="273" t="e">
        <f aca="false">IF($D42&gt;0,"LÖNSAMT","EJ LÖNSAMT")</f>
        <v>#DIV/0!</v>
      </c>
    </row>
    <row r="44" customFormat="false" ht="15.75" hidden="false" customHeight="true" outlineLevel="0" collapsed="false">
      <c r="A44" s="274" t="s">
        <v>682</v>
      </c>
      <c r="B44" s="185"/>
      <c r="C44" s="275" t="e">
        <f aca="false">C36</f>
        <v>#DIV/0!</v>
      </c>
      <c r="D44" s="276"/>
      <c r="F44" s="236"/>
    </row>
    <row r="45" customFormat="false" ht="15" hidden="false" customHeight="true" outlineLevel="0" collapsed="false">
      <c r="C45" s="247"/>
      <c r="D45" s="247"/>
      <c r="F45" s="236"/>
    </row>
    <row r="46" customFormat="false" ht="15.75" hidden="false" customHeight="true" outlineLevel="0" collapsed="false">
      <c r="D46" s="277"/>
    </row>
    <row r="47" customFormat="false" ht="15.75" hidden="false" customHeight="true" outlineLevel="0" collapsed="false">
      <c r="A47" s="278" t="s">
        <v>683</v>
      </c>
      <c r="B47" s="279"/>
      <c r="D47" s="280" t="s">
        <v>684</v>
      </c>
    </row>
    <row r="49" customFormat="false" ht="15" hidden="false" customHeight="true" outlineLevel="0" collapsed="false">
      <c r="F49" s="222"/>
    </row>
  </sheetData>
  <mergeCells count="3">
    <mergeCell ref="C2:D2"/>
    <mergeCell ref="I7:L7"/>
    <mergeCell ref="I15:N16"/>
  </mergeCells>
  <dataValidations count="1">
    <dataValidation allowBlank="false" errorStyle="stop" operator="between" showDropDown="false" showErrorMessage="false" showInputMessage="false" sqref="B2" type="list">
      <formula1>"Ja,Nej"</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9.140625" defaultRowHeight="15" zeroHeight="false" outlineLevelRow="1" outlineLevelCol="1"/>
  <cols>
    <col collapsed="false" customWidth="true" hidden="false" outlineLevel="0" max="1" min="1" style="1" width="58.85"/>
    <col collapsed="false" customWidth="true" hidden="false" outlineLevel="0" max="2" min="2" style="1" width="1.28"/>
    <col collapsed="false" customWidth="true" hidden="false" outlineLevel="0" max="3" min="3" style="1" width="16"/>
    <col collapsed="false" customWidth="true" hidden="false" outlineLevel="0" max="4" min="4" style="1" width="15.85"/>
    <col collapsed="false" customWidth="false" hidden="false" outlineLevel="1" max="5" min="5" style="1" width="9.14"/>
    <col collapsed="false" customWidth="true" hidden="false" outlineLevel="1" max="6" min="6" style="1" width="20.57"/>
    <col collapsed="false" customWidth="true" hidden="false" outlineLevel="0" max="9" min="9" style="1" width="28.86"/>
    <col collapsed="false" customWidth="true" hidden="false" outlineLevel="0" max="10" min="10" style="1" width="13.43"/>
    <col collapsed="false" customWidth="true" hidden="false" outlineLevel="0" max="11" min="11" style="1" width="10.85"/>
  </cols>
  <sheetData>
    <row r="1" customFormat="false" ht="45.75" hidden="false" customHeight="true" outlineLevel="0" collapsed="false">
      <c r="A1" s="203" t="s">
        <v>710</v>
      </c>
      <c r="C1" s="204" t="s">
        <v>621</v>
      </c>
      <c r="D1" s="205"/>
    </row>
    <row r="2" customFormat="false" ht="24" hidden="false" customHeight="true" outlineLevel="0" collapsed="false">
      <c r="A2" s="206" t="s">
        <v>622</v>
      </c>
      <c r="B2" s="207" t="s">
        <v>623</v>
      </c>
      <c r="C2" s="208"/>
      <c r="D2" s="208"/>
      <c r="E2" s="204" t="s">
        <v>624</v>
      </c>
      <c r="F2" s="205"/>
    </row>
    <row r="3" customFormat="false" ht="15.75" hidden="false" customHeight="true" outlineLevel="0" collapsed="false">
      <c r="A3" s="209"/>
      <c r="B3" s="210"/>
      <c r="C3" s="211" t="s">
        <v>625</v>
      </c>
      <c r="D3" s="212" t="s">
        <v>626</v>
      </c>
      <c r="E3" s="204" t="s">
        <v>627</v>
      </c>
      <c r="F3" s="205"/>
    </row>
    <row r="4" customFormat="false" ht="13.5" hidden="false" customHeight="true" outlineLevel="0" collapsed="false">
      <c r="A4" s="209" t="s">
        <v>628</v>
      </c>
      <c r="C4" s="213" t="n">
        <f aca="false">Byggnader!$I$32</f>
        <v>0</v>
      </c>
      <c r="D4" s="213" t="s">
        <v>629</v>
      </c>
    </row>
    <row r="5" customFormat="false" ht="13.5" hidden="false" customHeight="true" outlineLevel="0" collapsed="false">
      <c r="A5" s="209" t="s">
        <v>630</v>
      </c>
      <c r="C5" s="214" t="n">
        <f aca="false">Energiprisfaktorer!B6</f>
        <v>0.04</v>
      </c>
      <c r="D5" s="215" t="s">
        <v>631</v>
      </c>
      <c r="E5" s="216"/>
      <c r="F5" s="217" t="s">
        <v>632</v>
      </c>
    </row>
    <row r="6" customFormat="false" ht="15.75" hidden="false" customHeight="true" outlineLevel="0" collapsed="false">
      <c r="A6" s="209" t="s">
        <v>633</v>
      </c>
      <c r="C6" s="218" t="n">
        <v>20</v>
      </c>
      <c r="D6" s="215" t="s">
        <v>634</v>
      </c>
      <c r="E6" s="219" t="e">
        <f aca="false">(D20-C20)/(C34+C22-D34-D22)</f>
        <v>#DIV/0!</v>
      </c>
      <c r="F6" s="217" t="s">
        <v>635</v>
      </c>
    </row>
    <row r="7" customFormat="false" ht="15.75" hidden="false" customHeight="true" outlineLevel="0" collapsed="false">
      <c r="A7" s="220" t="s">
        <v>636</v>
      </c>
      <c r="C7" s="214" t="n">
        <f aca="false">Energiprisfaktorer!B7</f>
        <v>0.02</v>
      </c>
      <c r="D7" s="221" t="str">
        <f aca="false">D5</f>
        <v>nominell</v>
      </c>
      <c r="E7" s="222"/>
      <c r="F7" s="223"/>
      <c r="I7" s="195" t="s">
        <v>637</v>
      </c>
      <c r="J7" s="195"/>
      <c r="K7" s="195"/>
      <c r="L7" s="195"/>
    </row>
    <row r="8" customFormat="false" ht="15.75" hidden="false" customHeight="true" outlineLevel="0" collapsed="false">
      <c r="A8" s="224" t="s">
        <v>638</v>
      </c>
      <c r="C8" s="225" t="s">
        <v>615</v>
      </c>
      <c r="D8" s="225" t="s">
        <v>143</v>
      </c>
      <c r="E8" s="222"/>
      <c r="F8" s="223"/>
    </row>
    <row r="9" customFormat="false" ht="14.25" hidden="false" customHeight="true" outlineLevel="0" collapsed="false">
      <c r="A9" s="226" t="s">
        <v>639</v>
      </c>
      <c r="C9" s="227" t="n">
        <f aca="false">Energiprisfaktorer!C4</f>
        <v>2</v>
      </c>
      <c r="D9" s="228" t="s">
        <v>640</v>
      </c>
      <c r="E9" s="222"/>
      <c r="F9" s="223"/>
      <c r="I9" s="199" t="s">
        <v>695</v>
      </c>
      <c r="K9" s="17" t="n">
        <f aca="false">K24-K25</f>
        <v>71280</v>
      </c>
    </row>
    <row r="10" customFormat="false" ht="14.25" hidden="false" customHeight="true" outlineLevel="0" collapsed="false">
      <c r="A10" s="229" t="s">
        <v>642</v>
      </c>
      <c r="C10" s="230" t="n">
        <f aca="false">Energiprisfaktorer!B5</f>
        <v>0.03</v>
      </c>
      <c r="D10" s="231" t="str">
        <f aca="false">D5</f>
        <v>nominell</v>
      </c>
      <c r="E10" s="222"/>
      <c r="F10" s="223"/>
      <c r="I10" s="1" t="s">
        <v>711</v>
      </c>
      <c r="K10" s="1" t="n">
        <v>1500</v>
      </c>
    </row>
    <row r="11" customFormat="false" ht="14.25" hidden="false" customHeight="true" outlineLevel="1" collapsed="false">
      <c r="A11" s="224" t="s">
        <v>644</v>
      </c>
      <c r="C11" s="225" t="s">
        <v>174</v>
      </c>
      <c r="D11" s="225"/>
      <c r="E11" s="222"/>
      <c r="F11" s="223"/>
      <c r="I11" s="199" t="s">
        <v>643</v>
      </c>
      <c r="K11" s="1" t="n">
        <f aca="false">K10*K19</f>
        <v>2160000</v>
      </c>
    </row>
    <row r="12" customFormat="false" ht="14.25" hidden="false" customHeight="true" outlineLevel="1" collapsed="false">
      <c r="A12" s="226" t="s">
        <v>639</v>
      </c>
      <c r="C12" s="227" t="n">
        <f aca="false">Energiprisfaktorer!B4</f>
        <v>1.15</v>
      </c>
      <c r="D12" s="228" t="s">
        <v>640</v>
      </c>
      <c r="E12" s="222"/>
      <c r="F12" s="223"/>
      <c r="I12" s="232" t="s">
        <v>645</v>
      </c>
      <c r="J12" s="233"/>
      <c r="K12" s="233"/>
      <c r="L12" s="233"/>
    </row>
    <row r="13" customFormat="false" ht="14.25" hidden="false" customHeight="true" outlineLevel="1" collapsed="false">
      <c r="A13" s="229" t="s">
        <v>642</v>
      </c>
      <c r="C13" s="230" t="n">
        <f aca="false">Energiprisfaktorer!C5</f>
        <v>0.04</v>
      </c>
      <c r="D13" s="231" t="str">
        <f aca="false">D5</f>
        <v>nominell</v>
      </c>
      <c r="E13" s="222"/>
      <c r="F13" s="223"/>
    </row>
    <row r="14" customFormat="false" ht="14.25" hidden="false" customHeight="true" outlineLevel="1" collapsed="false">
      <c r="A14" s="224" t="s">
        <v>646</v>
      </c>
      <c r="C14" s="225"/>
      <c r="D14" s="225"/>
      <c r="E14" s="222"/>
      <c r="F14" s="223"/>
      <c r="I14" s="199" t="s">
        <v>647</v>
      </c>
    </row>
    <row r="15" customFormat="false" ht="15.75" hidden="false" customHeight="true" outlineLevel="1" collapsed="false">
      <c r="A15" s="226" t="s">
        <v>639</v>
      </c>
      <c r="C15" s="227" t="n">
        <v>0.6</v>
      </c>
      <c r="D15" s="228" t="s">
        <v>640</v>
      </c>
      <c r="I15" s="234" t="s">
        <v>712</v>
      </c>
      <c r="J15" s="234"/>
      <c r="K15" s="234"/>
      <c r="L15" s="234"/>
      <c r="M15" s="234"/>
      <c r="N15" s="234"/>
    </row>
    <row r="16" customFormat="false" ht="15.75" hidden="false" customHeight="true" outlineLevel="1" collapsed="false">
      <c r="A16" s="229" t="s">
        <v>642</v>
      </c>
      <c r="C16" s="230" t="n">
        <v>0.04</v>
      </c>
      <c r="D16" s="231" t="str">
        <f aca="false">D5</f>
        <v>nominell</v>
      </c>
      <c r="I16" s="234"/>
      <c r="J16" s="234"/>
      <c r="K16" s="234"/>
      <c r="L16" s="234"/>
      <c r="M16" s="234"/>
      <c r="N16" s="234"/>
    </row>
    <row r="17" customFormat="false" ht="15.75" hidden="false" customHeight="true" outlineLevel="0" collapsed="false">
      <c r="A17" s="229" t="s">
        <v>649</v>
      </c>
      <c r="C17" s="235"/>
      <c r="D17" s="235"/>
      <c r="E17" s="222"/>
    </row>
    <row r="18" customFormat="false" ht="15.75" hidden="false" customHeight="true" outlineLevel="0" collapsed="false">
      <c r="A18" s="236"/>
      <c r="C18" s="236"/>
      <c r="D18" s="235"/>
      <c r="E18" s="222"/>
      <c r="I18" s="199" t="s">
        <v>650</v>
      </c>
    </row>
    <row r="19" customFormat="false" ht="15.75" hidden="false" customHeight="true" outlineLevel="0" collapsed="false">
      <c r="A19" s="236"/>
      <c r="C19" s="238" t="s">
        <v>651</v>
      </c>
      <c r="D19" s="239" t="s">
        <v>652</v>
      </c>
      <c r="I19" s="199" t="s">
        <v>706</v>
      </c>
      <c r="K19" s="1" t="n">
        <f aca="false">90*8*2</f>
        <v>1440</v>
      </c>
    </row>
    <row r="20" customFormat="false" ht="15.75" hidden="false" customHeight="true" outlineLevel="0" collapsed="false">
      <c r="A20" s="240" t="s">
        <v>654</v>
      </c>
      <c r="C20" s="241" t="n">
        <v>0</v>
      </c>
      <c r="D20" s="241" t="n">
        <f aca="false">K11</f>
        <v>2160000</v>
      </c>
      <c r="E20" s="242" t="e">
        <f aca="false">D20+C41-D41</f>
        <v>#DIV/0!</v>
      </c>
      <c r="F20" s="217" t="s">
        <v>655</v>
      </c>
      <c r="I20" s="199" t="s">
        <v>707</v>
      </c>
      <c r="K20" s="189" t="n">
        <v>0.25</v>
      </c>
    </row>
    <row r="21" customFormat="false" ht="15.75" hidden="false" customHeight="true" outlineLevel="0" collapsed="false">
      <c r="A21" s="236"/>
      <c r="C21" s="243"/>
      <c r="D21" s="243"/>
      <c r="E21" s="244"/>
      <c r="F21" s="245"/>
      <c r="I21" s="199" t="s">
        <v>698</v>
      </c>
      <c r="K21" s="1" t="n">
        <v>0.8</v>
      </c>
    </row>
    <row r="22" customFormat="false" ht="15.75" hidden="false" customHeight="true" outlineLevel="0" collapsed="false">
      <c r="A22" s="220" t="s">
        <v>657</v>
      </c>
      <c r="C22" s="246" t="n">
        <v>0</v>
      </c>
      <c r="D22" s="246" t="n">
        <v>0</v>
      </c>
      <c r="I22" s="199" t="s">
        <v>699</v>
      </c>
      <c r="K22" s="1" t="n">
        <v>0.2</v>
      </c>
    </row>
    <row r="23" customFormat="false" ht="15.75" hidden="false" customHeight="true" outlineLevel="1" collapsed="false">
      <c r="A23" s="220" t="s">
        <v>659</v>
      </c>
      <c r="C23" s="241"/>
      <c r="D23" s="241"/>
      <c r="I23" s="199" t="s">
        <v>295</v>
      </c>
      <c r="K23" s="1" t="n">
        <v>110000</v>
      </c>
      <c r="L23" s="1" t="s">
        <v>700</v>
      </c>
    </row>
    <row r="24" customFormat="false" ht="15.75" hidden="false" customHeight="true" outlineLevel="1" collapsed="false">
      <c r="A24" s="220" t="s">
        <v>660</v>
      </c>
      <c r="C24" s="241"/>
      <c r="D24" s="241"/>
      <c r="I24" s="199" t="s">
        <v>713</v>
      </c>
      <c r="K24" s="1" t="n">
        <f aca="false">(K19-(K19*K20))*K21*K23*0.001</f>
        <v>95040</v>
      </c>
    </row>
    <row r="25" customFormat="false" ht="15.75" hidden="false" customHeight="true" outlineLevel="1" collapsed="false">
      <c r="A25" s="220" t="s">
        <v>661</v>
      </c>
      <c r="C25" s="241"/>
      <c r="D25" s="241"/>
      <c r="I25" s="199" t="s">
        <v>714</v>
      </c>
      <c r="K25" s="1" t="n">
        <f aca="false">(K19-(K19*K20))*K22*K23*0.001</f>
        <v>23760</v>
      </c>
    </row>
    <row r="26" customFormat="false" ht="15" hidden="false" customHeight="true" outlineLevel="0" collapsed="false">
      <c r="A26" s="220" t="s">
        <v>662</v>
      </c>
      <c r="C26" s="247"/>
      <c r="D26" s="247"/>
      <c r="I26" s="1" t="s">
        <v>703</v>
      </c>
      <c r="K26" s="1" t="n">
        <f aca="false">K24-K25</f>
        <v>71280</v>
      </c>
    </row>
    <row r="27" customFormat="false" ht="15.75" hidden="false" customHeight="true" outlineLevel="0" collapsed="false">
      <c r="A27" s="236"/>
      <c r="C27" s="247"/>
      <c r="D27" s="247"/>
    </row>
    <row r="28" customFormat="false" ht="15.75" hidden="false" customHeight="true" outlineLevel="0" collapsed="false">
      <c r="A28" s="224" t="s">
        <v>665</v>
      </c>
      <c r="C28" s="248" t="n">
        <v>0</v>
      </c>
      <c r="D28" s="248" t="n">
        <v>0</v>
      </c>
    </row>
    <row r="29" customFormat="false" ht="15.75" hidden="false" customHeight="true" outlineLevel="0" collapsed="false">
      <c r="A29" s="249" t="s">
        <v>667</v>
      </c>
      <c r="C29" s="250" t="n">
        <f aca="false">C28*$C$4*$C$9</f>
        <v>0</v>
      </c>
      <c r="D29" s="250" t="n">
        <f aca="false">D28*$C$4*$C$9</f>
        <v>0</v>
      </c>
    </row>
    <row r="30" customFormat="false" ht="15.75" hidden="false" customHeight="true" outlineLevel="1" collapsed="false">
      <c r="A30" s="224" t="s">
        <v>668</v>
      </c>
      <c r="C30" s="248" t="e">
        <f aca="false">Normalisering!$I$112/(Byggnader!$I$32)</f>
        <v>#DIV/0!</v>
      </c>
      <c r="D30" s="248" t="e">
        <f aca="false">(Normalisering!$I$112-K9)/(Byggnader!$I$32)</f>
        <v>#DIV/0!</v>
      </c>
    </row>
    <row r="31" customFormat="false" ht="15.75" hidden="false" customHeight="true" outlineLevel="1" collapsed="false">
      <c r="A31" s="249" t="s">
        <v>670</v>
      </c>
      <c r="C31" s="250" t="e">
        <f aca="false">C30*$C$4*$C$12</f>
        <v>#DIV/0!</v>
      </c>
      <c r="D31" s="250" t="e">
        <f aca="false">D30*$C$4*$C$12</f>
        <v>#DIV/0!</v>
      </c>
    </row>
    <row r="32" customFormat="false" ht="15.75" hidden="false" customHeight="true" outlineLevel="1" collapsed="false">
      <c r="A32" s="224" t="s">
        <v>672</v>
      </c>
      <c r="C32" s="248"/>
      <c r="D32" s="248"/>
    </row>
    <row r="33" customFormat="false" ht="15.75" hidden="false" customHeight="true" outlineLevel="1" collapsed="false">
      <c r="A33" s="249" t="s">
        <v>673</v>
      </c>
      <c r="C33" s="250" t="n">
        <f aca="false">C32*$C$4*$C$15</f>
        <v>0</v>
      </c>
      <c r="D33" s="250" t="n">
        <f aca="false">D32*$C$4*$C$15</f>
        <v>0</v>
      </c>
    </row>
    <row r="34" customFormat="false" ht="15" hidden="false" customHeight="true" outlineLevel="1" collapsed="false">
      <c r="A34" s="236" t="s">
        <v>674</v>
      </c>
      <c r="C34" s="247" t="e">
        <f aca="false">C29+C31+C33</f>
        <v>#DIV/0!</v>
      </c>
      <c r="D34" s="247" t="e">
        <f aca="false">D29+D31+D33</f>
        <v>#DIV/0!</v>
      </c>
      <c r="F34" s="236"/>
    </row>
    <row r="35" customFormat="false" ht="15" hidden="false" customHeight="true" outlineLevel="1" collapsed="false">
      <c r="A35" s="236" t="s">
        <v>675</v>
      </c>
      <c r="C35" s="247" t="e">
        <f aca="false">(C28+C30+C32)*$C$4</f>
        <v>#DIV/0!</v>
      </c>
      <c r="D35" s="247" t="e">
        <f aca="false">(D28+D30+D32)*$C$4</f>
        <v>#DIV/0!</v>
      </c>
      <c r="F35" s="236"/>
    </row>
    <row r="36" customFormat="false" ht="15" hidden="false" customHeight="true" outlineLevel="1" collapsed="false">
      <c r="A36" s="236" t="s">
        <v>676</v>
      </c>
      <c r="C36" s="252" t="e">
        <f aca="false">C34/C35</f>
        <v>#DIV/0!</v>
      </c>
      <c r="D36" s="247"/>
      <c r="F36" s="236"/>
    </row>
    <row r="37" customFormat="false" ht="15" hidden="false" customHeight="true" outlineLevel="0" collapsed="false">
      <c r="A37" s="226" t="s">
        <v>649</v>
      </c>
      <c r="C37" s="247"/>
      <c r="D37" s="247"/>
      <c r="F37" s="236"/>
    </row>
    <row r="38" customFormat="false" ht="15.75" hidden="false" customHeight="true" outlineLevel="0" collapsed="false">
      <c r="A38" s="253"/>
      <c r="C38" s="247"/>
      <c r="D38" s="247"/>
      <c r="F38" s="236"/>
    </row>
    <row r="39" customFormat="false" ht="15" hidden="false" customHeight="true" outlineLevel="0" collapsed="false">
      <c r="A39" s="254" t="s">
        <v>677</v>
      </c>
      <c r="B39" s="255"/>
      <c r="C39" s="256" t="n">
        <f aca="false">C20-PV($C$5-$C$7,$C$6,C22)+C23+C24/(1+$C$5-$C$7)^10+C25/(1+$C$5-$C$7)^20</f>
        <v>0</v>
      </c>
      <c r="D39" s="257" t="n">
        <f aca="false">D20-PV($C$5-$C$7,$C$6,D22)+D23+D24/(1+$C$5-$C$7)^10+D25/(1+$C$5-$C$7)^20</f>
        <v>2160000</v>
      </c>
      <c r="F39" s="236"/>
    </row>
    <row r="40" customFormat="false" ht="15.75" hidden="false" customHeight="true" outlineLevel="0" collapsed="false">
      <c r="A40" s="258" t="s">
        <v>678</v>
      </c>
      <c r="B40" s="259"/>
      <c r="C40" s="260" t="e">
        <f aca="false">-PV($C$5-$C$10,$C$6,C29)-PV($C$5-$C$13,$C$6,C31)-PV($C$5-$C$16,$C$6,C33)</f>
        <v>#DIV/0!</v>
      </c>
      <c r="D40" s="261" t="e">
        <f aca="false">-PV($C$5-$C$10,$C$6,D29)-PV($C$5-$C$13,$C$6,D31)-PV($C$5-$C$16,$C$6,D33)</f>
        <v>#DIV/0!</v>
      </c>
      <c r="F40" s="236"/>
    </row>
    <row r="41" customFormat="false" ht="15.75" hidden="false" customHeight="true" outlineLevel="0" collapsed="false">
      <c r="A41" s="262" t="s">
        <v>679</v>
      </c>
      <c r="B41" s="263"/>
      <c r="C41" s="264" t="e">
        <f aca="false">C39+C40</f>
        <v>#DIV/0!</v>
      </c>
      <c r="D41" s="265" t="e">
        <f aca="false">D39+D40</f>
        <v>#DIV/0!</v>
      </c>
      <c r="F41" s="236"/>
    </row>
    <row r="42" customFormat="false" ht="15.75" hidden="false" customHeight="true" outlineLevel="0" collapsed="false">
      <c r="A42" s="266"/>
      <c r="B42" s="267"/>
      <c r="C42" s="268" t="s">
        <v>680</v>
      </c>
      <c r="D42" s="269" t="e">
        <f aca="false">C41-D41</f>
        <v>#DIV/0!</v>
      </c>
      <c r="F42" s="236"/>
    </row>
    <row r="43" s="236" customFormat="true" ht="12.75" hidden="false" customHeight="true" outlineLevel="0" collapsed="false">
      <c r="A43" s="270" t="s">
        <v>681</v>
      </c>
      <c r="B43" s="271"/>
      <c r="C43" s="272" t="e">
        <f aca="false">(D39-C39)/(C40-D40)*C36</f>
        <v>#DIV/0!</v>
      </c>
      <c r="D43" s="273" t="e">
        <f aca="false">IF($D42&gt;0,"LÖNSAMT","EJ LÖNSAMT")</f>
        <v>#DIV/0!</v>
      </c>
    </row>
    <row r="44" customFormat="false" ht="15.75" hidden="false" customHeight="true" outlineLevel="0" collapsed="false">
      <c r="A44" s="274" t="s">
        <v>682</v>
      </c>
      <c r="B44" s="185"/>
      <c r="C44" s="275" t="e">
        <f aca="false">C36</f>
        <v>#DIV/0!</v>
      </c>
      <c r="D44" s="276"/>
      <c r="F44" s="236"/>
    </row>
    <row r="45" customFormat="false" ht="15" hidden="false" customHeight="true" outlineLevel="0" collapsed="false">
      <c r="C45" s="247"/>
      <c r="D45" s="247"/>
      <c r="F45" s="236"/>
    </row>
    <row r="46" customFormat="false" ht="15.75" hidden="false" customHeight="true" outlineLevel="0" collapsed="false">
      <c r="D46" s="277"/>
    </row>
    <row r="47" customFormat="false" ht="15.75" hidden="false" customHeight="true" outlineLevel="0" collapsed="false">
      <c r="A47" s="278" t="s">
        <v>683</v>
      </c>
      <c r="B47" s="279"/>
      <c r="D47" s="280" t="s">
        <v>684</v>
      </c>
    </row>
    <row r="49" customFormat="false" ht="15" hidden="false" customHeight="true" outlineLevel="0" collapsed="false">
      <c r="F49" s="222"/>
    </row>
  </sheetData>
  <mergeCells count="3">
    <mergeCell ref="C2:D2"/>
    <mergeCell ref="I7:L7"/>
    <mergeCell ref="I15:N16"/>
  </mergeCells>
  <dataValidations count="1">
    <dataValidation allowBlank="false" errorStyle="stop" operator="between" showDropDown="false" showErrorMessage="false" showInputMessage="false" sqref="B2" type="list">
      <formula1>"Ja,Nej"</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0625" defaultRowHeight="15" zeroHeight="false" outlineLevelRow="1" outlineLevelCol="1"/>
  <cols>
    <col collapsed="false" customWidth="true" hidden="false" outlineLevel="0" max="1" min="1" style="1" width="58.85"/>
    <col collapsed="false" customWidth="true" hidden="false" outlineLevel="0" max="2" min="2" style="1" width="1.28"/>
    <col collapsed="false" customWidth="true" hidden="false" outlineLevel="0" max="3" min="3" style="1" width="16"/>
    <col collapsed="false" customWidth="true" hidden="false" outlineLevel="0" max="4" min="4" style="1" width="15.85"/>
    <col collapsed="false" customWidth="false" hidden="false" outlineLevel="1" max="5" min="5" style="1" width="9.14"/>
    <col collapsed="false" customWidth="true" hidden="false" outlineLevel="1" max="6" min="6" style="1" width="20.57"/>
    <col collapsed="false" customWidth="true" hidden="false" outlineLevel="0" max="9" min="9" style="1" width="26.71"/>
    <col collapsed="false" customWidth="true" hidden="false" outlineLevel="0" max="10" min="10" style="1" width="23.57"/>
  </cols>
  <sheetData>
    <row r="1" customFormat="false" ht="45.75" hidden="false" customHeight="true" outlineLevel="0" collapsed="false">
      <c r="A1" s="203" t="s">
        <v>715</v>
      </c>
      <c r="C1" s="204" t="s">
        <v>621</v>
      </c>
      <c r="D1" s="205"/>
    </row>
    <row r="2" customFormat="false" ht="24" hidden="false" customHeight="true" outlineLevel="0" collapsed="false">
      <c r="A2" s="206" t="s">
        <v>622</v>
      </c>
      <c r="B2" s="207" t="s">
        <v>623</v>
      </c>
      <c r="C2" s="208"/>
      <c r="D2" s="208"/>
      <c r="E2" s="204" t="s">
        <v>624</v>
      </c>
      <c r="F2" s="205"/>
    </row>
    <row r="3" customFormat="false" ht="15.75" hidden="false" customHeight="true" outlineLevel="0" collapsed="false">
      <c r="A3" s="209"/>
      <c r="B3" s="210"/>
      <c r="C3" s="211" t="s">
        <v>625</v>
      </c>
      <c r="D3" s="212" t="s">
        <v>626</v>
      </c>
      <c r="E3" s="204" t="s">
        <v>627</v>
      </c>
      <c r="F3" s="205"/>
    </row>
    <row r="4" customFormat="false" ht="13.5" hidden="false" customHeight="true" outlineLevel="0" collapsed="false">
      <c r="A4" s="209" t="s">
        <v>628</v>
      </c>
      <c r="C4" s="213" t="n">
        <f aca="false">Byggnader!$I$32</f>
        <v>0</v>
      </c>
      <c r="D4" s="213" t="s">
        <v>629</v>
      </c>
    </row>
    <row r="5" customFormat="false" ht="13.5" hidden="false" customHeight="true" outlineLevel="0" collapsed="false">
      <c r="A5" s="209" t="s">
        <v>630</v>
      </c>
      <c r="C5" s="214" t="n">
        <f aca="false">Energiprisfaktorer!B6</f>
        <v>0.04</v>
      </c>
      <c r="D5" s="215" t="s">
        <v>631</v>
      </c>
      <c r="E5" s="216"/>
      <c r="F5" s="217" t="s">
        <v>632</v>
      </c>
    </row>
    <row r="6" customFormat="false" ht="15.75" hidden="false" customHeight="true" outlineLevel="0" collapsed="false">
      <c r="A6" s="209" t="s">
        <v>633</v>
      </c>
      <c r="C6" s="218" t="n">
        <v>20</v>
      </c>
      <c r="D6" s="215" t="s">
        <v>634</v>
      </c>
      <c r="E6" s="219" t="e">
        <f aca="false">(D20-C20)/(C34+C22-D34-D22)</f>
        <v>#DIV/0!</v>
      </c>
      <c r="F6" s="217" t="s">
        <v>635</v>
      </c>
    </row>
    <row r="7" customFormat="false" ht="15.75" hidden="false" customHeight="true" outlineLevel="0" collapsed="false">
      <c r="A7" s="220" t="s">
        <v>636</v>
      </c>
      <c r="C7" s="214" t="n">
        <f aca="false">Energiprisfaktorer!B7</f>
        <v>0.02</v>
      </c>
      <c r="D7" s="221" t="str">
        <f aca="false">D5</f>
        <v>nominell</v>
      </c>
      <c r="E7" s="222"/>
      <c r="F7" s="223"/>
      <c r="I7" s="195" t="s">
        <v>637</v>
      </c>
      <c r="J7" s="195"/>
      <c r="K7" s="195"/>
      <c r="L7" s="195"/>
    </row>
    <row r="8" customFormat="false" ht="15.75" hidden="false" customHeight="true" outlineLevel="0" collapsed="false">
      <c r="A8" s="224" t="s">
        <v>638</v>
      </c>
      <c r="C8" s="225" t="s">
        <v>174</v>
      </c>
      <c r="D8" s="225" t="s">
        <v>143</v>
      </c>
      <c r="E8" s="222"/>
      <c r="F8" s="223"/>
    </row>
    <row r="9" customFormat="false" ht="14.25" hidden="false" customHeight="true" outlineLevel="0" collapsed="false">
      <c r="A9" s="226" t="s">
        <v>639</v>
      </c>
      <c r="C9" s="227" t="n">
        <f aca="false">Energiprisfaktorer!B4</f>
        <v>1.15</v>
      </c>
      <c r="D9" s="228" t="s">
        <v>640</v>
      </c>
      <c r="E9" s="222"/>
      <c r="F9" s="223"/>
      <c r="I9" s="199" t="s">
        <v>641</v>
      </c>
      <c r="K9" s="187" t="n">
        <v>30000</v>
      </c>
    </row>
    <row r="10" customFormat="false" ht="14.25" hidden="false" customHeight="true" outlineLevel="0" collapsed="false">
      <c r="A10" s="229" t="s">
        <v>642</v>
      </c>
      <c r="C10" s="230" t="n">
        <f aca="false">Energiprisfaktorer!B5</f>
        <v>0.03</v>
      </c>
      <c r="D10" s="231" t="str">
        <f aca="false">D5</f>
        <v>nominell</v>
      </c>
      <c r="E10" s="222"/>
      <c r="F10" s="223"/>
      <c r="I10" s="199" t="s">
        <v>643</v>
      </c>
      <c r="K10" s="1" t="n">
        <f aca="false">J27*K9</f>
        <v>0</v>
      </c>
    </row>
    <row r="11" customFormat="false" ht="14.25" hidden="false" customHeight="true" outlineLevel="1" collapsed="false">
      <c r="A11" s="224" t="s">
        <v>644</v>
      </c>
      <c r="C11" s="225" t="s">
        <v>615</v>
      </c>
      <c r="D11" s="225"/>
      <c r="E11" s="222"/>
      <c r="F11" s="223"/>
    </row>
    <row r="12" customFormat="false" ht="14.25" hidden="false" customHeight="true" outlineLevel="1" collapsed="false">
      <c r="A12" s="226" t="s">
        <v>639</v>
      </c>
      <c r="C12" s="227" t="n">
        <f aca="false">Energiprisfaktorer!C4</f>
        <v>2</v>
      </c>
      <c r="D12" s="228" t="s">
        <v>640</v>
      </c>
      <c r="E12" s="222"/>
      <c r="F12" s="223"/>
      <c r="I12" s="232" t="s">
        <v>645</v>
      </c>
      <c r="J12" s="233"/>
      <c r="K12" s="233"/>
      <c r="L12" s="233"/>
    </row>
    <row r="13" customFormat="false" ht="14.25" hidden="false" customHeight="true" outlineLevel="1" collapsed="false">
      <c r="A13" s="229" t="s">
        <v>642</v>
      </c>
      <c r="C13" s="230" t="n">
        <f aca="false">Energiprisfaktorer!C5</f>
        <v>0.04</v>
      </c>
      <c r="D13" s="231" t="str">
        <f aca="false">D5</f>
        <v>nominell</v>
      </c>
      <c r="E13" s="222"/>
      <c r="F13" s="223"/>
    </row>
    <row r="14" customFormat="false" ht="14.25" hidden="false" customHeight="true" outlineLevel="1" collapsed="false">
      <c r="A14" s="224" t="s">
        <v>646</v>
      </c>
      <c r="C14" s="225"/>
      <c r="D14" s="225"/>
      <c r="E14" s="222"/>
      <c r="F14" s="223"/>
      <c r="I14" s="199" t="s">
        <v>647</v>
      </c>
    </row>
    <row r="15" customFormat="false" ht="15.75" hidden="false" customHeight="true" outlineLevel="1" collapsed="false">
      <c r="A15" s="226" t="s">
        <v>639</v>
      </c>
      <c r="C15" s="227" t="n">
        <v>0.6</v>
      </c>
      <c r="D15" s="228" t="s">
        <v>640</v>
      </c>
      <c r="I15" s="234" t="s">
        <v>648</v>
      </c>
      <c r="J15" s="234"/>
      <c r="K15" s="234"/>
      <c r="L15" s="234"/>
      <c r="M15" s="234"/>
      <c r="N15" s="234"/>
    </row>
    <row r="16" customFormat="false" ht="15.75" hidden="false" customHeight="true" outlineLevel="1" collapsed="false">
      <c r="A16" s="229" t="s">
        <v>642</v>
      </c>
      <c r="C16" s="230" t="n">
        <v>0.04</v>
      </c>
      <c r="D16" s="231" t="str">
        <f aca="false">D5</f>
        <v>nominell</v>
      </c>
      <c r="I16" s="234"/>
      <c r="J16" s="234"/>
      <c r="K16" s="234"/>
      <c r="L16" s="234"/>
      <c r="M16" s="234"/>
      <c r="N16" s="234"/>
    </row>
    <row r="17" customFormat="false" ht="15.75" hidden="false" customHeight="true" outlineLevel="0" collapsed="false">
      <c r="A17" s="229" t="s">
        <v>649</v>
      </c>
      <c r="C17" s="235"/>
      <c r="D17" s="235"/>
      <c r="E17" s="222"/>
    </row>
    <row r="18" customFormat="false" ht="15.75" hidden="false" customHeight="true" outlineLevel="0" collapsed="false">
      <c r="A18" s="236"/>
      <c r="C18" s="236"/>
      <c r="D18" s="235"/>
      <c r="E18" s="222"/>
      <c r="I18" s="237" t="s">
        <v>650</v>
      </c>
    </row>
    <row r="19" customFormat="false" ht="15.75" hidden="false" customHeight="true" outlineLevel="0" collapsed="false">
      <c r="A19" s="236"/>
      <c r="C19" s="238" t="s">
        <v>651</v>
      </c>
      <c r="D19" s="239" t="s">
        <v>652</v>
      </c>
      <c r="I19" s="199" t="s">
        <v>302</v>
      </c>
      <c r="J19" s="1" t="n">
        <f aca="false">0.35*C4*0.001</f>
        <v>0</v>
      </c>
    </row>
    <row r="20" customFormat="false" ht="15.75" hidden="false" customHeight="true" outlineLevel="0" collapsed="false">
      <c r="A20" s="240" t="s">
        <v>654</v>
      </c>
      <c r="C20" s="241" t="n">
        <v>0</v>
      </c>
      <c r="D20" s="241" t="n">
        <f aca="false">K10</f>
        <v>0</v>
      </c>
      <c r="E20" s="242" t="e">
        <f aca="false">D20+C41-D41</f>
        <v>#DIV/0!</v>
      </c>
      <c r="F20" s="217" t="s">
        <v>655</v>
      </c>
      <c r="I20" s="199" t="s">
        <v>716</v>
      </c>
      <c r="J20" s="1" t="n">
        <v>15</v>
      </c>
    </row>
    <row r="21" customFormat="false" ht="15.75" hidden="false" customHeight="true" outlineLevel="0" collapsed="false">
      <c r="A21" s="236"/>
      <c r="C21" s="243"/>
      <c r="D21" s="243"/>
      <c r="E21" s="244"/>
      <c r="F21" s="245"/>
      <c r="I21" s="199" t="s">
        <v>717</v>
      </c>
      <c r="J21" s="1" t="n">
        <f aca="false">1.2*J20*J19</f>
        <v>0</v>
      </c>
    </row>
    <row r="22" customFormat="false" ht="15.75" hidden="false" customHeight="true" outlineLevel="0" collapsed="false">
      <c r="A22" s="220" t="s">
        <v>657</v>
      </c>
      <c r="C22" s="246" t="n">
        <v>0</v>
      </c>
      <c r="D22" s="246" t="n">
        <v>0</v>
      </c>
      <c r="I22" s="199" t="s">
        <v>718</v>
      </c>
      <c r="J22" s="1" t="n">
        <v>3.5</v>
      </c>
    </row>
    <row r="23" customFormat="false" ht="15.75" hidden="true" customHeight="true" outlineLevel="1" collapsed="false">
      <c r="A23" s="220" t="s">
        <v>659</v>
      </c>
      <c r="C23" s="241"/>
      <c r="D23" s="241"/>
    </row>
    <row r="24" customFormat="false" ht="15.75" hidden="true" customHeight="true" outlineLevel="1" collapsed="false">
      <c r="A24" s="220" t="s">
        <v>660</v>
      </c>
      <c r="C24" s="241"/>
      <c r="D24" s="241"/>
    </row>
    <row r="25" customFormat="false" ht="15.75" hidden="true" customHeight="true" outlineLevel="1" collapsed="false">
      <c r="A25" s="220" t="s">
        <v>661</v>
      </c>
      <c r="C25" s="241"/>
      <c r="D25" s="241"/>
    </row>
    <row r="26" customFormat="false" ht="15" hidden="false" customHeight="true" outlineLevel="0" collapsed="false">
      <c r="A26" s="220" t="s">
        <v>662</v>
      </c>
      <c r="C26" s="247"/>
      <c r="D26" s="247"/>
      <c r="I26" s="199" t="s">
        <v>719</v>
      </c>
      <c r="J26" s="187" t="n">
        <f aca="false">J21/(J22-1)</f>
        <v>0</v>
      </c>
    </row>
    <row r="27" customFormat="false" ht="15.75" hidden="false" customHeight="true" outlineLevel="0" collapsed="false">
      <c r="A27" s="236"/>
      <c r="C27" s="247"/>
      <c r="D27" s="247"/>
      <c r="I27" s="199" t="s">
        <v>720</v>
      </c>
      <c r="J27" s="187" t="n">
        <f aca="false">J26+J21</f>
        <v>0</v>
      </c>
    </row>
    <row r="28" customFormat="false" ht="15.75" hidden="false" customHeight="true" outlineLevel="0" collapsed="false">
      <c r="A28" s="224" t="s">
        <v>665</v>
      </c>
      <c r="C28" s="248" t="e">
        <f aca="false">Normalisering!$I$89/Byggnader!$I$32</f>
        <v>#DIV/0!</v>
      </c>
      <c r="D28" s="248" t="e">
        <f aca="false">(Normalisering!$I$89-J29)/Byggnader!$I$32</f>
        <v>#DIV/0!</v>
      </c>
      <c r="I28" s="199" t="s">
        <v>721</v>
      </c>
      <c r="J28" s="1" t="n">
        <v>6000</v>
      </c>
      <c r="K28" s="199" t="s">
        <v>722</v>
      </c>
      <c r="L28" s="199" t="s">
        <v>723</v>
      </c>
      <c r="N28" s="1" t="s">
        <v>724</v>
      </c>
      <c r="P28" s="1" t="s">
        <v>725</v>
      </c>
    </row>
    <row r="29" customFormat="false" ht="15.75" hidden="false" customHeight="true" outlineLevel="0" collapsed="false">
      <c r="A29" s="249" t="s">
        <v>667</v>
      </c>
      <c r="C29" s="250" t="e">
        <f aca="false">C28*$C$4*$C$9</f>
        <v>#DIV/0!</v>
      </c>
      <c r="D29" s="250" t="e">
        <f aca="false">D28*$C$4*$C$9</f>
        <v>#DIV/0!</v>
      </c>
      <c r="I29" s="199" t="s">
        <v>726</v>
      </c>
      <c r="J29" s="1" t="n">
        <f aca="false">J28*J27</f>
        <v>0</v>
      </c>
    </row>
    <row r="30" customFormat="false" ht="15.75" hidden="false" customHeight="true" outlineLevel="1" collapsed="false">
      <c r="A30" s="224" t="s">
        <v>668</v>
      </c>
      <c r="C30" s="248" t="e">
        <f aca="false">Mätdata!$D$68/'Installation F-återvinning'!C4</f>
        <v>#DIV/0!</v>
      </c>
      <c r="D30" s="248" t="e">
        <f aca="false">(Mätdata!$D$68+J30)/'Installation F-återvinning'!C4</f>
        <v>#DIV/0!</v>
      </c>
      <c r="I30" s="199" t="s">
        <v>727</v>
      </c>
      <c r="J30" s="1" t="n">
        <f aca="false">J28*J26</f>
        <v>0</v>
      </c>
    </row>
    <row r="31" customFormat="false" ht="15.75" hidden="false" customHeight="true" outlineLevel="1" collapsed="false">
      <c r="A31" s="249" t="s">
        <v>670</v>
      </c>
      <c r="C31" s="250" t="e">
        <f aca="false">C30*$C$4*$C$12</f>
        <v>#DIV/0!</v>
      </c>
      <c r="D31" s="250" t="e">
        <f aca="false">D30*$C$4*$C$12</f>
        <v>#DIV/0!</v>
      </c>
    </row>
    <row r="32" customFormat="false" ht="15.75" hidden="false" customHeight="true" outlineLevel="1" collapsed="false">
      <c r="A32" s="224" t="s">
        <v>672</v>
      </c>
      <c r="C32" s="248"/>
      <c r="D32" s="248"/>
    </row>
    <row r="33" customFormat="false" ht="15.75" hidden="false" customHeight="true" outlineLevel="1" collapsed="false">
      <c r="A33" s="249" t="s">
        <v>673</v>
      </c>
      <c r="C33" s="250" t="n">
        <f aca="false">C32*$C$4*$C$15</f>
        <v>0</v>
      </c>
      <c r="D33" s="250" t="n">
        <f aca="false">D32*$C$4*$C$15</f>
        <v>0</v>
      </c>
    </row>
    <row r="34" customFormat="false" ht="15" hidden="false" customHeight="true" outlineLevel="1" collapsed="false">
      <c r="A34" s="236" t="s">
        <v>674</v>
      </c>
      <c r="C34" s="247" t="e">
        <f aca="false">C29+C31+C33</f>
        <v>#DIV/0!</v>
      </c>
      <c r="D34" s="247" t="e">
        <f aca="false">D29+D31+D33</f>
        <v>#DIV/0!</v>
      </c>
      <c r="F34" s="236"/>
    </row>
    <row r="35" customFormat="false" ht="15" hidden="false" customHeight="true" outlineLevel="1" collapsed="false">
      <c r="A35" s="236" t="s">
        <v>675</v>
      </c>
      <c r="C35" s="247" t="e">
        <f aca="false">(C28+C30+C32)*$C$4</f>
        <v>#DIV/0!</v>
      </c>
      <c r="D35" s="247" t="e">
        <f aca="false">(D28+D30+D32)*$C$4</f>
        <v>#DIV/0!</v>
      </c>
      <c r="F35" s="236"/>
    </row>
    <row r="36" customFormat="false" ht="15" hidden="false" customHeight="true" outlineLevel="1" collapsed="false">
      <c r="A36" s="236" t="s">
        <v>676</v>
      </c>
      <c r="C36" s="252" t="e">
        <f aca="false">C34/C35</f>
        <v>#DIV/0!</v>
      </c>
      <c r="D36" s="247"/>
      <c r="F36" s="236"/>
    </row>
    <row r="37" customFormat="false" ht="15" hidden="false" customHeight="true" outlineLevel="0" collapsed="false">
      <c r="A37" s="226" t="s">
        <v>649</v>
      </c>
      <c r="C37" s="247"/>
      <c r="D37" s="247"/>
      <c r="F37" s="236"/>
    </row>
    <row r="38" customFormat="false" ht="15.75" hidden="false" customHeight="true" outlineLevel="0" collapsed="false">
      <c r="A38" s="253"/>
      <c r="C38" s="247"/>
      <c r="D38" s="247"/>
      <c r="F38" s="236"/>
    </row>
    <row r="39" customFormat="false" ht="15" hidden="false" customHeight="true" outlineLevel="0" collapsed="false">
      <c r="A39" s="254" t="s">
        <v>677</v>
      </c>
      <c r="B39" s="255"/>
      <c r="C39" s="256" t="n">
        <f aca="false">C20-PV($C$5-$C$7,$C$6,C22)+C23+C24/(1+$C$5-$C$7)^10+C25/(1+$C$5-$C$7)^20</f>
        <v>0</v>
      </c>
      <c r="D39" s="257" t="n">
        <f aca="false">D20-PV($C$5-$C$7,$C$6,D22)+D23+D24/(1+$C$5-$C$7)^10+D25/(1+$C$5-$C$7)^20</f>
        <v>0</v>
      </c>
      <c r="F39" s="236"/>
    </row>
    <row r="40" customFormat="false" ht="15.75" hidden="false" customHeight="true" outlineLevel="0" collapsed="false">
      <c r="A40" s="258" t="s">
        <v>678</v>
      </c>
      <c r="B40" s="259"/>
      <c r="C40" s="260" t="e">
        <f aca="false">-PV($C$5-$C$10,$C$6,C29)-PV($C$5-$C$13,$C$6,C31)-PV($C$5-$C$16,$C$6,C33)</f>
        <v>#DIV/0!</v>
      </c>
      <c r="D40" s="261" t="e">
        <f aca="false">-PV($C$5-$C$10,$C$6,D29)-PV($C$5-$C$13,$C$6,D31)-PV($C$5-$C$16,$C$6,D33)</f>
        <v>#DIV/0!</v>
      </c>
      <c r="F40" s="236"/>
    </row>
    <row r="41" customFormat="false" ht="15.75" hidden="false" customHeight="true" outlineLevel="0" collapsed="false">
      <c r="A41" s="262" t="s">
        <v>679</v>
      </c>
      <c r="B41" s="263"/>
      <c r="C41" s="264" t="e">
        <f aca="false">C39+C40</f>
        <v>#DIV/0!</v>
      </c>
      <c r="D41" s="265" t="e">
        <f aca="false">D39+D40</f>
        <v>#DIV/0!</v>
      </c>
      <c r="F41" s="236"/>
    </row>
    <row r="42" customFormat="false" ht="15.75" hidden="false" customHeight="true" outlineLevel="0" collapsed="false">
      <c r="A42" s="266"/>
      <c r="B42" s="267"/>
      <c r="C42" s="268" t="s">
        <v>680</v>
      </c>
      <c r="D42" s="269" t="e">
        <f aca="false">C41-D41</f>
        <v>#DIV/0!</v>
      </c>
      <c r="F42" s="236"/>
    </row>
    <row r="43" s="236" customFormat="true" ht="12.75" hidden="false" customHeight="true" outlineLevel="0" collapsed="false">
      <c r="A43" s="270" t="s">
        <v>681</v>
      </c>
      <c r="B43" s="271"/>
      <c r="C43" s="272" t="e">
        <f aca="false">(D39-C39)/(C40-D40)*C36</f>
        <v>#DIV/0!</v>
      </c>
      <c r="D43" s="273" t="e">
        <f aca="false">IF($D42&gt;0,"LÖNSAMT","EJ LÖNSAMT")</f>
        <v>#DIV/0!</v>
      </c>
    </row>
    <row r="44" customFormat="false" ht="15.75" hidden="false" customHeight="true" outlineLevel="0" collapsed="false">
      <c r="A44" s="274" t="s">
        <v>682</v>
      </c>
      <c r="B44" s="185"/>
      <c r="C44" s="275" t="e">
        <f aca="false">C36</f>
        <v>#DIV/0!</v>
      </c>
      <c r="D44" s="276"/>
      <c r="F44" s="236"/>
    </row>
    <row r="45" customFormat="false" ht="15" hidden="false" customHeight="true" outlineLevel="0" collapsed="false">
      <c r="C45" s="247"/>
      <c r="D45" s="247"/>
      <c r="F45" s="236"/>
    </row>
    <row r="46" customFormat="false" ht="15.75" hidden="false" customHeight="true" outlineLevel="0" collapsed="false">
      <c r="D46" s="277"/>
    </row>
    <row r="47" customFormat="false" ht="15.75" hidden="false" customHeight="true" outlineLevel="0" collapsed="false">
      <c r="A47" s="278" t="s">
        <v>683</v>
      </c>
      <c r="B47" s="279"/>
      <c r="D47" s="280" t="s">
        <v>684</v>
      </c>
    </row>
    <row r="49" customFormat="false" ht="15" hidden="false" customHeight="true" outlineLevel="0" collapsed="false">
      <c r="F49" s="222"/>
    </row>
  </sheetData>
  <mergeCells count="3">
    <mergeCell ref="C2:D2"/>
    <mergeCell ref="I7:L7"/>
    <mergeCell ref="I15:N16"/>
  </mergeCells>
  <dataValidations count="1">
    <dataValidation allowBlank="false" errorStyle="stop" operator="between" showDropDown="false" showErrorMessage="false" showInputMessage="false" sqref="B2" type="list">
      <formula1>"Ja,Nej"</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22" activeCellId="0" sqref="I22"/>
    </sheetView>
  </sheetViews>
  <sheetFormatPr defaultColWidth="9.140625" defaultRowHeight="15" zeroHeight="false" outlineLevelRow="1" outlineLevelCol="1"/>
  <cols>
    <col collapsed="false" customWidth="true" hidden="false" outlineLevel="0" max="1" min="1" style="1" width="58.85"/>
    <col collapsed="false" customWidth="true" hidden="false" outlineLevel="0" max="2" min="2" style="1" width="1.28"/>
    <col collapsed="false" customWidth="true" hidden="false" outlineLevel="0" max="3" min="3" style="1" width="16"/>
    <col collapsed="false" customWidth="true" hidden="false" outlineLevel="0" max="4" min="4" style="1" width="15.85"/>
    <col collapsed="false" customWidth="false" hidden="false" outlineLevel="1" max="5" min="5" style="1" width="9.14"/>
    <col collapsed="false" customWidth="true" hidden="false" outlineLevel="1" max="6" min="6" style="1" width="20.57"/>
    <col collapsed="false" customWidth="true" hidden="false" outlineLevel="0" max="9" min="9" style="1" width="28.86"/>
    <col collapsed="false" customWidth="true" hidden="false" outlineLevel="0" max="10" min="10" style="1" width="13.43"/>
    <col collapsed="false" customWidth="true" hidden="false" outlineLevel="0" max="11" min="11" style="1" width="10.85"/>
  </cols>
  <sheetData>
    <row r="1" customFormat="false" ht="45.75" hidden="false" customHeight="true" outlineLevel="0" collapsed="false">
      <c r="A1" s="203" t="s">
        <v>728</v>
      </c>
      <c r="C1" s="204" t="s">
        <v>621</v>
      </c>
      <c r="D1" s="205"/>
    </row>
    <row r="2" customFormat="false" ht="24" hidden="false" customHeight="true" outlineLevel="0" collapsed="false">
      <c r="A2" s="206" t="s">
        <v>622</v>
      </c>
      <c r="B2" s="207" t="s">
        <v>623</v>
      </c>
      <c r="C2" s="208"/>
      <c r="D2" s="208"/>
      <c r="E2" s="204" t="s">
        <v>624</v>
      </c>
      <c r="F2" s="205"/>
    </row>
    <row r="3" customFormat="false" ht="15.75" hidden="false" customHeight="true" outlineLevel="0" collapsed="false">
      <c r="A3" s="209"/>
      <c r="B3" s="210"/>
      <c r="C3" s="211" t="s">
        <v>625</v>
      </c>
      <c r="D3" s="212" t="s">
        <v>626</v>
      </c>
      <c r="E3" s="204" t="s">
        <v>627</v>
      </c>
      <c r="F3" s="205"/>
    </row>
    <row r="4" customFormat="false" ht="13.5" hidden="false" customHeight="true" outlineLevel="0" collapsed="false">
      <c r="A4" s="209" t="s">
        <v>628</v>
      </c>
      <c r="C4" s="213" t="n">
        <f aca="false">Byggnader!$I$32</f>
        <v>0</v>
      </c>
      <c r="D4" s="213" t="s">
        <v>629</v>
      </c>
    </row>
    <row r="5" customFormat="false" ht="13.5" hidden="false" customHeight="true" outlineLevel="0" collapsed="false">
      <c r="A5" s="209" t="s">
        <v>630</v>
      </c>
      <c r="C5" s="214" t="n">
        <f aca="false">Energiprisfaktorer!B6</f>
        <v>0.04</v>
      </c>
      <c r="D5" s="215" t="s">
        <v>631</v>
      </c>
      <c r="E5" s="216"/>
      <c r="F5" s="217" t="s">
        <v>632</v>
      </c>
    </row>
    <row r="6" customFormat="false" ht="15.75" hidden="false" customHeight="true" outlineLevel="0" collapsed="false">
      <c r="A6" s="209" t="s">
        <v>633</v>
      </c>
      <c r="C6" s="218" t="n">
        <v>20</v>
      </c>
      <c r="D6" s="215" t="s">
        <v>634</v>
      </c>
      <c r="E6" s="219" t="e">
        <f aca="false">(D20-C20)/(C34+C22-D34-D22)</f>
        <v>#DIV/0!</v>
      </c>
      <c r="F6" s="217" t="s">
        <v>635</v>
      </c>
    </row>
    <row r="7" customFormat="false" ht="15.75" hidden="false" customHeight="true" outlineLevel="0" collapsed="false">
      <c r="A7" s="220" t="s">
        <v>636</v>
      </c>
      <c r="C7" s="214" t="n">
        <f aca="false">Energiprisfaktorer!B7</f>
        <v>0.02</v>
      </c>
      <c r="D7" s="221" t="str">
        <f aca="false">D5</f>
        <v>nominell</v>
      </c>
      <c r="E7" s="222"/>
      <c r="F7" s="223"/>
      <c r="I7" s="195" t="s">
        <v>637</v>
      </c>
      <c r="J7" s="195"/>
      <c r="K7" s="195"/>
      <c r="L7" s="195"/>
    </row>
    <row r="8" customFormat="false" ht="15.75" hidden="false" customHeight="true" outlineLevel="0" collapsed="false">
      <c r="A8" s="224" t="s">
        <v>638</v>
      </c>
      <c r="C8" s="225" t="s">
        <v>174</v>
      </c>
      <c r="D8" s="225" t="s">
        <v>143</v>
      </c>
      <c r="E8" s="222"/>
      <c r="F8" s="223"/>
    </row>
    <row r="9" customFormat="false" ht="14.25" hidden="false" customHeight="true" outlineLevel="0" collapsed="false">
      <c r="A9" s="226" t="s">
        <v>639</v>
      </c>
      <c r="C9" s="227" t="n">
        <f aca="false">Energiprisfaktorer!B4</f>
        <v>1.15</v>
      </c>
      <c r="D9" s="228" t="s">
        <v>640</v>
      </c>
      <c r="E9" s="222"/>
      <c r="F9" s="223"/>
      <c r="I9" s="199" t="s">
        <v>695</v>
      </c>
      <c r="K9" s="17" t="n">
        <f aca="false">K26-K27</f>
        <v>0</v>
      </c>
    </row>
    <row r="10" customFormat="false" ht="14.25" hidden="false" customHeight="true" outlineLevel="0" collapsed="false">
      <c r="A10" s="229" t="s">
        <v>642</v>
      </c>
      <c r="C10" s="230" t="n">
        <f aca="false">Energiprisfaktorer!B5</f>
        <v>0.03</v>
      </c>
      <c r="D10" s="231" t="str">
        <f aca="false">D5</f>
        <v>nominell</v>
      </c>
      <c r="E10" s="222"/>
      <c r="F10" s="223"/>
      <c r="I10" s="199" t="s">
        <v>643</v>
      </c>
      <c r="K10" s="1" t="n">
        <f aca="false">2500*K19</f>
        <v>50000</v>
      </c>
    </row>
    <row r="11" customFormat="false" ht="14.25" hidden="false" customHeight="true" outlineLevel="1" collapsed="false">
      <c r="A11" s="224" t="s">
        <v>644</v>
      </c>
      <c r="C11" s="225" t="s">
        <v>615</v>
      </c>
      <c r="D11" s="225"/>
      <c r="E11" s="222"/>
      <c r="F11" s="223"/>
    </row>
    <row r="12" customFormat="false" ht="14.25" hidden="false" customHeight="true" outlineLevel="1" collapsed="false">
      <c r="A12" s="226" t="s">
        <v>639</v>
      </c>
      <c r="C12" s="227" t="n">
        <f aca="false">Energiprisfaktorer!C4</f>
        <v>2</v>
      </c>
      <c r="D12" s="228" t="s">
        <v>640</v>
      </c>
      <c r="E12" s="222"/>
      <c r="F12" s="223"/>
      <c r="I12" s="232" t="s">
        <v>645</v>
      </c>
      <c r="J12" s="233"/>
      <c r="K12" s="233"/>
      <c r="L12" s="233"/>
    </row>
    <row r="13" customFormat="false" ht="14.25" hidden="false" customHeight="true" outlineLevel="1" collapsed="false">
      <c r="A13" s="229" t="s">
        <v>642</v>
      </c>
      <c r="C13" s="230" t="n">
        <f aca="false">Energiprisfaktorer!C5</f>
        <v>0.04</v>
      </c>
      <c r="D13" s="231" t="str">
        <f aca="false">D5</f>
        <v>nominell</v>
      </c>
      <c r="E13" s="222"/>
      <c r="F13" s="223"/>
    </row>
    <row r="14" customFormat="false" ht="14.25" hidden="false" customHeight="true" outlineLevel="1" collapsed="false">
      <c r="A14" s="224" t="s">
        <v>646</v>
      </c>
      <c r="C14" s="225"/>
      <c r="D14" s="225"/>
      <c r="E14" s="222"/>
      <c r="F14" s="223"/>
      <c r="I14" s="199" t="s">
        <v>647</v>
      </c>
    </row>
    <row r="15" customFormat="false" ht="15.75" hidden="false" customHeight="true" outlineLevel="1" collapsed="false">
      <c r="A15" s="226" t="s">
        <v>639</v>
      </c>
      <c r="C15" s="227" t="n">
        <v>0.6</v>
      </c>
      <c r="D15" s="228" t="s">
        <v>640</v>
      </c>
      <c r="I15" s="281" t="s">
        <v>729</v>
      </c>
      <c r="J15" s="281"/>
      <c r="K15" s="281"/>
      <c r="L15" s="281"/>
      <c r="M15" s="281"/>
      <c r="N15" s="281"/>
    </row>
    <row r="16" customFormat="false" ht="15.75" hidden="false" customHeight="true" outlineLevel="1" collapsed="false">
      <c r="A16" s="229" t="s">
        <v>642</v>
      </c>
      <c r="C16" s="230" t="n">
        <v>0.04</v>
      </c>
      <c r="D16" s="231" t="str">
        <f aca="false">D5</f>
        <v>nominell</v>
      </c>
      <c r="I16" s="281"/>
      <c r="J16" s="281"/>
      <c r="K16" s="281"/>
      <c r="L16" s="281"/>
      <c r="M16" s="281"/>
      <c r="N16" s="281"/>
    </row>
    <row r="17" customFormat="false" ht="15.75" hidden="false" customHeight="true" outlineLevel="0" collapsed="false">
      <c r="A17" s="229" t="s">
        <v>649</v>
      </c>
      <c r="C17" s="235"/>
      <c r="D17" s="235"/>
      <c r="E17" s="222"/>
    </row>
    <row r="18" customFormat="false" ht="15.75" hidden="false" customHeight="true" outlineLevel="0" collapsed="false">
      <c r="A18" s="236"/>
      <c r="C18" s="236"/>
      <c r="D18" s="235"/>
      <c r="E18" s="222"/>
      <c r="I18" s="199" t="s">
        <v>650</v>
      </c>
    </row>
    <row r="19" customFormat="false" ht="15.75" hidden="false" customHeight="true" outlineLevel="0" collapsed="false">
      <c r="A19" s="236"/>
      <c r="C19" s="238" t="s">
        <v>651</v>
      </c>
      <c r="D19" s="239" t="s">
        <v>652</v>
      </c>
      <c r="I19" s="199" t="s">
        <v>730</v>
      </c>
      <c r="K19" s="1" t="n">
        <v>20</v>
      </c>
    </row>
    <row r="20" customFormat="false" ht="15.75" hidden="false" customHeight="true" outlineLevel="0" collapsed="false">
      <c r="A20" s="240" t="s">
        <v>654</v>
      </c>
      <c r="C20" s="241" t="n">
        <v>0</v>
      </c>
      <c r="D20" s="241" t="n">
        <f aca="false">K10</f>
        <v>50000</v>
      </c>
      <c r="E20" s="242" t="e">
        <f aca="false">D20+C41-D41</f>
        <v>#DIV/0!</v>
      </c>
      <c r="F20" s="217" t="s">
        <v>655</v>
      </c>
      <c r="I20" s="199" t="s">
        <v>731</v>
      </c>
      <c r="K20" s="1" t="n">
        <v>150</v>
      </c>
      <c r="L20" s="199" t="s">
        <v>732</v>
      </c>
    </row>
    <row r="21" customFormat="false" ht="15.75" hidden="false" customHeight="true" outlineLevel="0" collapsed="false">
      <c r="A21" s="236"/>
      <c r="C21" s="243"/>
      <c r="D21" s="243"/>
      <c r="E21" s="244"/>
      <c r="F21" s="245"/>
      <c r="I21" s="199" t="s">
        <v>733</v>
      </c>
      <c r="K21" s="1" t="n">
        <f aca="false">K20*K19</f>
        <v>3000</v>
      </c>
    </row>
    <row r="22" customFormat="false" ht="15.75" hidden="false" customHeight="true" outlineLevel="0" collapsed="false">
      <c r="A22" s="220" t="s">
        <v>657</v>
      </c>
      <c r="C22" s="246" t="n">
        <v>0</v>
      </c>
      <c r="D22" s="246" t="n">
        <v>0</v>
      </c>
      <c r="I22" s="199" t="s">
        <v>734</v>
      </c>
      <c r="K22" s="189" t="n">
        <v>0.5</v>
      </c>
    </row>
    <row r="23" customFormat="false" ht="15.75" hidden="true" customHeight="true" outlineLevel="1" collapsed="false">
      <c r="A23" s="220" t="s">
        <v>659</v>
      </c>
      <c r="C23" s="241"/>
      <c r="D23" s="241"/>
    </row>
    <row r="24" customFormat="false" ht="15.75" hidden="true" customHeight="true" outlineLevel="1" collapsed="false">
      <c r="A24" s="220" t="s">
        <v>660</v>
      </c>
      <c r="C24" s="241"/>
      <c r="D24" s="241"/>
    </row>
    <row r="25" customFormat="false" ht="15.75" hidden="true" customHeight="true" outlineLevel="1" collapsed="false">
      <c r="A25" s="220" t="s">
        <v>661</v>
      </c>
      <c r="C25" s="241"/>
      <c r="D25" s="241"/>
    </row>
    <row r="26" customFormat="false" ht="15" hidden="false" customHeight="true" outlineLevel="0" collapsed="false">
      <c r="A26" s="220" t="s">
        <v>662</v>
      </c>
      <c r="C26" s="247"/>
      <c r="D26" s="247"/>
      <c r="I26" s="199"/>
    </row>
    <row r="27" customFormat="false" ht="15.75" hidden="false" customHeight="true" outlineLevel="0" collapsed="false">
      <c r="A27" s="236"/>
      <c r="C27" s="247"/>
      <c r="D27" s="247"/>
      <c r="I27" s="199"/>
    </row>
    <row r="28" customFormat="false" ht="15.75" hidden="false" customHeight="true" outlineLevel="0" collapsed="false">
      <c r="A28" s="224" t="s">
        <v>665</v>
      </c>
      <c r="C28" s="248" t="e">
        <f aca="false">Normalisering!$I$89/Byggnader!$I$32</f>
        <v>#DIV/0!</v>
      </c>
      <c r="D28" s="248" t="e">
        <f aca="false">(Normalisering!$I$89-K9)/Byggnader!$I$32</f>
        <v>#DIV/0!</v>
      </c>
    </row>
    <row r="29" customFormat="false" ht="15.75" hidden="false" customHeight="true" outlineLevel="0" collapsed="false">
      <c r="A29" s="249" t="s">
        <v>667</v>
      </c>
      <c r="C29" s="250" t="e">
        <f aca="false">C28*$C$4*$C$9</f>
        <v>#DIV/0!</v>
      </c>
      <c r="D29" s="250" t="e">
        <f aca="false">D28*$C$4*$C$9</f>
        <v>#DIV/0!</v>
      </c>
    </row>
    <row r="30" customFormat="false" ht="15.75" hidden="false" customHeight="true" outlineLevel="1" collapsed="false">
      <c r="A30" s="224" t="s">
        <v>668</v>
      </c>
      <c r="C30" s="248" t="e">
        <f aca="false">Mätdata!$D$70/'Installation av solceller'!C4</f>
        <v>#DIV/0!</v>
      </c>
      <c r="D30" s="248" t="e">
        <f aca="false">(Mätdata!$D$70-K21)/'Installation av solceller'!C4</f>
        <v>#DIV/0!</v>
      </c>
    </row>
    <row r="31" customFormat="false" ht="15.75" hidden="false" customHeight="true" outlineLevel="1" collapsed="false">
      <c r="A31" s="249" t="s">
        <v>670</v>
      </c>
      <c r="C31" s="250" t="e">
        <f aca="false">C30*$C$4*$C$12</f>
        <v>#DIV/0!</v>
      </c>
      <c r="D31" s="250" t="e">
        <f aca="false">D30*$C$4*$C$12</f>
        <v>#DIV/0!</v>
      </c>
    </row>
    <row r="32" customFormat="false" ht="15.75" hidden="false" customHeight="true" outlineLevel="1" collapsed="false">
      <c r="A32" s="224" t="s">
        <v>672</v>
      </c>
      <c r="C32" s="248"/>
      <c r="D32" s="248"/>
    </row>
    <row r="33" customFormat="false" ht="15.75" hidden="false" customHeight="true" outlineLevel="1" collapsed="false">
      <c r="A33" s="249" t="s">
        <v>673</v>
      </c>
      <c r="C33" s="250" t="n">
        <f aca="false">C32*$C$4*$C$15</f>
        <v>0</v>
      </c>
      <c r="D33" s="250" t="n">
        <f aca="false">D32*$C$4*$C$15</f>
        <v>0</v>
      </c>
    </row>
    <row r="34" customFormat="false" ht="15" hidden="false" customHeight="true" outlineLevel="1" collapsed="false">
      <c r="A34" s="236" t="s">
        <v>674</v>
      </c>
      <c r="C34" s="247" t="e">
        <f aca="false">C29+C31+C33</f>
        <v>#DIV/0!</v>
      </c>
      <c r="D34" s="247" t="e">
        <f aca="false">D29+D31+D33</f>
        <v>#DIV/0!</v>
      </c>
      <c r="F34" s="236"/>
    </row>
    <row r="35" customFormat="false" ht="15" hidden="false" customHeight="true" outlineLevel="1" collapsed="false">
      <c r="A35" s="236" t="s">
        <v>675</v>
      </c>
      <c r="C35" s="247" t="e">
        <f aca="false">(C28+C30+C32)*$C$4</f>
        <v>#DIV/0!</v>
      </c>
      <c r="D35" s="247" t="e">
        <f aca="false">(D28+D30+D32)*$C$4</f>
        <v>#DIV/0!</v>
      </c>
      <c r="F35" s="236"/>
    </row>
    <row r="36" customFormat="false" ht="15" hidden="false" customHeight="true" outlineLevel="1" collapsed="false">
      <c r="A36" s="236" t="s">
        <v>676</v>
      </c>
      <c r="C36" s="252" t="e">
        <f aca="false">C34/C35</f>
        <v>#DIV/0!</v>
      </c>
      <c r="D36" s="247"/>
      <c r="F36" s="236"/>
    </row>
    <row r="37" customFormat="false" ht="15" hidden="false" customHeight="true" outlineLevel="0" collapsed="false">
      <c r="A37" s="226" t="s">
        <v>649</v>
      </c>
      <c r="C37" s="247"/>
      <c r="D37" s="247"/>
      <c r="F37" s="236"/>
    </row>
    <row r="38" customFormat="false" ht="15.75" hidden="false" customHeight="true" outlineLevel="0" collapsed="false">
      <c r="A38" s="253"/>
      <c r="C38" s="247"/>
      <c r="D38" s="247"/>
      <c r="F38" s="236"/>
    </row>
    <row r="39" customFormat="false" ht="15" hidden="false" customHeight="true" outlineLevel="0" collapsed="false">
      <c r="A39" s="254" t="s">
        <v>677</v>
      </c>
      <c r="B39" s="255"/>
      <c r="C39" s="256" t="n">
        <f aca="false">C20-PV($C$5-$C$7,$C$6,C22)+C23+C24/(1+$C$5-$C$7)^10+C25/(1+$C$5-$C$7)^20</f>
        <v>0</v>
      </c>
      <c r="D39" s="257" t="n">
        <f aca="false">D20-PV($C$5-$C$7,$C$6,D22)+D23+D24/(1+$C$5-$C$7)^10+D25/(1+$C$5-$C$7)^20</f>
        <v>50000</v>
      </c>
      <c r="F39" s="236"/>
    </row>
    <row r="40" customFormat="false" ht="15.75" hidden="false" customHeight="true" outlineLevel="0" collapsed="false">
      <c r="A40" s="258" t="s">
        <v>678</v>
      </c>
      <c r="B40" s="259"/>
      <c r="C40" s="260" t="e">
        <f aca="false">-PV($C$5-$C$10,$C$6,C29)-PV($C$5-$C$13,$C$6,C31)-PV($C$5-$C$16,$C$6,C33)</f>
        <v>#DIV/0!</v>
      </c>
      <c r="D40" s="261" t="e">
        <f aca="false">-PV($C$5-$C$10,$C$6,D29)-PV($C$5-$C$13,$C$6,D31)-PV($C$5-$C$16,$C$6,D33)</f>
        <v>#DIV/0!</v>
      </c>
      <c r="F40" s="236"/>
    </row>
    <row r="41" customFormat="false" ht="15.75" hidden="false" customHeight="true" outlineLevel="0" collapsed="false">
      <c r="A41" s="262" t="s">
        <v>679</v>
      </c>
      <c r="B41" s="263"/>
      <c r="C41" s="264" t="e">
        <f aca="false">C39+C40</f>
        <v>#DIV/0!</v>
      </c>
      <c r="D41" s="265" t="e">
        <f aca="false">D39+D40</f>
        <v>#DIV/0!</v>
      </c>
      <c r="F41" s="236"/>
    </row>
    <row r="42" customFormat="false" ht="15.75" hidden="false" customHeight="true" outlineLevel="0" collapsed="false">
      <c r="A42" s="266"/>
      <c r="B42" s="267"/>
      <c r="C42" s="268" t="s">
        <v>680</v>
      </c>
      <c r="D42" s="269" t="e">
        <f aca="false">C41-D41</f>
        <v>#DIV/0!</v>
      </c>
      <c r="F42" s="236"/>
    </row>
    <row r="43" s="236" customFormat="true" ht="12.75" hidden="false" customHeight="true" outlineLevel="0" collapsed="false">
      <c r="A43" s="270" t="s">
        <v>681</v>
      </c>
      <c r="B43" s="271"/>
      <c r="C43" s="272" t="e">
        <f aca="false">(D39-C39)/(C40-D40)*C36</f>
        <v>#DIV/0!</v>
      </c>
      <c r="D43" s="273" t="e">
        <f aca="false">IF($D42&gt;0,"LÖNSAMT","EJ LÖNSAMT")</f>
        <v>#DIV/0!</v>
      </c>
    </row>
    <row r="44" customFormat="false" ht="15.75" hidden="false" customHeight="true" outlineLevel="0" collapsed="false">
      <c r="A44" s="274" t="s">
        <v>682</v>
      </c>
      <c r="B44" s="185"/>
      <c r="C44" s="275" t="e">
        <f aca="false">C36</f>
        <v>#DIV/0!</v>
      </c>
      <c r="D44" s="276"/>
      <c r="F44" s="236"/>
    </row>
    <row r="45" customFormat="false" ht="15" hidden="false" customHeight="true" outlineLevel="0" collapsed="false">
      <c r="C45" s="247"/>
      <c r="D45" s="247"/>
      <c r="F45" s="236"/>
    </row>
    <row r="46" customFormat="false" ht="15.75" hidden="false" customHeight="true" outlineLevel="0" collapsed="false">
      <c r="D46" s="277"/>
    </row>
    <row r="47" customFormat="false" ht="15.75" hidden="false" customHeight="true" outlineLevel="0" collapsed="false">
      <c r="A47" s="278" t="s">
        <v>683</v>
      </c>
      <c r="B47" s="279"/>
      <c r="D47" s="280" t="s">
        <v>684</v>
      </c>
    </row>
    <row r="49" customFormat="false" ht="15" hidden="false" customHeight="true" outlineLevel="0" collapsed="false">
      <c r="F49" s="222"/>
    </row>
  </sheetData>
  <mergeCells count="3">
    <mergeCell ref="C2:D2"/>
    <mergeCell ref="I7:L7"/>
    <mergeCell ref="I15:N16"/>
  </mergeCells>
  <dataValidations count="1">
    <dataValidation allowBlank="false" errorStyle="stop" operator="between" showDropDown="false" showErrorMessage="false" showInputMessage="false" sqref="B2" type="list">
      <formula1>"Ja,Nej"</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9"/>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K22" activeCellId="0" sqref="K22"/>
    </sheetView>
  </sheetViews>
  <sheetFormatPr defaultColWidth="9.140625" defaultRowHeight="15" zeroHeight="false" outlineLevelRow="1" outlineLevelCol="1"/>
  <cols>
    <col collapsed="false" customWidth="true" hidden="false" outlineLevel="0" max="1" min="1" style="1" width="58.85"/>
    <col collapsed="false" customWidth="true" hidden="false" outlineLevel="0" max="2" min="2" style="1" width="1.28"/>
    <col collapsed="false" customWidth="true" hidden="false" outlineLevel="0" max="3" min="3" style="1" width="16"/>
    <col collapsed="false" customWidth="true" hidden="false" outlineLevel="0" max="4" min="4" style="1" width="15.85"/>
    <col collapsed="false" customWidth="false" hidden="false" outlineLevel="1" max="5" min="5" style="1" width="9.14"/>
    <col collapsed="false" customWidth="true" hidden="false" outlineLevel="1" max="6" min="6" style="1" width="20.57"/>
    <col collapsed="false" customWidth="true" hidden="false" outlineLevel="0" max="9" min="9" style="1" width="26.71"/>
    <col collapsed="false" customWidth="true" hidden="false" outlineLevel="0" max="10" min="10" style="1" width="23.57"/>
  </cols>
  <sheetData>
    <row r="1" customFormat="false" ht="45.75" hidden="false" customHeight="true" outlineLevel="0" collapsed="false">
      <c r="A1" s="203" t="s">
        <v>735</v>
      </c>
      <c r="C1" s="204" t="s">
        <v>621</v>
      </c>
      <c r="D1" s="205"/>
    </row>
    <row r="2" customFormat="false" ht="24" hidden="false" customHeight="true" outlineLevel="0" collapsed="false">
      <c r="A2" s="206" t="s">
        <v>622</v>
      </c>
      <c r="B2" s="207" t="s">
        <v>623</v>
      </c>
      <c r="C2" s="208"/>
      <c r="D2" s="208"/>
      <c r="E2" s="204" t="s">
        <v>624</v>
      </c>
      <c r="F2" s="205"/>
    </row>
    <row r="3" customFormat="false" ht="15.75" hidden="false" customHeight="true" outlineLevel="0" collapsed="false">
      <c r="A3" s="209"/>
      <c r="B3" s="210"/>
      <c r="C3" s="211" t="s">
        <v>625</v>
      </c>
      <c r="D3" s="212" t="s">
        <v>626</v>
      </c>
      <c r="E3" s="204" t="s">
        <v>627</v>
      </c>
      <c r="F3" s="205"/>
    </row>
    <row r="4" customFormat="false" ht="13.5" hidden="false" customHeight="true" outlineLevel="0" collapsed="false">
      <c r="A4" s="209" t="s">
        <v>628</v>
      </c>
      <c r="C4" s="213" t="n">
        <f aca="false">Byggnader!$I$32</f>
        <v>0</v>
      </c>
      <c r="D4" s="213" t="s">
        <v>629</v>
      </c>
    </row>
    <row r="5" customFormat="false" ht="13.5" hidden="false" customHeight="true" outlineLevel="0" collapsed="false">
      <c r="A5" s="209" t="s">
        <v>630</v>
      </c>
      <c r="C5" s="214" t="n">
        <f aca="false">Energiprisfaktorer!B6</f>
        <v>0.04</v>
      </c>
      <c r="D5" s="215" t="s">
        <v>631</v>
      </c>
      <c r="E5" s="216"/>
      <c r="F5" s="217" t="s">
        <v>632</v>
      </c>
    </row>
    <row r="6" customFormat="false" ht="15.75" hidden="false" customHeight="true" outlineLevel="0" collapsed="false">
      <c r="A6" s="209" t="s">
        <v>633</v>
      </c>
      <c r="C6" s="218" t="n">
        <v>20</v>
      </c>
      <c r="D6" s="215" t="s">
        <v>634</v>
      </c>
      <c r="E6" s="219" t="e">
        <f aca="false">(D20-C20)/(C34+C22-D34-D22)</f>
        <v>#DIV/0!</v>
      </c>
      <c r="F6" s="217" t="s">
        <v>635</v>
      </c>
    </row>
    <row r="7" customFormat="false" ht="15.75" hidden="false" customHeight="true" outlineLevel="0" collapsed="false">
      <c r="A7" s="220" t="s">
        <v>636</v>
      </c>
      <c r="C7" s="214" t="n">
        <f aca="false">Energiprisfaktorer!B7</f>
        <v>0.02</v>
      </c>
      <c r="D7" s="221" t="str">
        <f aca="false">D5</f>
        <v>nominell</v>
      </c>
      <c r="E7" s="222"/>
      <c r="F7" s="223"/>
      <c r="I7" s="195" t="s">
        <v>637</v>
      </c>
      <c r="J7" s="195"/>
      <c r="K7" s="195"/>
      <c r="L7" s="195"/>
    </row>
    <row r="8" customFormat="false" ht="15.75" hidden="false" customHeight="true" outlineLevel="0" collapsed="false">
      <c r="A8" s="224" t="s">
        <v>638</v>
      </c>
      <c r="C8" s="225" t="s">
        <v>174</v>
      </c>
      <c r="D8" s="225" t="s">
        <v>143</v>
      </c>
      <c r="E8" s="222"/>
      <c r="F8" s="223"/>
    </row>
    <row r="9" customFormat="false" ht="14.25" hidden="false" customHeight="true" outlineLevel="0" collapsed="false">
      <c r="A9" s="226" t="s">
        <v>639</v>
      </c>
      <c r="C9" s="227" t="n">
        <f aca="false">Energiprisfaktorer!B4</f>
        <v>1.15</v>
      </c>
      <c r="D9" s="228" t="s">
        <v>640</v>
      </c>
      <c r="E9" s="222"/>
      <c r="F9" s="223"/>
      <c r="I9" s="199"/>
      <c r="K9" s="189"/>
    </row>
    <row r="10" customFormat="false" ht="14.25" hidden="false" customHeight="true" outlineLevel="0" collapsed="false">
      <c r="A10" s="229" t="s">
        <v>642</v>
      </c>
      <c r="C10" s="230" t="n">
        <f aca="false">Energiprisfaktorer!B5</f>
        <v>0.03</v>
      </c>
      <c r="D10" s="231" t="str">
        <f aca="false">D5</f>
        <v>nominell</v>
      </c>
      <c r="E10" s="222"/>
      <c r="F10" s="223"/>
      <c r="I10" s="199" t="s">
        <v>643</v>
      </c>
      <c r="K10" s="1" t="n">
        <v>10000</v>
      </c>
    </row>
    <row r="11" customFormat="false" ht="14.25" hidden="false" customHeight="true" outlineLevel="1" collapsed="false">
      <c r="A11" s="224" t="s">
        <v>644</v>
      </c>
      <c r="C11" s="225" t="s">
        <v>615</v>
      </c>
      <c r="D11" s="225"/>
      <c r="E11" s="222"/>
      <c r="F11" s="223"/>
    </row>
    <row r="12" customFormat="false" ht="14.25" hidden="false" customHeight="true" outlineLevel="1" collapsed="false">
      <c r="A12" s="226" t="s">
        <v>639</v>
      </c>
      <c r="C12" s="227" t="n">
        <f aca="false">Energiprisfaktorer!C4</f>
        <v>2</v>
      </c>
      <c r="D12" s="228" t="s">
        <v>640</v>
      </c>
      <c r="E12" s="222"/>
      <c r="F12" s="223"/>
      <c r="I12" s="232" t="s">
        <v>645</v>
      </c>
      <c r="J12" s="233"/>
      <c r="K12" s="233"/>
      <c r="L12" s="233"/>
    </row>
    <row r="13" customFormat="false" ht="14.25" hidden="false" customHeight="true" outlineLevel="1" collapsed="false">
      <c r="A13" s="229" t="s">
        <v>642</v>
      </c>
      <c r="C13" s="230" t="n">
        <f aca="false">Energiprisfaktorer!C5</f>
        <v>0.04</v>
      </c>
      <c r="D13" s="231" t="str">
        <f aca="false">D5</f>
        <v>nominell</v>
      </c>
      <c r="E13" s="222"/>
      <c r="F13" s="223"/>
    </row>
    <row r="14" customFormat="false" ht="14.25" hidden="false" customHeight="true" outlineLevel="1" collapsed="false">
      <c r="A14" s="224" t="s">
        <v>646</v>
      </c>
      <c r="C14" s="225"/>
      <c r="D14" s="225"/>
      <c r="E14" s="222"/>
      <c r="F14" s="223"/>
      <c r="I14" s="199" t="s">
        <v>647</v>
      </c>
    </row>
    <row r="15" customFormat="false" ht="15.75" hidden="false" customHeight="true" outlineLevel="1" collapsed="false">
      <c r="A15" s="226" t="s">
        <v>639</v>
      </c>
      <c r="C15" s="227" t="n">
        <v>0.6</v>
      </c>
      <c r="D15" s="228" t="s">
        <v>640</v>
      </c>
      <c r="I15" s="234" t="s">
        <v>736</v>
      </c>
      <c r="J15" s="234"/>
      <c r="K15" s="234"/>
      <c r="L15" s="234"/>
      <c r="M15" s="234"/>
      <c r="N15" s="234"/>
    </row>
    <row r="16" customFormat="false" ht="15.75" hidden="false" customHeight="true" outlineLevel="1" collapsed="false">
      <c r="A16" s="229" t="s">
        <v>642</v>
      </c>
      <c r="C16" s="230" t="n">
        <v>0.04</v>
      </c>
      <c r="D16" s="231" t="str">
        <f aca="false">D5</f>
        <v>nominell</v>
      </c>
      <c r="I16" s="234"/>
      <c r="J16" s="234"/>
      <c r="K16" s="234"/>
      <c r="L16" s="234"/>
      <c r="M16" s="234"/>
      <c r="N16" s="234"/>
    </row>
    <row r="17" customFormat="false" ht="15.75" hidden="false" customHeight="true" outlineLevel="0" collapsed="false">
      <c r="A17" s="229" t="s">
        <v>649</v>
      </c>
      <c r="C17" s="235"/>
      <c r="D17" s="235"/>
      <c r="E17" s="222"/>
    </row>
    <row r="18" customFormat="false" ht="15.75" hidden="false" customHeight="true" outlineLevel="0" collapsed="false">
      <c r="A18" s="236"/>
      <c r="C18" s="236"/>
      <c r="D18" s="235"/>
      <c r="E18" s="222"/>
      <c r="I18" s="237" t="s">
        <v>650</v>
      </c>
    </row>
    <row r="19" customFormat="false" ht="15.75" hidden="false" customHeight="true" outlineLevel="0" collapsed="false">
      <c r="A19" s="236"/>
      <c r="C19" s="238" t="s">
        <v>651</v>
      </c>
      <c r="D19" s="239" t="s">
        <v>652</v>
      </c>
      <c r="I19" s="199" t="s">
        <v>737</v>
      </c>
      <c r="J19" s="282" t="n">
        <f aca="false">Besiktningsprotokoll!B111+Besiktningsprotokoll!B112</f>
        <v>0.275</v>
      </c>
    </row>
    <row r="20" customFormat="false" ht="15.75" hidden="false" customHeight="true" outlineLevel="0" collapsed="false">
      <c r="A20" s="240" t="s">
        <v>654</v>
      </c>
      <c r="C20" s="241" t="n">
        <v>0</v>
      </c>
      <c r="D20" s="241" t="n">
        <f aca="false">K10</f>
        <v>10000</v>
      </c>
      <c r="E20" s="242" t="e">
        <f aca="false">D20+C41-D41</f>
        <v>#DIV/0!</v>
      </c>
      <c r="F20" s="217" t="s">
        <v>655</v>
      </c>
      <c r="I20" s="199" t="s">
        <v>738</v>
      </c>
      <c r="J20" s="282" t="n">
        <v>8760</v>
      </c>
    </row>
    <row r="21" customFormat="false" ht="15.75" hidden="false" customHeight="true" outlineLevel="0" collapsed="false">
      <c r="A21" s="236"/>
      <c r="C21" s="243"/>
      <c r="D21" s="243"/>
      <c r="E21" s="244"/>
      <c r="F21" s="245"/>
      <c r="I21" s="199" t="s">
        <v>739</v>
      </c>
      <c r="J21" s="283" t="n">
        <f aca="false">J19*J20</f>
        <v>2409</v>
      </c>
    </row>
    <row r="22" customFormat="false" ht="15.75" hidden="false" customHeight="true" outlineLevel="0" collapsed="false">
      <c r="A22" s="220" t="s">
        <v>657</v>
      </c>
      <c r="C22" s="246" t="n">
        <v>0</v>
      </c>
      <c r="D22" s="246" t="n">
        <v>0</v>
      </c>
      <c r="I22" s="199" t="s">
        <v>740</v>
      </c>
      <c r="J22" s="282" t="n">
        <f aca="false">0.5*J19</f>
        <v>0.1375</v>
      </c>
    </row>
    <row r="23" customFormat="false" ht="15.75" hidden="true" customHeight="true" outlineLevel="1" collapsed="false">
      <c r="A23" s="220" t="s">
        <v>659</v>
      </c>
      <c r="C23" s="241"/>
      <c r="D23" s="241"/>
      <c r="J23" s="282"/>
    </row>
    <row r="24" customFormat="false" ht="15.75" hidden="true" customHeight="true" outlineLevel="1" collapsed="false">
      <c r="A24" s="220" t="s">
        <v>660</v>
      </c>
      <c r="C24" s="241"/>
      <c r="D24" s="241"/>
      <c r="J24" s="282"/>
    </row>
    <row r="25" customFormat="false" ht="15.75" hidden="true" customHeight="true" outlineLevel="1" collapsed="false">
      <c r="A25" s="220" t="s">
        <v>661</v>
      </c>
      <c r="C25" s="241"/>
      <c r="D25" s="241"/>
      <c r="J25" s="282"/>
    </row>
    <row r="26" customFormat="false" ht="15" hidden="false" customHeight="true" outlineLevel="0" collapsed="false">
      <c r="A26" s="220" t="s">
        <v>662</v>
      </c>
      <c r="C26" s="247"/>
      <c r="D26" s="247"/>
      <c r="I26" s="199" t="s">
        <v>741</v>
      </c>
      <c r="J26" s="282" t="n">
        <v>8760</v>
      </c>
    </row>
    <row r="27" customFormat="false" ht="15.75" hidden="false" customHeight="true" outlineLevel="0" collapsed="false">
      <c r="A27" s="236"/>
      <c r="C27" s="247"/>
      <c r="D27" s="247"/>
      <c r="I27" s="199" t="s">
        <v>742</v>
      </c>
      <c r="J27" s="283" t="n">
        <f aca="false">J22*J26</f>
        <v>1204.5</v>
      </c>
    </row>
    <row r="28" customFormat="false" ht="15.75" hidden="false" customHeight="true" outlineLevel="0" collapsed="false">
      <c r="A28" s="224" t="s">
        <v>665</v>
      </c>
      <c r="C28" s="248" t="e">
        <f aca="false">Normalisering!$I$89/Byggnader!$I$32</f>
        <v>#DIV/0!</v>
      </c>
      <c r="D28" s="248" t="e">
        <f aca="false">(Normalisering!$I$89-J29)/Byggnader!$I$32</f>
        <v>#DIV/0!</v>
      </c>
      <c r="I28" s="199" t="s">
        <v>743</v>
      </c>
      <c r="J28" s="1" t="n">
        <f aca="false">J21-J27</f>
        <v>1204.5</v>
      </c>
      <c r="K28" s="199"/>
      <c r="L28" s="199"/>
    </row>
    <row r="29" customFormat="false" ht="15.75" hidden="false" customHeight="true" outlineLevel="0" collapsed="false">
      <c r="A29" s="249" t="s">
        <v>667</v>
      </c>
      <c r="C29" s="250" t="e">
        <f aca="false">C28*$C$4*$C$9</f>
        <v>#DIV/0!</v>
      </c>
      <c r="D29" s="250" t="e">
        <f aca="false">D28*$C$4*$C$9</f>
        <v>#DIV/0!</v>
      </c>
      <c r="I29" s="199"/>
    </row>
    <row r="30" customFormat="false" ht="15.75" hidden="false" customHeight="true" outlineLevel="1" collapsed="false">
      <c r="A30" s="224" t="s">
        <v>668</v>
      </c>
      <c r="C30" s="248" t="e">
        <f aca="false">J21/C4</f>
        <v>#DIV/0!</v>
      </c>
      <c r="D30" s="248" t="e">
        <f aca="false">J27/C4</f>
        <v>#DIV/0!</v>
      </c>
      <c r="I30" s="199"/>
    </row>
    <row r="31" customFormat="false" ht="15.75" hidden="false" customHeight="true" outlineLevel="1" collapsed="false">
      <c r="A31" s="249" t="s">
        <v>670</v>
      </c>
      <c r="C31" s="250" t="e">
        <f aca="false">C30*$C$4*$C$12</f>
        <v>#DIV/0!</v>
      </c>
      <c r="D31" s="250" t="e">
        <f aca="false">D30*$C$4*$C$12</f>
        <v>#DIV/0!</v>
      </c>
    </row>
    <row r="32" customFormat="false" ht="15.75" hidden="false" customHeight="true" outlineLevel="1" collapsed="false">
      <c r="A32" s="224" t="s">
        <v>672</v>
      </c>
      <c r="C32" s="248"/>
      <c r="D32" s="248"/>
    </row>
    <row r="33" customFormat="false" ht="15.75" hidden="false" customHeight="true" outlineLevel="1" collapsed="false">
      <c r="A33" s="249" t="s">
        <v>673</v>
      </c>
      <c r="C33" s="250" t="n">
        <f aca="false">C32*$C$4*$C$15</f>
        <v>0</v>
      </c>
      <c r="D33" s="250" t="n">
        <f aca="false">D32*$C$4*$C$15</f>
        <v>0</v>
      </c>
    </row>
    <row r="34" customFormat="false" ht="15" hidden="false" customHeight="true" outlineLevel="1" collapsed="false">
      <c r="A34" s="236" t="s">
        <v>674</v>
      </c>
      <c r="C34" s="247" t="e">
        <f aca="false">C29+C31+C33</f>
        <v>#DIV/0!</v>
      </c>
      <c r="D34" s="247" t="e">
        <f aca="false">D29+D31+D33</f>
        <v>#DIV/0!</v>
      </c>
      <c r="F34" s="236"/>
    </row>
    <row r="35" customFormat="false" ht="15" hidden="false" customHeight="true" outlineLevel="1" collapsed="false">
      <c r="A35" s="236" t="s">
        <v>675</v>
      </c>
      <c r="C35" s="247" t="e">
        <f aca="false">(C28+C30+C32)*$C$4</f>
        <v>#DIV/0!</v>
      </c>
      <c r="D35" s="247" t="e">
        <f aca="false">(D28+D30+D32)*$C$4</f>
        <v>#DIV/0!</v>
      </c>
      <c r="F35" s="236"/>
    </row>
    <row r="36" customFormat="false" ht="15" hidden="false" customHeight="true" outlineLevel="1" collapsed="false">
      <c r="A36" s="236" t="s">
        <v>676</v>
      </c>
      <c r="C36" s="252" t="e">
        <f aca="false">C34/C35</f>
        <v>#DIV/0!</v>
      </c>
      <c r="D36" s="247"/>
      <c r="F36" s="236"/>
    </row>
    <row r="37" customFormat="false" ht="15" hidden="false" customHeight="true" outlineLevel="0" collapsed="false">
      <c r="A37" s="226" t="s">
        <v>649</v>
      </c>
      <c r="C37" s="247"/>
      <c r="D37" s="247"/>
      <c r="F37" s="236"/>
    </row>
    <row r="38" customFormat="false" ht="15.75" hidden="false" customHeight="true" outlineLevel="0" collapsed="false">
      <c r="A38" s="253"/>
      <c r="C38" s="247"/>
      <c r="D38" s="247"/>
      <c r="F38" s="236"/>
    </row>
    <row r="39" customFormat="false" ht="15" hidden="false" customHeight="true" outlineLevel="0" collapsed="false">
      <c r="A39" s="254" t="s">
        <v>677</v>
      </c>
      <c r="B39" s="255"/>
      <c r="C39" s="256" t="n">
        <f aca="false">C20-PV($C$5-$C$7,$C$6,C22)+C23+C24/(1+$C$5-$C$7)^10+C25/(1+$C$5-$C$7)^20</f>
        <v>0</v>
      </c>
      <c r="D39" s="257" t="n">
        <f aca="false">D20-PV($C$5-$C$7,$C$6,D22)+D23+D24/(1+$C$5-$C$7)^10+D25/(1+$C$5-$C$7)^20</f>
        <v>10000</v>
      </c>
      <c r="F39" s="236"/>
    </row>
    <row r="40" customFormat="false" ht="15.75" hidden="false" customHeight="true" outlineLevel="0" collapsed="false">
      <c r="A40" s="258" t="s">
        <v>678</v>
      </c>
      <c r="B40" s="259"/>
      <c r="C40" s="260" t="e">
        <f aca="false">-PV($C$5-$C$10,$C$6,C29)-PV($C$5-$C$13,$C$6,C31)-PV($C$5-$C$16,$C$6,C33)</f>
        <v>#DIV/0!</v>
      </c>
      <c r="D40" s="261" t="e">
        <f aca="false">-PV($C$5-$C$10,$C$6,D29)-PV($C$5-$C$13,$C$6,D31)-PV($C$5-$C$16,$C$6,D33)</f>
        <v>#DIV/0!</v>
      </c>
      <c r="F40" s="236"/>
    </row>
    <row r="41" customFormat="false" ht="15.75" hidden="false" customHeight="true" outlineLevel="0" collapsed="false">
      <c r="A41" s="262" t="s">
        <v>679</v>
      </c>
      <c r="B41" s="263"/>
      <c r="C41" s="264" t="e">
        <f aca="false">C39+C40</f>
        <v>#DIV/0!</v>
      </c>
      <c r="D41" s="265" t="e">
        <f aca="false">D39+D40</f>
        <v>#DIV/0!</v>
      </c>
      <c r="F41" s="236"/>
    </row>
    <row r="42" customFormat="false" ht="15.75" hidden="false" customHeight="true" outlineLevel="0" collapsed="false">
      <c r="A42" s="266"/>
      <c r="B42" s="267"/>
      <c r="C42" s="268" t="s">
        <v>680</v>
      </c>
      <c r="D42" s="269" t="e">
        <f aca="false">C41-D41</f>
        <v>#DIV/0!</v>
      </c>
      <c r="F42" s="236"/>
    </row>
    <row r="43" s="236" customFormat="true" ht="12.75" hidden="false" customHeight="true" outlineLevel="0" collapsed="false">
      <c r="A43" s="270" t="s">
        <v>681</v>
      </c>
      <c r="B43" s="271"/>
      <c r="C43" s="272" t="e">
        <f aca="false">(D39-C39)/(C40-D40)*C36</f>
        <v>#DIV/0!</v>
      </c>
      <c r="D43" s="273" t="e">
        <f aca="false">IF($D42&gt;0,"LÖNSAMT","EJ LÖNSAMT")</f>
        <v>#DIV/0!</v>
      </c>
    </row>
    <row r="44" customFormat="false" ht="15.75" hidden="false" customHeight="true" outlineLevel="0" collapsed="false">
      <c r="A44" s="274" t="s">
        <v>682</v>
      </c>
      <c r="B44" s="185"/>
      <c r="C44" s="275" t="e">
        <f aca="false">C36</f>
        <v>#DIV/0!</v>
      </c>
      <c r="D44" s="276"/>
      <c r="F44" s="236"/>
    </row>
    <row r="45" customFormat="false" ht="15" hidden="false" customHeight="true" outlineLevel="0" collapsed="false">
      <c r="C45" s="247"/>
      <c r="D45" s="247"/>
      <c r="F45" s="236"/>
    </row>
    <row r="46" customFormat="false" ht="15.75" hidden="false" customHeight="true" outlineLevel="0" collapsed="false">
      <c r="D46" s="277"/>
    </row>
    <row r="47" customFormat="false" ht="15.75" hidden="false" customHeight="true" outlineLevel="0" collapsed="false">
      <c r="A47" s="278" t="s">
        <v>683</v>
      </c>
      <c r="B47" s="279"/>
      <c r="D47" s="280" t="s">
        <v>684</v>
      </c>
    </row>
    <row r="49" customFormat="false" ht="15" hidden="false" customHeight="true" outlineLevel="0" collapsed="false">
      <c r="F49" s="222"/>
    </row>
  </sheetData>
  <mergeCells count="3">
    <mergeCell ref="C2:D2"/>
    <mergeCell ref="I7:L7"/>
    <mergeCell ref="I15:N16"/>
  </mergeCells>
  <dataValidations count="1">
    <dataValidation allowBlank="false" errorStyle="stop" operator="between" showDropDown="false" showErrorMessage="false" showInputMessage="false" sqref="B2" type="list">
      <formula1>"Ja,Nej"</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38" activeCellId="0" sqref="I38"/>
    </sheetView>
  </sheetViews>
  <sheetFormatPr defaultColWidth="9.140625" defaultRowHeight="15" zeroHeight="false" outlineLevelRow="1" outlineLevelCol="1"/>
  <cols>
    <col collapsed="false" customWidth="true" hidden="false" outlineLevel="0" max="1" min="1" style="1" width="58.85"/>
    <col collapsed="false" customWidth="true" hidden="false" outlineLevel="0" max="2" min="2" style="1" width="1.28"/>
    <col collapsed="false" customWidth="true" hidden="false" outlineLevel="0" max="3" min="3" style="1" width="16"/>
    <col collapsed="false" customWidth="true" hidden="false" outlineLevel="0" max="4" min="4" style="1" width="15.85"/>
    <col collapsed="false" customWidth="false" hidden="false" outlineLevel="1" max="5" min="5" style="1" width="9.14"/>
    <col collapsed="false" customWidth="true" hidden="false" outlineLevel="1" max="6" min="6" style="1" width="20.57"/>
    <col collapsed="false" customWidth="true" hidden="false" outlineLevel="0" max="9" min="9" style="1" width="26.71"/>
    <col collapsed="false" customWidth="true" hidden="false" outlineLevel="0" max="10" min="10" style="1" width="23.57"/>
  </cols>
  <sheetData>
    <row r="1" customFormat="false" ht="45.75" hidden="false" customHeight="true" outlineLevel="0" collapsed="false">
      <c r="A1" s="203" t="s">
        <v>744</v>
      </c>
      <c r="C1" s="204" t="s">
        <v>621</v>
      </c>
      <c r="D1" s="205"/>
    </row>
    <row r="2" customFormat="false" ht="24" hidden="false" customHeight="true" outlineLevel="0" collapsed="false">
      <c r="A2" s="206" t="s">
        <v>622</v>
      </c>
      <c r="B2" s="207" t="s">
        <v>623</v>
      </c>
      <c r="C2" s="208"/>
      <c r="D2" s="208"/>
      <c r="E2" s="204" t="s">
        <v>624</v>
      </c>
      <c r="F2" s="205"/>
    </row>
    <row r="3" customFormat="false" ht="15.75" hidden="false" customHeight="true" outlineLevel="0" collapsed="false">
      <c r="A3" s="209"/>
      <c r="B3" s="210"/>
      <c r="C3" s="211" t="s">
        <v>625</v>
      </c>
      <c r="D3" s="212" t="s">
        <v>626</v>
      </c>
      <c r="E3" s="204" t="s">
        <v>627</v>
      </c>
      <c r="F3" s="205"/>
    </row>
    <row r="4" customFormat="false" ht="13.5" hidden="false" customHeight="true" outlineLevel="0" collapsed="false">
      <c r="A4" s="209" t="s">
        <v>628</v>
      </c>
      <c r="C4" s="213" t="n">
        <f aca="false">Byggnader!$I$32</f>
        <v>0</v>
      </c>
      <c r="D4" s="213" t="s">
        <v>629</v>
      </c>
    </row>
    <row r="5" customFormat="false" ht="13.5" hidden="false" customHeight="true" outlineLevel="0" collapsed="false">
      <c r="A5" s="209" t="s">
        <v>630</v>
      </c>
      <c r="C5" s="214" t="n">
        <f aca="false">Energiprisfaktorer!B6</f>
        <v>0.04</v>
      </c>
      <c r="D5" s="215" t="s">
        <v>631</v>
      </c>
      <c r="E5" s="216"/>
      <c r="F5" s="217" t="s">
        <v>632</v>
      </c>
    </row>
    <row r="6" customFormat="false" ht="15.75" hidden="false" customHeight="true" outlineLevel="0" collapsed="false">
      <c r="A6" s="209" t="s">
        <v>633</v>
      </c>
      <c r="C6" s="218" t="n">
        <v>20</v>
      </c>
      <c r="D6" s="215" t="s">
        <v>634</v>
      </c>
      <c r="E6" s="219" t="e">
        <f aca="false">(D20-C20)/(C34+C22-D34-D22)</f>
        <v>#DIV/0!</v>
      </c>
      <c r="F6" s="217" t="s">
        <v>635</v>
      </c>
    </row>
    <row r="7" customFormat="false" ht="15.75" hidden="false" customHeight="true" outlineLevel="0" collapsed="false">
      <c r="A7" s="220" t="s">
        <v>636</v>
      </c>
      <c r="C7" s="214" t="n">
        <f aca="false">Energiprisfaktorer!B7</f>
        <v>0.02</v>
      </c>
      <c r="D7" s="221" t="str">
        <f aca="false">D5</f>
        <v>nominell</v>
      </c>
      <c r="E7" s="222"/>
      <c r="F7" s="223"/>
      <c r="I7" s="195" t="s">
        <v>637</v>
      </c>
      <c r="J7" s="195"/>
      <c r="K7" s="195"/>
      <c r="L7" s="195"/>
    </row>
    <row r="8" customFormat="false" ht="15.75" hidden="false" customHeight="true" outlineLevel="0" collapsed="false">
      <c r="A8" s="224" t="s">
        <v>638</v>
      </c>
      <c r="C8" s="225" t="s">
        <v>174</v>
      </c>
      <c r="D8" s="225" t="s">
        <v>143</v>
      </c>
      <c r="E8" s="222"/>
      <c r="F8" s="223"/>
    </row>
    <row r="9" customFormat="false" ht="14.25" hidden="false" customHeight="true" outlineLevel="0" collapsed="false">
      <c r="A9" s="226" t="s">
        <v>639</v>
      </c>
      <c r="C9" s="227" t="n">
        <f aca="false">Energiprisfaktorer!B4</f>
        <v>1.15</v>
      </c>
      <c r="D9" s="228" t="s">
        <v>640</v>
      </c>
      <c r="E9" s="222"/>
      <c r="F9" s="223"/>
      <c r="I9" s="199"/>
      <c r="K9" s="189"/>
    </row>
    <row r="10" customFormat="false" ht="14.25" hidden="false" customHeight="true" outlineLevel="0" collapsed="false">
      <c r="A10" s="229" t="s">
        <v>642</v>
      </c>
      <c r="C10" s="230" t="n">
        <f aca="false">Energiprisfaktorer!B5</f>
        <v>0.03</v>
      </c>
      <c r="D10" s="231" t="str">
        <f aca="false">D5</f>
        <v>nominell</v>
      </c>
      <c r="E10" s="222"/>
      <c r="F10" s="223"/>
      <c r="I10" s="199" t="s">
        <v>643</v>
      </c>
      <c r="K10" s="1" t="n">
        <v>5000</v>
      </c>
    </row>
    <row r="11" customFormat="false" ht="14.25" hidden="false" customHeight="true" outlineLevel="1" collapsed="false">
      <c r="A11" s="224" t="s">
        <v>644</v>
      </c>
      <c r="C11" s="225" t="s">
        <v>615</v>
      </c>
      <c r="D11" s="225"/>
      <c r="E11" s="222"/>
      <c r="F11" s="223"/>
    </row>
    <row r="12" customFormat="false" ht="14.25" hidden="false" customHeight="true" outlineLevel="1" collapsed="false">
      <c r="A12" s="226" t="s">
        <v>639</v>
      </c>
      <c r="C12" s="227" t="n">
        <f aca="false">Energiprisfaktorer!C4</f>
        <v>2</v>
      </c>
      <c r="D12" s="228" t="s">
        <v>640</v>
      </c>
      <c r="E12" s="222"/>
      <c r="F12" s="223"/>
      <c r="I12" s="232" t="s">
        <v>645</v>
      </c>
      <c r="J12" s="233"/>
      <c r="K12" s="233"/>
      <c r="L12" s="233"/>
    </row>
    <row r="13" customFormat="false" ht="14.25" hidden="false" customHeight="true" outlineLevel="1" collapsed="false">
      <c r="A13" s="229" t="s">
        <v>642</v>
      </c>
      <c r="C13" s="230" t="n">
        <f aca="false">Energiprisfaktorer!C5</f>
        <v>0.04</v>
      </c>
      <c r="D13" s="231" t="str">
        <f aca="false">D5</f>
        <v>nominell</v>
      </c>
      <c r="E13" s="222"/>
      <c r="F13" s="223"/>
    </row>
    <row r="14" customFormat="false" ht="14.25" hidden="false" customHeight="true" outlineLevel="1" collapsed="false">
      <c r="A14" s="224" t="s">
        <v>646</v>
      </c>
      <c r="C14" s="225"/>
      <c r="D14" s="225"/>
      <c r="E14" s="222"/>
      <c r="F14" s="223"/>
      <c r="I14" s="199" t="s">
        <v>647</v>
      </c>
    </row>
    <row r="15" customFormat="false" ht="15.75" hidden="false" customHeight="true" outlineLevel="1" collapsed="false">
      <c r="A15" s="226" t="s">
        <v>639</v>
      </c>
      <c r="C15" s="227" t="n">
        <v>0.6</v>
      </c>
      <c r="D15" s="228" t="s">
        <v>640</v>
      </c>
      <c r="I15" s="234" t="s">
        <v>745</v>
      </c>
      <c r="J15" s="234"/>
      <c r="K15" s="234"/>
      <c r="L15" s="234"/>
      <c r="M15" s="234"/>
      <c r="N15" s="234"/>
    </row>
    <row r="16" customFormat="false" ht="15.75" hidden="false" customHeight="true" outlineLevel="1" collapsed="false">
      <c r="A16" s="229" t="s">
        <v>642</v>
      </c>
      <c r="C16" s="230" t="n">
        <v>0.04</v>
      </c>
      <c r="D16" s="231" t="str">
        <f aca="false">D5</f>
        <v>nominell</v>
      </c>
      <c r="I16" s="234"/>
      <c r="J16" s="234"/>
      <c r="K16" s="234"/>
      <c r="L16" s="234"/>
      <c r="M16" s="234"/>
      <c r="N16" s="234"/>
    </row>
    <row r="17" customFormat="false" ht="15.75" hidden="false" customHeight="true" outlineLevel="0" collapsed="false">
      <c r="A17" s="229" t="s">
        <v>649</v>
      </c>
      <c r="C17" s="235"/>
      <c r="D17" s="235"/>
      <c r="E17" s="222"/>
    </row>
    <row r="18" customFormat="false" ht="15.75" hidden="false" customHeight="true" outlineLevel="0" collapsed="false">
      <c r="A18" s="236"/>
      <c r="C18" s="236"/>
      <c r="D18" s="235"/>
      <c r="E18" s="222"/>
      <c r="I18" s="237" t="s">
        <v>650</v>
      </c>
    </row>
    <row r="19" customFormat="false" ht="15.75" hidden="false" customHeight="true" outlineLevel="0" collapsed="false">
      <c r="A19" s="236"/>
      <c r="C19" s="238" t="s">
        <v>651</v>
      </c>
      <c r="D19" s="239" t="s">
        <v>652</v>
      </c>
      <c r="I19" s="199" t="s">
        <v>746</v>
      </c>
      <c r="J19" s="282" t="n">
        <f aca="false">Besiktningsprotokoll!B53+Besiktningsprotokoll!C53+Besiktningsprotokoll!D53+Besiktningsprotokoll!B62+Besiktningsprotokoll!C62+Besiktningsprotokoll!D62</f>
        <v>5.54</v>
      </c>
    </row>
    <row r="20" customFormat="false" ht="15.75" hidden="false" customHeight="true" outlineLevel="0" collapsed="false">
      <c r="A20" s="240" t="s">
        <v>654</v>
      </c>
      <c r="C20" s="241" t="n">
        <v>0</v>
      </c>
      <c r="D20" s="241" t="n">
        <f aca="false">K10</f>
        <v>5000</v>
      </c>
      <c r="E20" s="242" t="e">
        <f aca="false">D20+C41-D41</f>
        <v>#DIV/0!</v>
      </c>
      <c r="F20" s="217" t="s">
        <v>655</v>
      </c>
      <c r="I20" s="199" t="s">
        <v>738</v>
      </c>
      <c r="J20" s="282" t="n">
        <v>8760</v>
      </c>
    </row>
    <row r="21" customFormat="false" ht="15.75" hidden="false" customHeight="true" outlineLevel="0" collapsed="false">
      <c r="A21" s="236"/>
      <c r="C21" s="243"/>
      <c r="D21" s="243"/>
      <c r="E21" s="244"/>
      <c r="F21" s="245"/>
      <c r="I21" s="199" t="s">
        <v>747</v>
      </c>
      <c r="J21" s="284" t="n">
        <v>3</v>
      </c>
    </row>
    <row r="22" customFormat="false" ht="15.75" hidden="true" customHeight="true" outlineLevel="0" collapsed="false">
      <c r="A22" s="220" t="s">
        <v>657</v>
      </c>
      <c r="C22" s="246" t="n">
        <v>0</v>
      </c>
      <c r="D22" s="246" t="n">
        <v>0</v>
      </c>
      <c r="I22" s="199" t="s">
        <v>739</v>
      </c>
      <c r="J22" s="283" t="n">
        <f aca="false">J19*J20</f>
        <v>48530.4</v>
      </c>
    </row>
    <row r="23" customFormat="false" ht="15.75" hidden="true" customHeight="true" outlineLevel="1" collapsed="false">
      <c r="A23" s="220" t="s">
        <v>659</v>
      </c>
      <c r="C23" s="241"/>
      <c r="D23" s="241"/>
    </row>
    <row r="24" customFormat="false" ht="15.75" hidden="true" customHeight="true" outlineLevel="1" collapsed="false">
      <c r="A24" s="220" t="s">
        <v>660</v>
      </c>
      <c r="C24" s="241"/>
      <c r="D24" s="241"/>
    </row>
    <row r="25" customFormat="false" ht="15.75" hidden="true" customHeight="true" outlineLevel="1" collapsed="false">
      <c r="A25" s="220" t="s">
        <v>661</v>
      </c>
      <c r="C25" s="241"/>
      <c r="D25" s="241"/>
    </row>
    <row r="26" customFormat="false" ht="15" hidden="true" customHeight="true" outlineLevel="0" collapsed="false">
      <c r="A26" s="220" t="s">
        <v>662</v>
      </c>
      <c r="C26" s="247"/>
      <c r="D26" s="247"/>
    </row>
    <row r="27" customFormat="false" ht="15.75" hidden="false" customHeight="true" outlineLevel="0" collapsed="false">
      <c r="A27" s="236"/>
      <c r="C27" s="247"/>
      <c r="D27" s="247"/>
      <c r="I27" s="199" t="s">
        <v>748</v>
      </c>
      <c r="J27" s="282" t="n">
        <f aca="false">J19*0.5</f>
        <v>2.77</v>
      </c>
    </row>
    <row r="28" customFormat="false" ht="15.75" hidden="false" customHeight="true" outlineLevel="0" collapsed="false">
      <c r="A28" s="224" t="s">
        <v>665</v>
      </c>
      <c r="C28" s="248" t="e">
        <f aca="false">Normalisering!$I$89/Byggnader!$I$32</f>
        <v>#DIV/0!</v>
      </c>
      <c r="D28" s="248" t="e">
        <f aca="false">C28</f>
        <v>#DIV/0!</v>
      </c>
      <c r="I28" s="199" t="s">
        <v>741</v>
      </c>
      <c r="J28" s="282" t="n">
        <v>8760</v>
      </c>
      <c r="K28" s="199"/>
      <c r="L28" s="199"/>
    </row>
    <row r="29" customFormat="false" ht="15.75" hidden="false" customHeight="true" outlineLevel="0" collapsed="false">
      <c r="A29" s="249" t="s">
        <v>667</v>
      </c>
      <c r="C29" s="250" t="e">
        <f aca="false">C28*$C$4*$C$9</f>
        <v>#DIV/0!</v>
      </c>
      <c r="D29" s="250" t="e">
        <f aca="false">D28*$C$4*$C$9</f>
        <v>#DIV/0!</v>
      </c>
      <c r="I29" s="199" t="s">
        <v>742</v>
      </c>
      <c r="J29" s="283" t="n">
        <f aca="false">J27*J28</f>
        <v>24265.2</v>
      </c>
    </row>
    <row r="30" customFormat="false" ht="15.75" hidden="false" customHeight="true" outlineLevel="1" collapsed="false">
      <c r="A30" s="224" t="s">
        <v>668</v>
      </c>
      <c r="C30" s="248" t="e">
        <f aca="false">J22/C4</f>
        <v>#DIV/0!</v>
      </c>
      <c r="D30" s="248" t="e">
        <f aca="false">J29/C4</f>
        <v>#DIV/0!</v>
      </c>
      <c r="I30" s="199" t="s">
        <v>743</v>
      </c>
      <c r="J30" s="1" t="n">
        <f aca="false">J22-J29</f>
        <v>24265.2</v>
      </c>
    </row>
    <row r="31" customFormat="false" ht="15.75" hidden="false" customHeight="true" outlineLevel="1" collapsed="false">
      <c r="A31" s="249" t="s">
        <v>670</v>
      </c>
      <c r="C31" s="250" t="e">
        <f aca="false">C30*$C$4*$C$12</f>
        <v>#DIV/0!</v>
      </c>
      <c r="D31" s="250" t="e">
        <f aca="false">D30*$C$4*$C$12</f>
        <v>#DIV/0!</v>
      </c>
    </row>
    <row r="32" customFormat="false" ht="15.75" hidden="false" customHeight="true" outlineLevel="1" collapsed="false">
      <c r="A32" s="224" t="s">
        <v>672</v>
      </c>
      <c r="C32" s="248"/>
      <c r="D32" s="248"/>
    </row>
    <row r="33" customFormat="false" ht="15.75" hidden="false" customHeight="true" outlineLevel="1" collapsed="false">
      <c r="A33" s="249" t="s">
        <v>673</v>
      </c>
      <c r="C33" s="250" t="n">
        <f aca="false">C32*$C$4*$C$15</f>
        <v>0</v>
      </c>
      <c r="D33" s="250" t="n">
        <f aca="false">D32*$C$4*$C$15</f>
        <v>0</v>
      </c>
    </row>
    <row r="34" customFormat="false" ht="15" hidden="false" customHeight="true" outlineLevel="1" collapsed="false">
      <c r="A34" s="236" t="s">
        <v>674</v>
      </c>
      <c r="C34" s="247" t="e">
        <f aca="false">C29+C31+C33</f>
        <v>#DIV/0!</v>
      </c>
      <c r="D34" s="247" t="e">
        <f aca="false">D29+D31+D33</f>
        <v>#DIV/0!</v>
      </c>
      <c r="F34" s="236"/>
    </row>
    <row r="35" customFormat="false" ht="15" hidden="false" customHeight="true" outlineLevel="1" collapsed="false">
      <c r="A35" s="236" t="s">
        <v>675</v>
      </c>
      <c r="C35" s="247" t="e">
        <f aca="false">(C28+C30+C32)*$C$4</f>
        <v>#DIV/0!</v>
      </c>
      <c r="D35" s="247" t="e">
        <f aca="false">(D28+D30+D32)*$C$4</f>
        <v>#DIV/0!</v>
      </c>
      <c r="F35" s="236"/>
    </row>
    <row r="36" customFormat="false" ht="15" hidden="false" customHeight="true" outlineLevel="1" collapsed="false">
      <c r="A36" s="236" t="s">
        <v>676</v>
      </c>
      <c r="C36" s="252" t="e">
        <f aca="false">C34/C35</f>
        <v>#DIV/0!</v>
      </c>
      <c r="D36" s="247"/>
      <c r="F36" s="236"/>
    </row>
    <row r="37" customFormat="false" ht="15" hidden="false" customHeight="true" outlineLevel="0" collapsed="false">
      <c r="A37" s="226" t="s">
        <v>649</v>
      </c>
      <c r="C37" s="247"/>
      <c r="D37" s="247"/>
      <c r="F37" s="236"/>
    </row>
    <row r="38" customFormat="false" ht="15.75" hidden="false" customHeight="true" outlineLevel="0" collapsed="false">
      <c r="A38" s="253"/>
      <c r="C38" s="247"/>
      <c r="D38" s="247"/>
      <c r="F38" s="236"/>
    </row>
    <row r="39" customFormat="false" ht="15" hidden="false" customHeight="true" outlineLevel="0" collapsed="false">
      <c r="A39" s="254" t="s">
        <v>677</v>
      </c>
      <c r="B39" s="255"/>
      <c r="C39" s="256" t="n">
        <f aca="false">C20-PV($C$5-$C$7,$C$6,C22)+C23+C24/(1+$C$5-$C$7)^10+C25/(1+$C$5-$C$7)^20</f>
        <v>0</v>
      </c>
      <c r="D39" s="257" t="n">
        <f aca="false">D20-PV($C$5-$C$7,$C$6,D22)+D23+D24/(1+$C$5-$C$7)^10+D25/(1+$C$5-$C$7)^20</f>
        <v>5000</v>
      </c>
      <c r="F39" s="236"/>
    </row>
    <row r="40" customFormat="false" ht="15.75" hidden="false" customHeight="true" outlineLevel="0" collapsed="false">
      <c r="A40" s="258" t="s">
        <v>678</v>
      </c>
      <c r="B40" s="259"/>
      <c r="C40" s="260" t="e">
        <f aca="false">-PV($C$5-$C$10,$C$6,C29)-PV($C$5-$C$13,$C$6,C31)-PV($C$5-$C$16,$C$6,C33)</f>
        <v>#DIV/0!</v>
      </c>
      <c r="D40" s="261" t="e">
        <f aca="false">-PV($C$5-$C$10,$C$6,D29)-PV($C$5-$C$13,$C$6,D31)-PV($C$5-$C$16,$C$6,D33)</f>
        <v>#DIV/0!</v>
      </c>
      <c r="F40" s="236"/>
    </row>
    <row r="41" customFormat="false" ht="15.75" hidden="false" customHeight="true" outlineLevel="0" collapsed="false">
      <c r="A41" s="262" t="s">
        <v>679</v>
      </c>
      <c r="B41" s="263"/>
      <c r="C41" s="264" t="e">
        <f aca="false">C39+C40</f>
        <v>#DIV/0!</v>
      </c>
      <c r="D41" s="265" t="e">
        <f aca="false">D39+D40</f>
        <v>#DIV/0!</v>
      </c>
      <c r="F41" s="236"/>
    </row>
    <row r="42" customFormat="false" ht="15.75" hidden="false" customHeight="true" outlineLevel="0" collapsed="false">
      <c r="A42" s="266"/>
      <c r="B42" s="267"/>
      <c r="C42" s="268" t="s">
        <v>680</v>
      </c>
      <c r="D42" s="269" t="e">
        <f aca="false">C41-D41</f>
        <v>#DIV/0!</v>
      </c>
      <c r="F42" s="236"/>
    </row>
    <row r="43" s="236" customFormat="true" ht="12.75" hidden="false" customHeight="true" outlineLevel="0" collapsed="false">
      <c r="A43" s="270" t="s">
        <v>681</v>
      </c>
      <c r="B43" s="271"/>
      <c r="C43" s="272" t="e">
        <f aca="false">(D39-C39)/(C40-D40)*C36</f>
        <v>#DIV/0!</v>
      </c>
      <c r="D43" s="273" t="e">
        <f aca="false">IF($D42&gt;0,"LÖNSAMT","EJ LÖNSAMT")</f>
        <v>#DIV/0!</v>
      </c>
    </row>
    <row r="44" customFormat="false" ht="15.75" hidden="false" customHeight="true" outlineLevel="0" collapsed="false">
      <c r="A44" s="274" t="s">
        <v>682</v>
      </c>
      <c r="B44" s="185"/>
      <c r="C44" s="275" t="e">
        <f aca="false">C36</f>
        <v>#DIV/0!</v>
      </c>
      <c r="D44" s="276"/>
      <c r="F44" s="236"/>
    </row>
    <row r="45" customFormat="false" ht="15" hidden="false" customHeight="true" outlineLevel="0" collapsed="false">
      <c r="C45" s="247"/>
      <c r="D45" s="247"/>
      <c r="F45" s="236"/>
    </row>
    <row r="46" customFormat="false" ht="15.75" hidden="false" customHeight="true" outlineLevel="0" collapsed="false">
      <c r="D46" s="277"/>
    </row>
    <row r="47" customFormat="false" ht="15.75" hidden="false" customHeight="true" outlineLevel="0" collapsed="false">
      <c r="A47" s="278" t="s">
        <v>683</v>
      </c>
      <c r="B47" s="279"/>
      <c r="D47" s="280" t="s">
        <v>684</v>
      </c>
    </row>
    <row r="49" customFormat="false" ht="15" hidden="false" customHeight="true" outlineLevel="0" collapsed="false">
      <c r="F49" s="222"/>
    </row>
  </sheetData>
  <mergeCells count="3">
    <mergeCell ref="C2:D2"/>
    <mergeCell ref="I7:L7"/>
    <mergeCell ref="I15:N16"/>
  </mergeCells>
  <dataValidations count="1">
    <dataValidation allowBlank="false" errorStyle="stop" operator="between" showDropDown="false" showErrorMessage="false" showInputMessage="false" sqref="B2" type="list">
      <formula1>"Ja,Nej"</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9.140625" defaultRowHeight="15" zeroHeight="false" outlineLevelRow="1" outlineLevelCol="1"/>
  <cols>
    <col collapsed="false" customWidth="true" hidden="false" outlineLevel="0" max="1" min="1" style="1" width="58.85"/>
    <col collapsed="false" customWidth="true" hidden="false" outlineLevel="0" max="2" min="2" style="1" width="1.28"/>
    <col collapsed="false" customWidth="true" hidden="false" outlineLevel="0" max="3" min="3" style="1" width="16"/>
    <col collapsed="false" customWidth="true" hidden="false" outlineLevel="0" max="4" min="4" style="1" width="15.85"/>
    <col collapsed="false" customWidth="false" hidden="false" outlineLevel="1" max="5" min="5" style="1" width="9.14"/>
    <col collapsed="false" customWidth="true" hidden="false" outlineLevel="1" max="6" min="6" style="1" width="20.57"/>
    <col collapsed="false" customWidth="true" hidden="false" outlineLevel="0" max="9" min="9" style="1" width="26.71"/>
    <col collapsed="false" customWidth="true" hidden="false" outlineLevel="0" max="10" min="10" style="1" width="23.57"/>
  </cols>
  <sheetData>
    <row r="1" customFormat="false" ht="45.75" hidden="false" customHeight="true" outlineLevel="0" collapsed="false">
      <c r="A1" s="203" t="s">
        <v>749</v>
      </c>
      <c r="C1" s="236"/>
      <c r="D1" s="205"/>
    </row>
    <row r="2" customFormat="false" ht="24" hidden="false" customHeight="true" outlineLevel="0" collapsed="false">
      <c r="A2" s="206" t="s">
        <v>622</v>
      </c>
      <c r="B2" s="207" t="s">
        <v>623</v>
      </c>
      <c r="C2" s="208"/>
      <c r="D2" s="208"/>
      <c r="E2" s="204" t="s">
        <v>624</v>
      </c>
      <c r="F2" s="205"/>
    </row>
    <row r="3" customFormat="false" ht="15.75" hidden="false" customHeight="true" outlineLevel="0" collapsed="false">
      <c r="A3" s="209"/>
      <c r="B3" s="210"/>
      <c r="C3" s="211" t="s">
        <v>625</v>
      </c>
      <c r="D3" s="212" t="s">
        <v>626</v>
      </c>
      <c r="E3" s="204" t="s">
        <v>627</v>
      </c>
      <c r="F3" s="205"/>
    </row>
    <row r="4" customFormat="false" ht="13.5" hidden="false" customHeight="true" outlineLevel="0" collapsed="false">
      <c r="A4" s="209" t="s">
        <v>628</v>
      </c>
      <c r="C4" s="213" t="n">
        <f aca="false">Byggnader!$I$32</f>
        <v>0</v>
      </c>
      <c r="D4" s="213" t="s">
        <v>629</v>
      </c>
    </row>
    <row r="5" customFormat="false" ht="13.5" hidden="false" customHeight="true" outlineLevel="0" collapsed="false">
      <c r="A5" s="209" t="s">
        <v>630</v>
      </c>
      <c r="C5" s="214" t="n">
        <f aca="false">Energiprisfaktorer!B6</f>
        <v>0.04</v>
      </c>
      <c r="D5" s="215" t="s">
        <v>631</v>
      </c>
      <c r="E5" s="216"/>
      <c r="F5" s="217" t="s">
        <v>632</v>
      </c>
      <c r="R5" s="1" t="s">
        <v>750</v>
      </c>
      <c r="V5" s="1" t="n">
        <f aca="false">Besiktningsprotokoll!B57*1.2*100000</f>
        <v>0</v>
      </c>
    </row>
    <row r="6" customFormat="false" ht="15.75" hidden="false" customHeight="true" outlineLevel="0" collapsed="false">
      <c r="A6" s="209" t="s">
        <v>633</v>
      </c>
      <c r="C6" s="218" t="n">
        <v>25</v>
      </c>
      <c r="D6" s="215" t="s">
        <v>634</v>
      </c>
      <c r="E6" s="219" t="str">
        <f aca="false">IFERROR((D20-C20)/(C34+C22-D34-D22),"")</f>
        <v/>
      </c>
      <c r="F6" s="217" t="s">
        <v>635</v>
      </c>
      <c r="R6" s="1" t="s">
        <v>751</v>
      </c>
      <c r="V6" s="1" t="n">
        <f aca="false">0.25*V5</f>
        <v>0</v>
      </c>
    </row>
    <row r="7" customFormat="false" ht="15.75" hidden="false" customHeight="true" outlineLevel="0" collapsed="false">
      <c r="A7" s="220" t="s">
        <v>636</v>
      </c>
      <c r="C7" s="214" t="n">
        <f aca="false">Energiprisfaktorer!B7</f>
        <v>0.02</v>
      </c>
      <c r="D7" s="221" t="str">
        <f aca="false">D5</f>
        <v>nominell</v>
      </c>
      <c r="E7" s="222"/>
      <c r="F7" s="223"/>
      <c r="I7" s="285" t="s">
        <v>752</v>
      </c>
      <c r="J7" s="285"/>
      <c r="K7" s="285"/>
      <c r="L7" s="285"/>
      <c r="R7" s="1" t="s">
        <v>753</v>
      </c>
      <c r="V7" s="1" t="n">
        <f aca="false">0.025*36*8760</f>
        <v>7884</v>
      </c>
    </row>
    <row r="8" customFormat="false" ht="15.75" hidden="false" customHeight="true" outlineLevel="0" collapsed="false">
      <c r="A8" s="224" t="s">
        <v>638</v>
      </c>
      <c r="C8" s="225" t="s">
        <v>174</v>
      </c>
      <c r="D8" s="225" t="s">
        <v>143</v>
      </c>
      <c r="E8" s="222"/>
      <c r="F8" s="223"/>
    </row>
    <row r="9" customFormat="false" ht="14.25" hidden="false" customHeight="true" outlineLevel="0" collapsed="false">
      <c r="A9" s="226" t="s">
        <v>639</v>
      </c>
      <c r="C9" s="227" t="n">
        <f aca="false">Energiprisfaktorer!B4</f>
        <v>1.15</v>
      </c>
      <c r="D9" s="228" t="s">
        <v>640</v>
      </c>
      <c r="E9" s="222"/>
      <c r="F9" s="223"/>
      <c r="I9" s="24" t="s">
        <v>754</v>
      </c>
      <c r="K9" s="42" t="n">
        <v>0</v>
      </c>
    </row>
    <row r="10" customFormat="false" ht="14.25" hidden="false" customHeight="true" outlineLevel="0" collapsed="false">
      <c r="A10" s="229" t="s">
        <v>642</v>
      </c>
      <c r="C10" s="230" t="n">
        <f aca="false">Energiprisfaktorer!B5</f>
        <v>0.03</v>
      </c>
      <c r="D10" s="231" t="str">
        <f aca="false">D5</f>
        <v>nominell</v>
      </c>
      <c r="E10" s="222"/>
      <c r="F10" s="223"/>
      <c r="I10" s="199"/>
    </row>
    <row r="11" customFormat="false" ht="14.25" hidden="false" customHeight="true" outlineLevel="1" collapsed="false">
      <c r="A11" s="224" t="s">
        <v>644</v>
      </c>
      <c r="C11" s="225" t="s">
        <v>615</v>
      </c>
      <c r="D11" s="225"/>
      <c r="E11" s="222"/>
      <c r="F11" s="223"/>
      <c r="I11" s="24" t="s">
        <v>755</v>
      </c>
      <c r="K11" s="42" t="n">
        <v>0</v>
      </c>
    </row>
    <row r="12" customFormat="false" ht="14.25" hidden="false" customHeight="true" outlineLevel="1" collapsed="false">
      <c r="A12" s="226" t="s">
        <v>639</v>
      </c>
      <c r="C12" s="227" t="n">
        <f aca="false">Energiprisfaktorer!C4</f>
        <v>2</v>
      </c>
      <c r="D12" s="228" t="s">
        <v>640</v>
      </c>
      <c r="E12" s="222"/>
      <c r="F12" s="223"/>
      <c r="I12" s="24" t="s">
        <v>756</v>
      </c>
      <c r="K12" s="42" t="n">
        <v>0</v>
      </c>
    </row>
    <row r="13" customFormat="false" ht="14.25" hidden="false" customHeight="true" outlineLevel="1" collapsed="false">
      <c r="A13" s="229" t="s">
        <v>642</v>
      </c>
      <c r="C13" s="230" t="n">
        <f aca="false">Energiprisfaktorer!C5</f>
        <v>0.04</v>
      </c>
      <c r="D13" s="231" t="str">
        <f aca="false">D5</f>
        <v>nominell</v>
      </c>
      <c r="E13" s="222"/>
      <c r="F13" s="223"/>
      <c r="I13" s="32" t="s">
        <v>757</v>
      </c>
    </row>
    <row r="14" customFormat="false" ht="14.25" hidden="false" customHeight="true" outlineLevel="1" collapsed="false">
      <c r="A14" s="224" t="s">
        <v>646</v>
      </c>
      <c r="C14" s="225"/>
      <c r="D14" s="225"/>
      <c r="E14" s="222"/>
      <c r="F14" s="223"/>
      <c r="I14" s="199"/>
    </row>
    <row r="15" customFormat="false" ht="15.75" hidden="false" customHeight="true" outlineLevel="1" collapsed="false">
      <c r="A15" s="226" t="s">
        <v>639</v>
      </c>
      <c r="C15" s="227" t="n">
        <v>0.6</v>
      </c>
      <c r="D15" s="228" t="s">
        <v>640</v>
      </c>
      <c r="I15" s="61" t="s">
        <v>758</v>
      </c>
    </row>
    <row r="16" customFormat="false" ht="15.75" hidden="false" customHeight="true" outlineLevel="1" collapsed="false">
      <c r="A16" s="229" t="s">
        <v>642</v>
      </c>
      <c r="C16" s="230" t="n">
        <v>0.04</v>
      </c>
      <c r="D16" s="231" t="str">
        <f aca="false">D5</f>
        <v>nominell</v>
      </c>
      <c r="I16" s="286" t="s">
        <v>759</v>
      </c>
      <c r="J16" s="286"/>
      <c r="K16" s="286"/>
      <c r="L16" s="286"/>
      <c r="M16" s="286"/>
      <c r="N16" s="286"/>
    </row>
    <row r="17" customFormat="false" ht="15.75" hidden="false" customHeight="true" outlineLevel="0" collapsed="false">
      <c r="A17" s="229" t="s">
        <v>649</v>
      </c>
      <c r="C17" s="235"/>
      <c r="D17" s="235"/>
      <c r="E17" s="222"/>
      <c r="I17" s="286"/>
      <c r="J17" s="286"/>
      <c r="K17" s="286"/>
      <c r="L17" s="286"/>
      <c r="M17" s="286"/>
      <c r="N17" s="286"/>
    </row>
    <row r="18" customFormat="false" ht="15.75" hidden="false" customHeight="true" outlineLevel="0" collapsed="false">
      <c r="A18" s="236"/>
      <c r="C18" s="236"/>
      <c r="D18" s="235"/>
      <c r="E18" s="222"/>
      <c r="I18" s="286"/>
      <c r="J18" s="286"/>
      <c r="K18" s="286"/>
      <c r="L18" s="286"/>
      <c r="M18" s="286"/>
      <c r="N18" s="286"/>
    </row>
    <row r="19" customFormat="false" ht="15.75" hidden="false" customHeight="true" outlineLevel="0" collapsed="false">
      <c r="A19" s="236"/>
      <c r="C19" s="238" t="s">
        <v>651</v>
      </c>
      <c r="D19" s="239" t="s">
        <v>652</v>
      </c>
      <c r="I19" s="286"/>
      <c r="J19" s="286"/>
      <c r="K19" s="286"/>
      <c r="L19" s="286"/>
      <c r="M19" s="286"/>
      <c r="N19" s="286"/>
    </row>
    <row r="20" customFormat="false" ht="15.75" hidden="false" customHeight="true" outlineLevel="0" collapsed="false">
      <c r="A20" s="240" t="s">
        <v>654</v>
      </c>
      <c r="C20" s="241" t="n">
        <v>0</v>
      </c>
      <c r="D20" s="241" t="n">
        <f aca="false">K9</f>
        <v>0</v>
      </c>
      <c r="E20" s="242" t="e">
        <f aca="false">D20+C41-D41</f>
        <v>#DIV/0!</v>
      </c>
      <c r="F20" s="217" t="s">
        <v>655</v>
      </c>
      <c r="I20" s="199"/>
      <c r="J20" s="287"/>
    </row>
    <row r="21" customFormat="false" ht="15.75" hidden="false" customHeight="true" outlineLevel="0" collapsed="false">
      <c r="A21" s="236"/>
      <c r="C21" s="243"/>
      <c r="D21" s="243"/>
      <c r="E21" s="244"/>
      <c r="F21" s="245"/>
      <c r="I21" s="24" t="s">
        <v>760</v>
      </c>
      <c r="J21" s="288"/>
      <c r="K21" s="43" t="n">
        <f aca="false">Normalisering!$I$89</f>
        <v>0</v>
      </c>
    </row>
    <row r="22" customFormat="false" ht="15.75" hidden="false" customHeight="true" outlineLevel="0" collapsed="false">
      <c r="A22" s="220" t="s">
        <v>657</v>
      </c>
      <c r="C22" s="246" t="n">
        <v>0</v>
      </c>
      <c r="D22" s="246" t="n">
        <v>0</v>
      </c>
      <c r="I22" s="24" t="s">
        <v>761</v>
      </c>
      <c r="J22" s="287"/>
      <c r="K22" s="43" t="n">
        <f aca="false">K21+K11</f>
        <v>0</v>
      </c>
    </row>
    <row r="23" customFormat="false" ht="15.75" hidden="true" customHeight="true" outlineLevel="1" collapsed="false">
      <c r="A23" s="220" t="s">
        <v>659</v>
      </c>
      <c r="C23" s="241"/>
      <c r="D23" s="241"/>
      <c r="I23" s="24" t="s">
        <v>762</v>
      </c>
      <c r="J23" s="287"/>
      <c r="K23" s="43" t="n">
        <f aca="false">Mätdata!$D$68</f>
        <v>12193.8</v>
      </c>
    </row>
    <row r="24" customFormat="false" ht="15.75" hidden="true" customHeight="true" outlineLevel="1" collapsed="false">
      <c r="A24" s="220" t="s">
        <v>660</v>
      </c>
      <c r="C24" s="241"/>
      <c r="D24" s="241"/>
      <c r="I24" s="24" t="s">
        <v>763</v>
      </c>
      <c r="J24" s="287"/>
      <c r="K24" s="43" t="n">
        <f aca="false">K23+K12</f>
        <v>12193.8</v>
      </c>
    </row>
    <row r="25" customFormat="false" ht="15.75" hidden="true" customHeight="true" outlineLevel="1" collapsed="false">
      <c r="A25" s="220" t="s">
        <v>661</v>
      </c>
      <c r="C25" s="241"/>
      <c r="D25" s="241"/>
      <c r="I25" s="3" t="s">
        <v>764</v>
      </c>
      <c r="J25" s="287"/>
      <c r="K25" s="43" t="n">
        <f aca="false">-(K11+K12)</f>
        <v>-0</v>
      </c>
    </row>
    <row r="26" customFormat="false" ht="15" hidden="false" customHeight="true" outlineLevel="0" collapsed="false">
      <c r="A26" s="220" t="s">
        <v>662</v>
      </c>
      <c r="C26" s="247"/>
      <c r="D26" s="247"/>
      <c r="I26" s="199"/>
      <c r="J26" s="287"/>
    </row>
    <row r="27" customFormat="false" ht="15.75" hidden="false" customHeight="true" outlineLevel="0" collapsed="false">
      <c r="A27" s="236"/>
      <c r="C27" s="247"/>
      <c r="D27" s="247"/>
      <c r="I27" s="199"/>
      <c r="J27" s="288"/>
    </row>
    <row r="28" customFormat="false" ht="15.75" hidden="false" customHeight="true" outlineLevel="0" collapsed="false">
      <c r="A28" s="224" t="s">
        <v>665</v>
      </c>
      <c r="C28" s="248" t="e">
        <f aca="false">K21/$C$4</f>
        <v>#DIV/0!</v>
      </c>
      <c r="D28" s="248" t="e">
        <f aca="false">K22/$C$4</f>
        <v>#DIV/0!</v>
      </c>
      <c r="I28" s="199"/>
      <c r="K28" s="199"/>
      <c r="L28" s="199"/>
    </row>
    <row r="29" customFormat="false" ht="15.75" hidden="false" customHeight="true" outlineLevel="0" collapsed="false">
      <c r="A29" s="249" t="s">
        <v>667</v>
      </c>
      <c r="C29" s="250" t="e">
        <f aca="false">C28*$C$4*$C$9</f>
        <v>#DIV/0!</v>
      </c>
      <c r="D29" s="250" t="e">
        <f aca="false">D28*$C$4*$C$9</f>
        <v>#DIV/0!</v>
      </c>
      <c r="I29" s="199"/>
    </row>
    <row r="30" customFormat="false" ht="15.75" hidden="false" customHeight="true" outlineLevel="1" collapsed="false">
      <c r="A30" s="224" t="s">
        <v>668</v>
      </c>
      <c r="C30" s="248" t="e">
        <f aca="false">K23/$C$4</f>
        <v>#DIV/0!</v>
      </c>
      <c r="D30" s="248" t="e">
        <f aca="false">K24/$C$4</f>
        <v>#DIV/0!</v>
      </c>
      <c r="I30" s="199"/>
    </row>
    <row r="31" customFormat="false" ht="15.75" hidden="false" customHeight="true" outlineLevel="1" collapsed="false">
      <c r="A31" s="249" t="s">
        <v>670</v>
      </c>
      <c r="C31" s="250" t="e">
        <f aca="false">C30*$C$4*$C$12</f>
        <v>#DIV/0!</v>
      </c>
      <c r="D31" s="250" t="e">
        <f aca="false">D30*$C$4*$C$12</f>
        <v>#DIV/0!</v>
      </c>
    </row>
    <row r="32" customFormat="false" ht="15.75" hidden="false" customHeight="true" outlineLevel="1" collapsed="false">
      <c r="A32" s="224" t="s">
        <v>672</v>
      </c>
      <c r="C32" s="248"/>
      <c r="D32" s="248"/>
    </row>
    <row r="33" customFormat="false" ht="15.75" hidden="false" customHeight="true" outlineLevel="1" collapsed="false">
      <c r="A33" s="249" t="s">
        <v>673</v>
      </c>
      <c r="C33" s="250" t="n">
        <f aca="false">C32*$C$4*$C$15</f>
        <v>0</v>
      </c>
      <c r="D33" s="250" t="n">
        <f aca="false">D32*$C$4*$C$15</f>
        <v>0</v>
      </c>
    </row>
    <row r="34" customFormat="false" ht="15" hidden="false" customHeight="true" outlineLevel="1" collapsed="false">
      <c r="A34" s="236" t="s">
        <v>674</v>
      </c>
      <c r="C34" s="247" t="e">
        <f aca="false">C29+C31+C33</f>
        <v>#DIV/0!</v>
      </c>
      <c r="D34" s="247" t="e">
        <f aca="false">D29+D31+D33</f>
        <v>#DIV/0!</v>
      </c>
      <c r="F34" s="236"/>
    </row>
    <row r="35" customFormat="false" ht="15" hidden="false" customHeight="true" outlineLevel="1" collapsed="false">
      <c r="A35" s="236" t="s">
        <v>675</v>
      </c>
      <c r="C35" s="247" t="e">
        <f aca="false">(C28+C30+C32)*$C$4</f>
        <v>#DIV/0!</v>
      </c>
      <c r="D35" s="247" t="e">
        <f aca="false">(D28+D30+D32)*$C$4</f>
        <v>#DIV/0!</v>
      </c>
      <c r="F35" s="236"/>
    </row>
    <row r="36" customFormat="false" ht="15" hidden="false" customHeight="true" outlineLevel="1" collapsed="false">
      <c r="A36" s="236" t="s">
        <v>676</v>
      </c>
      <c r="C36" s="252" t="e">
        <f aca="false">C34/C35</f>
        <v>#DIV/0!</v>
      </c>
      <c r="D36" s="247"/>
      <c r="F36" s="236"/>
    </row>
    <row r="37" customFormat="false" ht="15" hidden="false" customHeight="true" outlineLevel="0" collapsed="false">
      <c r="A37" s="226" t="s">
        <v>649</v>
      </c>
      <c r="C37" s="247"/>
      <c r="D37" s="247"/>
      <c r="F37" s="236"/>
    </row>
    <row r="38" customFormat="false" ht="15.75" hidden="false" customHeight="true" outlineLevel="0" collapsed="false">
      <c r="A38" s="253"/>
      <c r="C38" s="247"/>
      <c r="D38" s="247"/>
      <c r="F38" s="236"/>
    </row>
    <row r="39" customFormat="false" ht="15" hidden="false" customHeight="true" outlineLevel="0" collapsed="false">
      <c r="A39" s="254" t="s">
        <v>677</v>
      </c>
      <c r="B39" s="255"/>
      <c r="C39" s="256" t="n">
        <f aca="false">C20-PV($C$5-$C$7,$C$6,C22)+C23+C24/(1+$C$5-$C$7)^10+C25/(1+$C$5-$C$7)^20</f>
        <v>0</v>
      </c>
      <c r="D39" s="257" t="n">
        <f aca="false">D20-PV($C$5-$C$7,$C$6,D22)+D23+D24/(1+$C$5-$C$7)^10+D25/(1+$C$5-$C$7)^20</f>
        <v>0</v>
      </c>
      <c r="F39" s="236"/>
    </row>
    <row r="40" customFormat="false" ht="15.75" hidden="false" customHeight="true" outlineLevel="0" collapsed="false">
      <c r="A40" s="258" t="s">
        <v>678</v>
      </c>
      <c r="B40" s="259"/>
      <c r="C40" s="260" t="e">
        <f aca="false">-PV($C$5-$C$10,$C$6,C29)-PV($C$5-$C$13,$C$6,C31)-PV($C$5-$C$16,$C$6,C33)</f>
        <v>#DIV/0!</v>
      </c>
      <c r="D40" s="261" t="e">
        <f aca="false">-PV($C$5-$C$10,$C$6,D29)-PV($C$5-$C$13,$C$6,D31)-PV($C$5-$C$16,$C$6,D33)</f>
        <v>#DIV/0!</v>
      </c>
      <c r="F40" s="236"/>
    </row>
    <row r="41" customFormat="false" ht="15.75" hidden="false" customHeight="true" outlineLevel="0" collapsed="false">
      <c r="A41" s="262" t="s">
        <v>679</v>
      </c>
      <c r="B41" s="263"/>
      <c r="C41" s="264" t="e">
        <f aca="false">C39+C40</f>
        <v>#DIV/0!</v>
      </c>
      <c r="D41" s="265" t="e">
        <f aca="false">D39+D40</f>
        <v>#DIV/0!</v>
      </c>
      <c r="F41" s="236"/>
    </row>
    <row r="42" customFormat="false" ht="15.75" hidden="false" customHeight="true" outlineLevel="0" collapsed="false">
      <c r="A42" s="266"/>
      <c r="B42" s="267"/>
      <c r="C42" s="268" t="s">
        <v>680</v>
      </c>
      <c r="D42" s="269" t="e">
        <f aca="false">C41-D41</f>
        <v>#DIV/0!</v>
      </c>
      <c r="F42" s="236"/>
    </row>
    <row r="43" s="236" customFormat="true" ht="12.75" hidden="false" customHeight="true" outlineLevel="0" collapsed="false">
      <c r="A43" s="270" t="s">
        <v>681</v>
      </c>
      <c r="B43" s="271"/>
      <c r="C43" s="272" t="str">
        <f aca="false">IFERROR((D39-C39)/(C40-D40)*C36,"")</f>
        <v/>
      </c>
      <c r="D43" s="273" t="e">
        <f aca="false">IF($D42&gt;0,"LÖNSAMT","EJ LÖNSAMT")</f>
        <v>#DIV/0!</v>
      </c>
    </row>
    <row r="44" customFormat="false" ht="15.75" hidden="false" customHeight="true" outlineLevel="0" collapsed="false">
      <c r="A44" s="274" t="s">
        <v>682</v>
      </c>
      <c r="B44" s="185"/>
      <c r="C44" s="275" t="e">
        <f aca="false">C36</f>
        <v>#DIV/0!</v>
      </c>
      <c r="D44" s="276"/>
      <c r="F44" s="236"/>
    </row>
    <row r="45" customFormat="false" ht="15" hidden="false" customHeight="true" outlineLevel="0" collapsed="false">
      <c r="C45" s="247"/>
      <c r="D45" s="247"/>
      <c r="F45" s="236"/>
    </row>
    <row r="46" customFormat="false" ht="15.75" hidden="false" customHeight="true" outlineLevel="0" collapsed="false">
      <c r="D46" s="277"/>
    </row>
    <row r="47" customFormat="false" ht="15.75" hidden="false" customHeight="true" outlineLevel="0" collapsed="false">
      <c r="A47" s="278" t="s">
        <v>683</v>
      </c>
      <c r="B47" s="279"/>
      <c r="D47" s="280" t="s">
        <v>684</v>
      </c>
    </row>
    <row r="49" customFormat="false" ht="15" hidden="false" customHeight="true" outlineLevel="0" collapsed="false">
      <c r="F49" s="222"/>
    </row>
  </sheetData>
  <mergeCells count="3">
    <mergeCell ref="C2:D2"/>
    <mergeCell ref="I7:L7"/>
    <mergeCell ref="I16:N19"/>
  </mergeCells>
  <dataValidations count="1">
    <dataValidation allowBlank="false" errorStyle="stop" operator="between" showDropDown="false" showErrorMessage="false" showInputMessage="false" sqref="B2" type="list">
      <formula1>"Ja,Nej"</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C13" activeCellId="0" sqref="C13"/>
    </sheetView>
  </sheetViews>
  <sheetFormatPr defaultColWidth="8.7109375" defaultRowHeight="15" zeroHeight="false" outlineLevelRow="0" outlineLevelCol="0"/>
  <cols>
    <col collapsed="false" customWidth="true" hidden="false" outlineLevel="0" max="1" min="1" style="1" width="38.57"/>
    <col collapsed="false" customWidth="true" hidden="false" outlineLevel="0" max="2" min="2" style="1" width="67.28"/>
    <col collapsed="false" customWidth="true" hidden="false" outlineLevel="0" max="3" min="3" style="1" width="74"/>
    <col collapsed="false" customWidth="true" hidden="false" outlineLevel="0" max="4" min="4" style="1" width="37.87"/>
    <col collapsed="false" customWidth="true" hidden="false" outlineLevel="0" max="5" min="5" style="1" width="32.28"/>
  </cols>
  <sheetData>
    <row r="1" customFormat="false" ht="30" hidden="false" customHeight="true" outlineLevel="0" collapsed="false">
      <c r="A1" s="237" t="s">
        <v>765</v>
      </c>
      <c r="B1" s="289" t="s">
        <v>766</v>
      </c>
    </row>
    <row r="3" customFormat="false" ht="122.25" hidden="false" customHeight="true" outlineLevel="0" collapsed="false">
      <c r="A3" s="237" t="s">
        <v>147</v>
      </c>
      <c r="B3" s="199" t="s">
        <v>767</v>
      </c>
    </row>
    <row r="5" customFormat="false" ht="15" hidden="false" customHeight="true" outlineLevel="0" collapsed="false">
      <c r="B5" s="237" t="s">
        <v>768</v>
      </c>
      <c r="C5" s="237" t="s">
        <v>769</v>
      </c>
      <c r="D5" s="199" t="s">
        <v>770</v>
      </c>
      <c r="E5" s="199" t="s">
        <v>771</v>
      </c>
    </row>
    <row r="6" customFormat="false" ht="108" hidden="false" customHeight="true" outlineLevel="0" collapsed="false">
      <c r="A6" s="237" t="s">
        <v>772</v>
      </c>
      <c r="B6" s="289" t="s">
        <v>773</v>
      </c>
      <c r="D6" s="289" t="s">
        <v>774</v>
      </c>
    </row>
    <row r="7" customFormat="false" ht="65.25" hidden="false" customHeight="true" outlineLevel="0" collapsed="false">
      <c r="A7" s="237" t="s">
        <v>775</v>
      </c>
      <c r="B7" s="289" t="s">
        <v>648</v>
      </c>
      <c r="C7" s="289" t="s">
        <v>776</v>
      </c>
      <c r="D7" s="289" t="s">
        <v>777</v>
      </c>
    </row>
    <row r="8" customFormat="false" ht="93" hidden="false" customHeight="true" outlineLevel="0" collapsed="false">
      <c r="A8" s="237" t="s">
        <v>778</v>
      </c>
      <c r="B8" s="289" t="s">
        <v>692</v>
      </c>
      <c r="D8" s="289" t="s">
        <v>779</v>
      </c>
    </row>
    <row r="9" customFormat="false" ht="34.5" hidden="false" customHeight="true" outlineLevel="0" collapsed="false">
      <c r="A9" s="237" t="s">
        <v>780</v>
      </c>
      <c r="B9" s="199" t="s">
        <v>781</v>
      </c>
      <c r="D9" s="289" t="s">
        <v>782</v>
      </c>
    </row>
    <row r="10" customFormat="false" ht="40.5" hidden="false" customHeight="true" outlineLevel="0" collapsed="false">
      <c r="A10" s="237" t="s">
        <v>783</v>
      </c>
      <c r="B10" s="199" t="s">
        <v>784</v>
      </c>
      <c r="D10" s="289" t="s">
        <v>785</v>
      </c>
    </row>
    <row r="11" customFormat="false" ht="96.75" hidden="false" customHeight="true" outlineLevel="0" collapsed="false">
      <c r="A11" s="237" t="s">
        <v>685</v>
      </c>
      <c r="B11" s="289" t="s">
        <v>687</v>
      </c>
      <c r="C11" s="289" t="s">
        <v>786</v>
      </c>
      <c r="D11" s="289" t="s">
        <v>787</v>
      </c>
    </row>
    <row r="12" customFormat="false" ht="52.5" hidden="false" customHeight="true" outlineLevel="0" collapsed="false">
      <c r="A12" s="237" t="s">
        <v>788</v>
      </c>
      <c r="B12" s="289" t="s">
        <v>696</v>
      </c>
      <c r="D12" s="289" t="s">
        <v>789</v>
      </c>
    </row>
    <row r="13" customFormat="false" ht="60" hidden="false" customHeight="true" outlineLevel="0" collapsed="false">
      <c r="A13" s="237" t="s">
        <v>710</v>
      </c>
      <c r="B13" s="289" t="s">
        <v>790</v>
      </c>
      <c r="D13" s="289" t="s">
        <v>789</v>
      </c>
    </row>
    <row r="14" customFormat="false" ht="52.5" hidden="false" customHeight="true" outlineLevel="0" collapsed="false">
      <c r="A14" s="237" t="s">
        <v>620</v>
      </c>
      <c r="B14" s="289" t="s">
        <v>791</v>
      </c>
      <c r="D14" s="289" t="s">
        <v>792</v>
      </c>
    </row>
    <row r="15" customFormat="false" ht="52.5" hidden="false" customHeight="true" outlineLevel="0" collapsed="false">
      <c r="A15" s="237" t="s">
        <v>793</v>
      </c>
      <c r="B15" s="289" t="s">
        <v>794</v>
      </c>
      <c r="D15" s="289" t="s">
        <v>795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15" activeCellId="0" sqref="H115"/>
    </sheetView>
  </sheetViews>
  <sheetFormatPr defaultColWidth="8.7109375" defaultRowHeight="15" zeroHeight="false" outlineLevelRow="0" outlineLevelCol="0"/>
  <cols>
    <col collapsed="false" customWidth="true" hidden="false" outlineLevel="0" max="1" min="1" style="1" width="40"/>
    <col collapsed="false" customWidth="true" hidden="false" outlineLevel="0" max="19" min="2" style="1" width="9"/>
    <col collapsed="false" customWidth="true" hidden="false" outlineLevel="0" max="26" min="21" style="1" width="28"/>
  </cols>
  <sheetData>
    <row r="1" customFormat="false" ht="21.75" hidden="false" customHeight="true" outlineLevel="0" collapsed="false">
      <c r="A1" s="2" t="s">
        <v>796</v>
      </c>
    </row>
    <row r="2" customFormat="false" ht="15" hidden="false" customHeight="true" outlineLevel="0" collapsed="false">
      <c r="A2" s="32" t="s">
        <v>797</v>
      </c>
    </row>
    <row r="3" customFormat="false" ht="15" hidden="false" customHeight="true" outlineLevel="0" collapsed="false">
      <c r="A3" s="3" t="s">
        <v>798</v>
      </c>
    </row>
    <row r="4" customFormat="false" ht="15" hidden="false" customHeight="true" outlineLevel="0" collapsed="false">
      <c r="A4" s="24" t="s">
        <v>615</v>
      </c>
      <c r="B4" s="290" t="n">
        <v>1.8</v>
      </c>
      <c r="U4" s="3" t="s">
        <v>140</v>
      </c>
      <c r="V4" s="3" t="s">
        <v>141</v>
      </c>
      <c r="W4" s="3" t="s">
        <v>142</v>
      </c>
      <c r="X4" s="3" t="s">
        <v>799</v>
      </c>
      <c r="Y4" s="3" t="s">
        <v>579</v>
      </c>
      <c r="Z4" s="3" t="s">
        <v>800</v>
      </c>
    </row>
    <row r="5" customFormat="false" ht="15" hidden="false" customHeight="true" outlineLevel="0" collapsed="false">
      <c r="A5" s="24" t="s">
        <v>174</v>
      </c>
      <c r="B5" s="290" t="n">
        <v>0.7</v>
      </c>
      <c r="U5" s="1" t="s">
        <v>174</v>
      </c>
      <c r="V5" s="1" t="s">
        <v>801</v>
      </c>
      <c r="W5" s="1" t="s">
        <v>802</v>
      </c>
      <c r="X5" s="1" t="s">
        <v>412</v>
      </c>
      <c r="Y5" s="1" t="s">
        <v>187</v>
      </c>
      <c r="Z5" s="1" t="s">
        <v>203</v>
      </c>
    </row>
    <row r="6" customFormat="false" ht="15" hidden="false" customHeight="true" outlineLevel="0" collapsed="false">
      <c r="A6" s="24" t="s">
        <v>449</v>
      </c>
      <c r="B6" s="290" t="n">
        <v>0.6</v>
      </c>
      <c r="U6" s="1" t="s">
        <v>615</v>
      </c>
      <c r="V6" s="1" t="s">
        <v>193</v>
      </c>
      <c r="W6" s="1" t="s">
        <v>53</v>
      </c>
      <c r="X6" s="1" t="s">
        <v>623</v>
      </c>
      <c r="Y6" s="1" t="s">
        <v>803</v>
      </c>
      <c r="Z6" s="1" t="s">
        <v>804</v>
      </c>
    </row>
    <row r="7" customFormat="false" ht="15" hidden="false" customHeight="true" outlineLevel="0" collapsed="false">
      <c r="A7" s="24" t="s">
        <v>805</v>
      </c>
      <c r="B7" s="290" t="n">
        <v>0.6</v>
      </c>
      <c r="U7" s="1" t="s">
        <v>179</v>
      </c>
      <c r="V7" s="1" t="s">
        <v>177</v>
      </c>
      <c r="W7" s="1" t="s">
        <v>54</v>
      </c>
    </row>
    <row r="8" customFormat="false" ht="15" hidden="false" customHeight="true" outlineLevel="0" collapsed="false">
      <c r="A8" s="24" t="s">
        <v>806</v>
      </c>
      <c r="B8" s="290" t="n">
        <v>1.8</v>
      </c>
      <c r="U8" s="1" t="s">
        <v>180</v>
      </c>
      <c r="V8" s="1" t="s">
        <v>807</v>
      </c>
      <c r="W8" s="1" t="s">
        <v>55</v>
      </c>
    </row>
    <row r="9" customFormat="false" ht="15" hidden="false" customHeight="true" outlineLevel="0" collapsed="false">
      <c r="U9" s="1" t="s">
        <v>181</v>
      </c>
      <c r="V9" s="1" t="s">
        <v>196</v>
      </c>
      <c r="W9" s="1" t="s">
        <v>56</v>
      </c>
    </row>
    <row r="10" customFormat="false" ht="15" hidden="false" customHeight="true" outlineLevel="0" collapsed="false">
      <c r="A10" s="3" t="s">
        <v>808</v>
      </c>
      <c r="U10" s="1" t="s">
        <v>183</v>
      </c>
      <c r="V10" s="1" t="s">
        <v>23</v>
      </c>
      <c r="W10" s="1" t="s">
        <v>57</v>
      </c>
    </row>
    <row r="11" customFormat="false" ht="25.5" hidden="false" customHeight="true" outlineLevel="0" collapsed="false">
      <c r="A11" s="38" t="s">
        <v>17</v>
      </c>
      <c r="B11" s="38" t="s">
        <v>809</v>
      </c>
      <c r="C11" s="38" t="s">
        <v>810</v>
      </c>
      <c r="D11" s="38" t="s">
        <v>811</v>
      </c>
      <c r="E11" s="38" t="s">
        <v>812</v>
      </c>
      <c r="F11" s="38" t="s">
        <v>813</v>
      </c>
      <c r="G11" s="38" t="s">
        <v>814</v>
      </c>
      <c r="H11" s="38" t="s">
        <v>815</v>
      </c>
      <c r="I11" s="38" t="s">
        <v>816</v>
      </c>
      <c r="J11" s="38" t="s">
        <v>817</v>
      </c>
      <c r="K11" s="38" t="s">
        <v>818</v>
      </c>
      <c r="L11" s="38" t="s">
        <v>819</v>
      </c>
      <c r="M11" s="38" t="s">
        <v>820</v>
      </c>
      <c r="N11" s="38" t="s">
        <v>821</v>
      </c>
      <c r="O11" s="38" t="s">
        <v>822</v>
      </c>
      <c r="P11" s="38" t="s">
        <v>823</v>
      </c>
      <c r="Q11" s="38" t="s">
        <v>824</v>
      </c>
      <c r="R11" s="38" t="s">
        <v>825</v>
      </c>
      <c r="S11" s="38" t="s">
        <v>826</v>
      </c>
      <c r="U11" s="1" t="s">
        <v>184</v>
      </c>
      <c r="V11" s="1" t="s">
        <v>451</v>
      </c>
      <c r="W11" s="1" t="s">
        <v>58</v>
      </c>
    </row>
    <row r="12" customFormat="false" ht="15" hidden="false" customHeight="true" outlineLevel="0" collapsed="false">
      <c r="A12" s="291" t="s">
        <v>62</v>
      </c>
      <c r="B12" s="291" t="n">
        <v>21</v>
      </c>
      <c r="C12" s="292" t="n">
        <v>0.35</v>
      </c>
      <c r="D12" s="291" t="n">
        <v>3.7</v>
      </c>
      <c r="E12" s="291" t="n">
        <v>25</v>
      </c>
      <c r="F12" s="291" t="n">
        <v>39</v>
      </c>
      <c r="G12" s="291" t="n">
        <v>29</v>
      </c>
      <c r="H12" s="291" t="n">
        <v>41</v>
      </c>
      <c r="I12" s="291" t="n">
        <v>42</v>
      </c>
      <c r="J12" s="291" t="n">
        <v>44</v>
      </c>
      <c r="K12" s="291" t="n">
        <v>54</v>
      </c>
      <c r="L12" s="291" t="n">
        <v>46</v>
      </c>
      <c r="M12" s="291" t="n">
        <v>66</v>
      </c>
      <c r="N12" s="291" t="n">
        <v>48</v>
      </c>
      <c r="O12" s="291" t="n">
        <v>79</v>
      </c>
      <c r="P12" s="291" t="n">
        <v>51</v>
      </c>
      <c r="Q12" s="291" t="n">
        <v>93</v>
      </c>
      <c r="R12" s="291" t="n">
        <v>40</v>
      </c>
      <c r="S12" s="291" t="n">
        <v>35</v>
      </c>
      <c r="U12" s="1" t="s">
        <v>449</v>
      </c>
    </row>
    <row r="13" customFormat="false" ht="15" hidden="false" customHeight="true" outlineLevel="0" collapsed="false">
      <c r="A13" s="291" t="s">
        <v>827</v>
      </c>
      <c r="B13" s="291" t="n">
        <v>21</v>
      </c>
      <c r="C13" s="292" t="n">
        <v>0.35</v>
      </c>
      <c r="D13" s="291" t="n">
        <v>3.7</v>
      </c>
      <c r="E13" s="291" t="n">
        <v>20</v>
      </c>
      <c r="F13" s="291" t="n">
        <v>18</v>
      </c>
      <c r="G13" s="291" t="n">
        <v>72</v>
      </c>
      <c r="H13" s="291" t="n">
        <v>23</v>
      </c>
      <c r="I13" s="291" t="n">
        <v>96</v>
      </c>
      <c r="J13" s="291" t="n">
        <v>27</v>
      </c>
      <c r="K13" s="291" t="n">
        <v>121</v>
      </c>
      <c r="L13" s="291" t="n">
        <v>31</v>
      </c>
      <c r="M13" s="291" t="n">
        <v>145</v>
      </c>
      <c r="N13" s="291" t="n">
        <v>36</v>
      </c>
      <c r="O13" s="291" t="n">
        <v>169</v>
      </c>
      <c r="P13" s="291" t="n">
        <v>41</v>
      </c>
      <c r="Q13" s="291" t="n">
        <v>198</v>
      </c>
      <c r="R13" s="291" t="n">
        <v>20</v>
      </c>
      <c r="S13" s="291" t="n">
        <v>80</v>
      </c>
    </row>
    <row r="14" customFormat="false" ht="15" hidden="false" customHeight="true" outlineLevel="0" collapsed="false">
      <c r="A14" s="291" t="s">
        <v>419</v>
      </c>
      <c r="B14" s="291" t="n">
        <v>21</v>
      </c>
      <c r="C14" s="292" t="n">
        <v>0.35</v>
      </c>
      <c r="D14" s="291" t="n">
        <v>3.7</v>
      </c>
      <c r="E14" s="291" t="n">
        <v>20</v>
      </c>
      <c r="F14" s="291" t="n">
        <v>18</v>
      </c>
      <c r="G14" s="291" t="n">
        <v>68</v>
      </c>
      <c r="H14" s="291" t="n">
        <v>21</v>
      </c>
      <c r="I14" s="291" t="n">
        <v>89</v>
      </c>
      <c r="J14" s="291" t="n">
        <v>25</v>
      </c>
      <c r="K14" s="291" t="n">
        <v>109</v>
      </c>
      <c r="L14" s="291" t="n">
        <v>29</v>
      </c>
      <c r="M14" s="291" t="n">
        <v>129</v>
      </c>
      <c r="N14" s="291" t="n">
        <v>32</v>
      </c>
      <c r="O14" s="291" t="n">
        <v>150</v>
      </c>
      <c r="P14" s="291" t="n">
        <v>37</v>
      </c>
      <c r="Q14" s="291" t="n">
        <v>176</v>
      </c>
      <c r="R14" s="291" t="n">
        <v>19</v>
      </c>
      <c r="S14" s="291" t="n">
        <v>76</v>
      </c>
    </row>
    <row r="15" customFormat="false" ht="15" hidden="false" customHeight="true" outlineLevel="0" collapsed="false">
      <c r="A15" s="291" t="s">
        <v>828</v>
      </c>
      <c r="B15" s="291" t="n">
        <v>21</v>
      </c>
      <c r="C15" s="292" t="n">
        <v>0.35</v>
      </c>
      <c r="D15" s="291" t="n">
        <v>3.7</v>
      </c>
      <c r="E15" s="291" t="n">
        <v>20</v>
      </c>
      <c r="F15" s="291" t="n">
        <v>17</v>
      </c>
      <c r="G15" s="291" t="n">
        <v>64</v>
      </c>
      <c r="H15" s="291" t="n">
        <v>20</v>
      </c>
      <c r="I15" s="291" t="n">
        <v>80</v>
      </c>
      <c r="J15" s="291" t="n">
        <v>23</v>
      </c>
      <c r="K15" s="291" t="n">
        <v>96</v>
      </c>
      <c r="L15" s="291" t="n">
        <v>26</v>
      </c>
      <c r="M15" s="291" t="n">
        <v>112</v>
      </c>
      <c r="N15" s="291" t="n">
        <v>28</v>
      </c>
      <c r="O15" s="291" t="n">
        <v>129</v>
      </c>
      <c r="P15" s="291" t="n">
        <v>33</v>
      </c>
      <c r="Q15" s="291" t="n">
        <v>151</v>
      </c>
      <c r="R15" s="291" t="n">
        <v>18</v>
      </c>
      <c r="S15" s="291" t="n">
        <v>72</v>
      </c>
    </row>
    <row r="16" customFormat="false" ht="15" hidden="false" customHeight="true" outlineLevel="0" collapsed="false">
      <c r="A16" s="291" t="s">
        <v>68</v>
      </c>
      <c r="B16" s="291" t="n">
        <v>21</v>
      </c>
      <c r="C16" s="292" t="n">
        <v>0.43</v>
      </c>
      <c r="D16" s="291" t="n">
        <v>4.6</v>
      </c>
      <c r="E16" s="291" t="n">
        <v>4</v>
      </c>
      <c r="F16" s="291" t="n">
        <v>27</v>
      </c>
      <c r="G16" s="291" t="n">
        <v>41</v>
      </c>
      <c r="H16" s="291" t="n">
        <v>34</v>
      </c>
      <c r="I16" s="291" t="n">
        <v>59</v>
      </c>
      <c r="J16" s="291" t="n">
        <v>40</v>
      </c>
      <c r="K16" s="291" t="n">
        <v>78</v>
      </c>
      <c r="L16" s="291" t="n">
        <v>47</v>
      </c>
      <c r="M16" s="291" t="n">
        <v>95</v>
      </c>
      <c r="N16" s="291" t="n">
        <v>53</v>
      </c>
      <c r="O16" s="291" t="n">
        <v>114</v>
      </c>
      <c r="P16" s="291" t="n">
        <v>62</v>
      </c>
      <c r="Q16" s="291" t="n">
        <v>142</v>
      </c>
      <c r="R16" s="291" t="n">
        <v>29</v>
      </c>
      <c r="S16" s="291" t="n">
        <v>46</v>
      </c>
    </row>
    <row r="17" customFormat="false" ht="15" hidden="false" customHeight="true" outlineLevel="0" collapsed="false">
      <c r="A17" s="291" t="s">
        <v>69</v>
      </c>
      <c r="B17" s="291" t="n">
        <v>21</v>
      </c>
      <c r="C17" s="292" t="n">
        <v>0.84</v>
      </c>
      <c r="D17" s="291" t="n">
        <v>5.4</v>
      </c>
      <c r="E17" s="291" t="n">
        <v>7</v>
      </c>
      <c r="F17" s="291" t="n">
        <v>36</v>
      </c>
      <c r="G17" s="291" t="n">
        <v>38</v>
      </c>
      <c r="H17" s="291" t="n">
        <v>42</v>
      </c>
      <c r="I17" s="291" t="n">
        <v>59</v>
      </c>
      <c r="J17" s="291" t="n">
        <v>47</v>
      </c>
      <c r="K17" s="291" t="n">
        <v>82</v>
      </c>
      <c r="L17" s="291" t="n">
        <v>53</v>
      </c>
      <c r="M17" s="291" t="n">
        <v>103</v>
      </c>
      <c r="N17" s="291" t="n">
        <v>59</v>
      </c>
      <c r="O17" s="291" t="n">
        <v>124</v>
      </c>
      <c r="P17" s="291" t="n">
        <v>68</v>
      </c>
      <c r="Q17" s="291" t="n">
        <v>161</v>
      </c>
      <c r="R17" s="291" t="n">
        <v>38</v>
      </c>
      <c r="S17" s="291" t="n">
        <v>44</v>
      </c>
    </row>
    <row r="18" customFormat="false" ht="15" hidden="false" customHeight="true" outlineLevel="0" collapsed="false">
      <c r="A18" s="291" t="s">
        <v>70</v>
      </c>
      <c r="B18" s="291" t="n">
        <v>22</v>
      </c>
      <c r="C18" s="292" t="n">
        <v>1.8</v>
      </c>
      <c r="D18" s="291" t="n">
        <v>7.3</v>
      </c>
      <c r="E18" s="291" t="n">
        <v>17</v>
      </c>
      <c r="F18" s="291" t="n">
        <v>74</v>
      </c>
      <c r="G18" s="291" t="n">
        <v>37</v>
      </c>
      <c r="H18" s="291" t="n">
        <v>81</v>
      </c>
      <c r="I18" s="291" t="n">
        <v>50</v>
      </c>
      <c r="J18" s="291" t="n">
        <v>88</v>
      </c>
      <c r="K18" s="291" t="n">
        <v>63</v>
      </c>
      <c r="L18" s="291" t="n">
        <v>95</v>
      </c>
      <c r="M18" s="291" t="n">
        <v>76</v>
      </c>
      <c r="N18" s="291" t="n">
        <v>102</v>
      </c>
      <c r="O18" s="291" t="n">
        <v>89</v>
      </c>
      <c r="P18" s="291" t="n">
        <v>118</v>
      </c>
      <c r="Q18" s="291" t="n">
        <v>120</v>
      </c>
      <c r="R18" s="291" t="n">
        <v>78</v>
      </c>
      <c r="S18" s="291" t="n">
        <v>45</v>
      </c>
    </row>
    <row r="19" customFormat="false" ht="15" hidden="false" customHeight="true" outlineLevel="0" collapsed="false">
      <c r="A19" s="291" t="s">
        <v>71</v>
      </c>
      <c r="B19" s="291" t="n">
        <v>22</v>
      </c>
      <c r="C19" s="292" t="n">
        <v>1.4</v>
      </c>
      <c r="D19" s="291" t="n">
        <v>7</v>
      </c>
      <c r="E19" s="291" t="n">
        <v>24</v>
      </c>
      <c r="F19" s="291" t="n">
        <v>70</v>
      </c>
      <c r="G19" s="291" t="n">
        <v>22</v>
      </c>
      <c r="H19" s="291" t="n">
        <v>78</v>
      </c>
      <c r="I19" s="291" t="n">
        <v>53</v>
      </c>
      <c r="J19" s="291" t="n">
        <v>87</v>
      </c>
      <c r="K19" s="291" t="n">
        <v>83</v>
      </c>
      <c r="L19" s="291" t="n">
        <v>95</v>
      </c>
      <c r="M19" s="291" t="n">
        <v>114</v>
      </c>
      <c r="N19" s="291" t="n">
        <v>104</v>
      </c>
      <c r="O19" s="291" t="n">
        <v>144</v>
      </c>
      <c r="P19" s="291" t="n">
        <v>116</v>
      </c>
      <c r="Q19" s="291" t="n">
        <v>185</v>
      </c>
      <c r="R19" s="291" t="n">
        <v>72</v>
      </c>
      <c r="S19" s="291" t="n">
        <v>30</v>
      </c>
    </row>
    <row r="20" customFormat="false" ht="15" hidden="false" customHeight="true" outlineLevel="0" collapsed="false">
      <c r="A20" s="291" t="s">
        <v>72</v>
      </c>
      <c r="B20" s="291" t="n">
        <v>20</v>
      </c>
      <c r="C20" s="292" t="n">
        <v>0.88</v>
      </c>
      <c r="D20" s="291" t="n">
        <v>7.1</v>
      </c>
      <c r="E20" s="291" t="n">
        <v>17</v>
      </c>
      <c r="F20" s="291" t="n">
        <v>40</v>
      </c>
      <c r="G20" s="291" t="n">
        <v>41</v>
      </c>
      <c r="H20" s="291" t="n">
        <v>46</v>
      </c>
      <c r="I20" s="291" t="n">
        <v>68</v>
      </c>
      <c r="J20" s="291" t="n">
        <v>53</v>
      </c>
      <c r="K20" s="291" t="n">
        <v>93</v>
      </c>
      <c r="L20" s="291" t="n">
        <v>59</v>
      </c>
      <c r="M20" s="291" t="n">
        <v>120</v>
      </c>
      <c r="N20" s="291" t="n">
        <v>66</v>
      </c>
      <c r="O20" s="291" t="n">
        <v>145</v>
      </c>
      <c r="P20" s="291" t="n">
        <v>75</v>
      </c>
      <c r="Q20" s="291" t="n">
        <v>185</v>
      </c>
      <c r="R20" s="291" t="n">
        <v>42</v>
      </c>
      <c r="S20" s="291" t="n">
        <v>48</v>
      </c>
    </row>
    <row r="21" customFormat="false" ht="15" hidden="false" customHeight="true" outlineLevel="0" collapsed="false">
      <c r="A21" s="291" t="s">
        <v>73</v>
      </c>
      <c r="B21" s="291" t="n">
        <v>20</v>
      </c>
      <c r="C21" s="292" t="n">
        <v>1.1</v>
      </c>
      <c r="D21" s="291" t="n">
        <v>7.9</v>
      </c>
      <c r="E21" s="291" t="n">
        <v>10</v>
      </c>
      <c r="F21" s="291" t="n">
        <v>55</v>
      </c>
      <c r="G21" s="291" t="n">
        <v>34</v>
      </c>
      <c r="H21" s="291" t="n">
        <v>62</v>
      </c>
      <c r="I21" s="291" t="n">
        <v>49</v>
      </c>
      <c r="J21" s="291" t="n">
        <v>69</v>
      </c>
      <c r="K21" s="291" t="n">
        <v>64</v>
      </c>
      <c r="L21" s="291" t="n">
        <v>76</v>
      </c>
      <c r="M21" s="291" t="n">
        <v>78</v>
      </c>
      <c r="N21" s="291" t="n">
        <v>82</v>
      </c>
      <c r="O21" s="291" t="n">
        <v>94</v>
      </c>
      <c r="P21" s="291" t="n">
        <v>95</v>
      </c>
      <c r="Q21" s="291" t="n">
        <v>122</v>
      </c>
      <c r="R21" s="291" t="n">
        <v>58</v>
      </c>
      <c r="S21" s="291" t="n">
        <v>41</v>
      </c>
    </row>
    <row r="22" customFormat="false" ht="15" hidden="false" customHeight="true" outlineLevel="0" collapsed="false">
      <c r="A22" s="291" t="s">
        <v>74</v>
      </c>
      <c r="B22" s="291" t="n">
        <v>15</v>
      </c>
      <c r="C22" s="292" t="n">
        <v>0.1</v>
      </c>
      <c r="D22" s="291" t="n">
        <v>2.1</v>
      </c>
      <c r="E22" s="291" t="n">
        <v>5</v>
      </c>
      <c r="F22" s="291" t="n">
        <v>15</v>
      </c>
      <c r="G22" s="291" t="n">
        <v>25</v>
      </c>
      <c r="H22" s="291" t="n">
        <v>22</v>
      </c>
      <c r="I22" s="291" t="n">
        <v>55</v>
      </c>
      <c r="J22" s="291" t="n">
        <v>29</v>
      </c>
      <c r="K22" s="291" t="n">
        <v>85</v>
      </c>
      <c r="L22" s="291" t="n">
        <v>37</v>
      </c>
      <c r="M22" s="291" t="n">
        <v>113</v>
      </c>
      <c r="N22" s="291" t="n">
        <v>44</v>
      </c>
      <c r="O22" s="291" t="n">
        <v>143</v>
      </c>
      <c r="P22" s="291" t="n">
        <v>54</v>
      </c>
      <c r="Q22" s="291" t="n">
        <v>185</v>
      </c>
      <c r="R22" s="291" t="n">
        <v>16</v>
      </c>
      <c r="S22" s="291" t="n">
        <v>28</v>
      </c>
    </row>
    <row r="24" customFormat="false" ht="15" hidden="false" customHeight="true" outlineLevel="0" collapsed="false">
      <c r="A24" s="3" t="s">
        <v>61</v>
      </c>
    </row>
    <row r="25" customFormat="false" ht="15" hidden="false" customHeight="true" outlineLevel="0" collapsed="false">
      <c r="A25" s="24" t="s">
        <v>62</v>
      </c>
    </row>
    <row r="26" customFormat="false" ht="15" hidden="false" customHeight="true" outlineLevel="0" collapsed="false">
      <c r="A26" s="24" t="s">
        <v>486</v>
      </c>
    </row>
    <row r="28" customFormat="false" ht="15" hidden="false" customHeight="true" outlineLevel="0" collapsed="false">
      <c r="A28" s="3" t="s">
        <v>829</v>
      </c>
    </row>
    <row r="29" customFormat="false" ht="15" hidden="false" customHeight="true" outlineLevel="0" collapsed="false">
      <c r="A29" s="3" t="s">
        <v>47</v>
      </c>
      <c r="B29" s="3" t="s">
        <v>830</v>
      </c>
    </row>
    <row r="30" customFormat="false" ht="15" hidden="false" customHeight="true" outlineLevel="0" collapsed="false">
      <c r="A30" s="1" t="s">
        <v>831</v>
      </c>
      <c r="B30" s="194" t="n">
        <v>0.9</v>
      </c>
    </row>
    <row r="31" customFormat="false" ht="15" hidden="false" customHeight="true" outlineLevel="0" collapsed="false">
      <c r="A31" s="1" t="s">
        <v>832</v>
      </c>
      <c r="B31" s="194" t="n">
        <v>1</v>
      </c>
    </row>
    <row r="32" customFormat="false" ht="15" hidden="false" customHeight="true" outlineLevel="0" collapsed="false">
      <c r="A32" s="1" t="s">
        <v>833</v>
      </c>
      <c r="B32" s="194" t="n">
        <v>1</v>
      </c>
    </row>
    <row r="33" customFormat="false" ht="15" hidden="false" customHeight="true" outlineLevel="0" collapsed="false">
      <c r="A33" s="1" t="s">
        <v>834</v>
      </c>
      <c r="B33" s="194" t="n">
        <v>1</v>
      </c>
    </row>
    <row r="34" customFormat="false" ht="15" hidden="false" customHeight="true" outlineLevel="0" collapsed="false">
      <c r="A34" s="1" t="s">
        <v>835</v>
      </c>
      <c r="B34" s="194" t="n">
        <v>1</v>
      </c>
    </row>
    <row r="35" customFormat="false" ht="15" hidden="false" customHeight="true" outlineLevel="0" collapsed="false">
      <c r="A35" s="1" t="s">
        <v>836</v>
      </c>
      <c r="B35" s="194" t="n">
        <v>1.7</v>
      </c>
    </row>
    <row r="36" customFormat="false" ht="15" hidden="false" customHeight="true" outlineLevel="0" collapsed="false">
      <c r="A36" s="1" t="s">
        <v>837</v>
      </c>
      <c r="B36" s="194" t="n">
        <v>1.6</v>
      </c>
    </row>
    <row r="37" customFormat="false" ht="15" hidden="false" customHeight="true" outlineLevel="0" collapsed="false">
      <c r="A37" s="1" t="s">
        <v>838</v>
      </c>
      <c r="B37" s="194" t="n">
        <v>1.1</v>
      </c>
    </row>
    <row r="38" customFormat="false" ht="15" hidden="false" customHeight="true" outlineLevel="0" collapsed="false">
      <c r="A38" s="1" t="s">
        <v>839</v>
      </c>
      <c r="B38" s="194" t="n">
        <v>1</v>
      </c>
    </row>
    <row r="39" customFormat="false" ht="15" hidden="false" customHeight="true" outlineLevel="0" collapsed="false">
      <c r="A39" s="1" t="s">
        <v>840</v>
      </c>
      <c r="B39" s="194" t="n">
        <v>1.1</v>
      </c>
    </row>
    <row r="40" customFormat="false" ht="15" hidden="false" customHeight="true" outlineLevel="0" collapsed="false">
      <c r="A40" s="1" t="s">
        <v>841</v>
      </c>
      <c r="B40" s="194" t="n">
        <v>1</v>
      </c>
    </row>
    <row r="41" customFormat="false" ht="15" hidden="false" customHeight="true" outlineLevel="0" collapsed="false">
      <c r="A41" s="1" t="s">
        <v>842</v>
      </c>
      <c r="B41" s="194" t="n">
        <v>1.4</v>
      </c>
    </row>
    <row r="42" customFormat="false" ht="15" hidden="false" customHeight="true" outlineLevel="0" collapsed="false">
      <c r="A42" s="1" t="s">
        <v>843</v>
      </c>
      <c r="B42" s="194" t="n">
        <v>1.4</v>
      </c>
    </row>
    <row r="43" customFormat="false" ht="15" hidden="false" customHeight="true" outlineLevel="0" collapsed="false">
      <c r="A43" s="1" t="s">
        <v>844</v>
      </c>
      <c r="B43" s="194" t="n">
        <v>0.8</v>
      </c>
    </row>
    <row r="44" customFormat="false" ht="15" hidden="false" customHeight="true" outlineLevel="0" collapsed="false">
      <c r="A44" s="1" t="s">
        <v>845</v>
      </c>
      <c r="B44" s="194" t="n">
        <v>1.6</v>
      </c>
    </row>
    <row r="45" customFormat="false" ht="15" hidden="false" customHeight="true" outlineLevel="0" collapsed="false">
      <c r="A45" s="1" t="s">
        <v>846</v>
      </c>
      <c r="B45" s="194" t="n">
        <v>1</v>
      </c>
    </row>
    <row r="46" customFormat="false" ht="15" hidden="false" customHeight="true" outlineLevel="0" collapsed="false">
      <c r="A46" s="1" t="s">
        <v>847</v>
      </c>
      <c r="B46" s="194" t="n">
        <v>1.2</v>
      </c>
    </row>
    <row r="47" customFormat="false" ht="15" hidden="false" customHeight="true" outlineLevel="0" collapsed="false">
      <c r="A47" s="1" t="s">
        <v>848</v>
      </c>
      <c r="B47" s="194" t="n">
        <v>0.8</v>
      </c>
    </row>
    <row r="48" customFormat="false" ht="15" hidden="false" customHeight="true" outlineLevel="0" collapsed="false">
      <c r="A48" s="1" t="s">
        <v>849</v>
      </c>
      <c r="B48" s="194" t="n">
        <v>1.1</v>
      </c>
    </row>
    <row r="49" customFormat="false" ht="15" hidden="false" customHeight="true" outlineLevel="0" collapsed="false">
      <c r="A49" s="1" t="s">
        <v>850</v>
      </c>
      <c r="B49" s="194" t="n">
        <v>1</v>
      </c>
    </row>
    <row r="50" customFormat="false" ht="15" hidden="false" customHeight="true" outlineLevel="0" collapsed="false">
      <c r="A50" s="1" t="s">
        <v>851</v>
      </c>
      <c r="B50" s="194" t="n">
        <v>1</v>
      </c>
    </row>
    <row r="51" customFormat="false" ht="15" hidden="false" customHeight="true" outlineLevel="0" collapsed="false">
      <c r="A51" s="1" t="s">
        <v>852</v>
      </c>
      <c r="B51" s="194" t="n">
        <v>1</v>
      </c>
    </row>
    <row r="52" customFormat="false" ht="15" hidden="false" customHeight="true" outlineLevel="0" collapsed="false">
      <c r="A52" s="1" t="s">
        <v>853</v>
      </c>
      <c r="B52" s="194" t="n">
        <v>0.8</v>
      </c>
    </row>
    <row r="53" customFormat="false" ht="15" hidden="false" customHeight="true" outlineLevel="0" collapsed="false">
      <c r="A53" s="1" t="s">
        <v>854</v>
      </c>
      <c r="B53" s="194" t="n">
        <v>1.4</v>
      </c>
    </row>
    <row r="54" customFormat="false" ht="15" hidden="false" customHeight="true" outlineLevel="0" collapsed="false">
      <c r="A54" s="1" t="s">
        <v>855</v>
      </c>
      <c r="B54" s="194" t="n">
        <v>0.8</v>
      </c>
    </row>
    <row r="55" customFormat="false" ht="15" hidden="false" customHeight="true" outlineLevel="0" collapsed="false">
      <c r="A55" s="1" t="s">
        <v>856</v>
      </c>
      <c r="B55" s="194" t="n">
        <v>0.8</v>
      </c>
    </row>
    <row r="56" customFormat="false" ht="15" hidden="false" customHeight="true" outlineLevel="0" collapsed="false">
      <c r="A56" s="1" t="s">
        <v>857</v>
      </c>
      <c r="B56" s="194" t="n">
        <v>1</v>
      </c>
    </row>
    <row r="57" customFormat="false" ht="15" hidden="false" customHeight="true" outlineLevel="0" collapsed="false">
      <c r="A57" s="1" t="s">
        <v>858</v>
      </c>
      <c r="B57" s="194" t="n">
        <v>1</v>
      </c>
    </row>
    <row r="58" customFormat="false" ht="15" hidden="false" customHeight="true" outlineLevel="0" collapsed="false">
      <c r="A58" s="1" t="s">
        <v>859</v>
      </c>
      <c r="B58" s="194" t="n">
        <v>1</v>
      </c>
    </row>
    <row r="59" customFormat="false" ht="15" hidden="false" customHeight="true" outlineLevel="0" collapsed="false">
      <c r="A59" s="1" t="s">
        <v>860</v>
      </c>
      <c r="B59" s="194" t="n">
        <v>1.5</v>
      </c>
    </row>
    <row r="60" customFormat="false" ht="15" hidden="false" customHeight="true" outlineLevel="0" collapsed="false">
      <c r="A60" s="1" t="s">
        <v>861</v>
      </c>
      <c r="B60" s="194" t="n">
        <v>1.1</v>
      </c>
    </row>
    <row r="61" customFormat="false" ht="15" hidden="false" customHeight="true" outlineLevel="0" collapsed="false">
      <c r="A61" s="1" t="s">
        <v>862</v>
      </c>
      <c r="B61" s="194" t="n">
        <v>1</v>
      </c>
    </row>
    <row r="62" customFormat="false" ht="15" hidden="false" customHeight="true" outlineLevel="0" collapsed="false">
      <c r="A62" s="1" t="s">
        <v>863</v>
      </c>
      <c r="B62" s="194" t="n">
        <v>1</v>
      </c>
    </row>
    <row r="63" customFormat="false" ht="15" hidden="false" customHeight="true" outlineLevel="0" collapsed="false">
      <c r="A63" s="1" t="s">
        <v>864</v>
      </c>
      <c r="B63" s="194" t="n">
        <v>0.9</v>
      </c>
    </row>
    <row r="64" customFormat="false" ht="15" hidden="false" customHeight="true" outlineLevel="0" collapsed="false">
      <c r="A64" s="1" t="s">
        <v>865</v>
      </c>
      <c r="B64" s="194" t="n">
        <v>1</v>
      </c>
    </row>
    <row r="65" customFormat="false" ht="15" hidden="false" customHeight="true" outlineLevel="0" collapsed="false">
      <c r="A65" s="1" t="s">
        <v>866</v>
      </c>
      <c r="B65" s="194" t="n">
        <v>1</v>
      </c>
    </row>
    <row r="66" customFormat="false" ht="15" hidden="false" customHeight="true" outlineLevel="0" collapsed="false">
      <c r="A66" s="1" t="s">
        <v>867</v>
      </c>
      <c r="B66" s="194" t="n">
        <v>0.8</v>
      </c>
    </row>
    <row r="67" customFormat="false" ht="15" hidden="false" customHeight="true" outlineLevel="0" collapsed="false">
      <c r="A67" s="1" t="s">
        <v>868</v>
      </c>
      <c r="B67" s="194" t="n">
        <v>1</v>
      </c>
    </row>
    <row r="68" customFormat="false" ht="15" hidden="false" customHeight="true" outlineLevel="0" collapsed="false">
      <c r="A68" s="1" t="s">
        <v>869</v>
      </c>
      <c r="B68" s="194" t="n">
        <v>1.1</v>
      </c>
    </row>
    <row r="69" customFormat="false" ht="15" hidden="false" customHeight="true" outlineLevel="0" collapsed="false">
      <c r="A69" s="1" t="s">
        <v>870</v>
      </c>
      <c r="B69" s="194" t="n">
        <v>0.8</v>
      </c>
    </row>
    <row r="70" customFormat="false" ht="15" hidden="false" customHeight="true" outlineLevel="0" collapsed="false">
      <c r="A70" s="1" t="s">
        <v>871</v>
      </c>
      <c r="B70" s="194" t="n">
        <v>1</v>
      </c>
    </row>
    <row r="71" customFormat="false" ht="15" hidden="false" customHeight="true" outlineLevel="0" collapsed="false">
      <c r="A71" s="1" t="s">
        <v>872</v>
      </c>
      <c r="B71" s="194" t="n">
        <v>1.1</v>
      </c>
    </row>
    <row r="72" customFormat="false" ht="15" hidden="false" customHeight="true" outlineLevel="0" collapsed="false">
      <c r="A72" s="1" t="s">
        <v>873</v>
      </c>
      <c r="B72" s="194" t="n">
        <v>1.1</v>
      </c>
    </row>
    <row r="73" customFormat="false" ht="15" hidden="false" customHeight="true" outlineLevel="0" collapsed="false">
      <c r="A73" s="1" t="s">
        <v>874</v>
      </c>
      <c r="B73" s="194" t="n">
        <v>1</v>
      </c>
    </row>
    <row r="74" customFormat="false" ht="15" hidden="false" customHeight="true" outlineLevel="0" collapsed="false">
      <c r="A74" s="1" t="s">
        <v>875</v>
      </c>
      <c r="B74" s="194" t="n">
        <v>1</v>
      </c>
    </row>
    <row r="75" customFormat="false" ht="15" hidden="false" customHeight="true" outlineLevel="0" collapsed="false">
      <c r="A75" s="1" t="s">
        <v>876</v>
      </c>
      <c r="B75" s="194" t="n">
        <v>1</v>
      </c>
    </row>
    <row r="76" customFormat="false" ht="15" hidden="false" customHeight="true" outlineLevel="0" collapsed="false">
      <c r="A76" s="1" t="s">
        <v>877</v>
      </c>
      <c r="B76" s="194" t="n">
        <v>1</v>
      </c>
    </row>
    <row r="77" customFormat="false" ht="15" hidden="false" customHeight="true" outlineLevel="0" collapsed="false">
      <c r="A77" s="1" t="s">
        <v>878</v>
      </c>
      <c r="B77" s="194" t="n">
        <v>1.2</v>
      </c>
    </row>
    <row r="78" customFormat="false" ht="15" hidden="false" customHeight="true" outlineLevel="0" collapsed="false">
      <c r="A78" s="1" t="s">
        <v>879</v>
      </c>
      <c r="B78" s="194" t="n">
        <v>1</v>
      </c>
    </row>
    <row r="79" customFormat="false" ht="15" hidden="false" customHeight="true" outlineLevel="0" collapsed="false">
      <c r="A79" s="1" t="s">
        <v>880</v>
      </c>
      <c r="B79" s="194" t="n">
        <v>1</v>
      </c>
    </row>
    <row r="80" customFormat="false" ht="15" hidden="false" customHeight="true" outlineLevel="0" collapsed="false">
      <c r="A80" s="1" t="s">
        <v>881</v>
      </c>
      <c r="B80" s="194" t="n">
        <v>1</v>
      </c>
    </row>
    <row r="81" customFormat="false" ht="15" hidden="false" customHeight="true" outlineLevel="0" collapsed="false">
      <c r="A81" s="1" t="s">
        <v>882</v>
      </c>
      <c r="B81" s="194" t="n">
        <v>0.9</v>
      </c>
    </row>
    <row r="82" customFormat="false" ht="15" hidden="false" customHeight="true" outlineLevel="0" collapsed="false">
      <c r="A82" s="1" t="s">
        <v>883</v>
      </c>
      <c r="B82" s="194" t="n">
        <v>1</v>
      </c>
    </row>
    <row r="83" customFormat="false" ht="15" hidden="false" customHeight="true" outlineLevel="0" collapsed="false">
      <c r="A83" s="1" t="s">
        <v>884</v>
      </c>
      <c r="B83" s="194" t="n">
        <v>0.9</v>
      </c>
    </row>
    <row r="84" customFormat="false" ht="15" hidden="false" customHeight="true" outlineLevel="0" collapsed="false">
      <c r="A84" s="1" t="s">
        <v>885</v>
      </c>
      <c r="B84" s="194" t="n">
        <v>1</v>
      </c>
    </row>
    <row r="85" customFormat="false" ht="15" hidden="false" customHeight="true" outlineLevel="0" collapsed="false">
      <c r="A85" s="1" t="s">
        <v>886</v>
      </c>
      <c r="B85" s="194" t="n">
        <v>1.8</v>
      </c>
    </row>
    <row r="86" customFormat="false" ht="15" hidden="false" customHeight="true" outlineLevel="0" collapsed="false">
      <c r="A86" s="1" t="s">
        <v>887</v>
      </c>
      <c r="B86" s="194" t="n">
        <v>1.1</v>
      </c>
    </row>
    <row r="87" customFormat="false" ht="15" hidden="false" customHeight="true" outlineLevel="0" collapsed="false">
      <c r="A87" s="1" t="s">
        <v>888</v>
      </c>
      <c r="B87" s="194" t="n">
        <v>0.9</v>
      </c>
    </row>
    <row r="88" customFormat="false" ht="15" hidden="false" customHeight="true" outlineLevel="0" collapsed="false">
      <c r="A88" s="1" t="s">
        <v>889</v>
      </c>
      <c r="B88" s="194" t="n">
        <v>0.9</v>
      </c>
    </row>
    <row r="89" customFormat="false" ht="15" hidden="false" customHeight="true" outlineLevel="0" collapsed="false">
      <c r="A89" s="1" t="s">
        <v>890</v>
      </c>
      <c r="B89" s="194" t="n">
        <v>1</v>
      </c>
    </row>
    <row r="90" customFormat="false" ht="15" hidden="false" customHeight="true" outlineLevel="0" collapsed="false">
      <c r="A90" s="1" t="s">
        <v>891</v>
      </c>
      <c r="B90" s="194" t="n">
        <v>1.2</v>
      </c>
    </row>
    <row r="91" customFormat="false" ht="15" hidden="false" customHeight="true" outlineLevel="0" collapsed="false">
      <c r="A91" s="1" t="s">
        <v>892</v>
      </c>
      <c r="B91" s="194" t="n">
        <v>1</v>
      </c>
    </row>
    <row r="92" customFormat="false" ht="15" hidden="false" customHeight="true" outlineLevel="0" collapsed="false">
      <c r="A92" s="1" t="s">
        <v>893</v>
      </c>
      <c r="B92" s="194" t="n">
        <v>1</v>
      </c>
    </row>
    <row r="93" customFormat="false" ht="15" hidden="false" customHeight="true" outlineLevel="0" collapsed="false">
      <c r="A93" s="1" t="s">
        <v>894</v>
      </c>
      <c r="B93" s="194" t="n">
        <v>0.8</v>
      </c>
    </row>
    <row r="94" customFormat="false" ht="15" hidden="false" customHeight="true" outlineLevel="0" collapsed="false">
      <c r="A94" s="1" t="s">
        <v>895</v>
      </c>
      <c r="B94" s="194" t="n">
        <v>1</v>
      </c>
    </row>
    <row r="95" customFormat="false" ht="15" hidden="false" customHeight="true" outlineLevel="0" collapsed="false">
      <c r="A95" s="1" t="s">
        <v>896</v>
      </c>
      <c r="B95" s="194" t="n">
        <v>1</v>
      </c>
    </row>
    <row r="96" customFormat="false" ht="15" hidden="false" customHeight="true" outlineLevel="0" collapsed="false">
      <c r="A96" s="1" t="s">
        <v>897</v>
      </c>
      <c r="B96" s="194" t="n">
        <v>1.5</v>
      </c>
    </row>
    <row r="97" customFormat="false" ht="15" hidden="false" customHeight="true" outlineLevel="0" collapsed="false">
      <c r="A97" s="1" t="s">
        <v>898</v>
      </c>
      <c r="B97" s="194" t="n">
        <v>1.1</v>
      </c>
    </row>
    <row r="98" customFormat="false" ht="15" hidden="false" customHeight="true" outlineLevel="0" collapsed="false">
      <c r="A98" s="1" t="s">
        <v>899</v>
      </c>
      <c r="B98" s="194" t="n">
        <v>1.1</v>
      </c>
    </row>
    <row r="99" customFormat="false" ht="15" hidden="false" customHeight="true" outlineLevel="0" collapsed="false">
      <c r="A99" s="1" t="s">
        <v>900</v>
      </c>
      <c r="B99" s="194" t="n">
        <v>0.8</v>
      </c>
    </row>
    <row r="100" customFormat="false" ht="15" hidden="false" customHeight="true" outlineLevel="0" collapsed="false">
      <c r="A100" s="1" t="s">
        <v>901</v>
      </c>
      <c r="B100" s="194" t="n">
        <v>1</v>
      </c>
    </row>
    <row r="101" customFormat="false" ht="15" hidden="false" customHeight="true" outlineLevel="0" collapsed="false">
      <c r="A101" s="1" t="s">
        <v>902</v>
      </c>
      <c r="B101" s="194" t="n">
        <v>0.9</v>
      </c>
    </row>
    <row r="102" customFormat="false" ht="15" hidden="false" customHeight="true" outlineLevel="0" collapsed="false">
      <c r="A102" s="1" t="s">
        <v>903</v>
      </c>
      <c r="B102" s="194" t="n">
        <v>1.1</v>
      </c>
    </row>
    <row r="103" customFormat="false" ht="15" hidden="false" customHeight="true" outlineLevel="0" collapsed="false">
      <c r="A103" s="1" t="s">
        <v>904</v>
      </c>
      <c r="B103" s="194" t="n">
        <v>1</v>
      </c>
    </row>
    <row r="104" customFormat="false" ht="15" hidden="false" customHeight="true" outlineLevel="0" collapsed="false">
      <c r="A104" s="1" t="s">
        <v>905</v>
      </c>
      <c r="B104" s="194" t="n">
        <v>1.1</v>
      </c>
    </row>
    <row r="105" customFormat="false" ht="15" hidden="false" customHeight="true" outlineLevel="0" collapsed="false">
      <c r="A105" s="1" t="s">
        <v>906</v>
      </c>
      <c r="B105" s="194" t="n">
        <v>1</v>
      </c>
    </row>
    <row r="106" customFormat="false" ht="15" hidden="false" customHeight="true" outlineLevel="0" collapsed="false">
      <c r="A106" s="1" t="s">
        <v>907</v>
      </c>
      <c r="B106" s="194" t="n">
        <v>1</v>
      </c>
    </row>
    <row r="107" customFormat="false" ht="15" hidden="false" customHeight="true" outlineLevel="0" collapsed="false">
      <c r="A107" s="1" t="s">
        <v>908</v>
      </c>
      <c r="B107" s="194" t="n">
        <v>1</v>
      </c>
    </row>
    <row r="108" customFormat="false" ht="15" hidden="false" customHeight="true" outlineLevel="0" collapsed="false">
      <c r="A108" s="1" t="s">
        <v>909</v>
      </c>
      <c r="B108" s="194" t="n">
        <v>1.1</v>
      </c>
    </row>
    <row r="109" customFormat="false" ht="15" hidden="false" customHeight="true" outlineLevel="0" collapsed="false">
      <c r="A109" s="1" t="s">
        <v>910</v>
      </c>
      <c r="B109" s="194" t="n">
        <v>1.4</v>
      </c>
    </row>
    <row r="110" customFormat="false" ht="15" hidden="false" customHeight="true" outlineLevel="0" collapsed="false">
      <c r="A110" s="1" t="s">
        <v>911</v>
      </c>
      <c r="B110" s="194" t="n">
        <v>1.2</v>
      </c>
    </row>
    <row r="111" customFormat="false" ht="15" hidden="false" customHeight="true" outlineLevel="0" collapsed="false">
      <c r="A111" s="1" t="s">
        <v>912</v>
      </c>
      <c r="B111" s="194" t="n">
        <v>0.9</v>
      </c>
    </row>
    <row r="112" customFormat="false" ht="15" hidden="false" customHeight="true" outlineLevel="0" collapsed="false">
      <c r="A112" s="1" t="s">
        <v>913</v>
      </c>
      <c r="B112" s="194" t="n">
        <v>0.9</v>
      </c>
    </row>
    <row r="113" customFormat="false" ht="15" hidden="false" customHeight="true" outlineLevel="0" collapsed="false">
      <c r="A113" s="1" t="s">
        <v>914</v>
      </c>
      <c r="B113" s="194" t="n">
        <v>0.8</v>
      </c>
    </row>
    <row r="114" customFormat="false" ht="15" hidden="false" customHeight="true" outlineLevel="0" collapsed="false">
      <c r="A114" s="1" t="s">
        <v>915</v>
      </c>
      <c r="B114" s="194" t="n">
        <v>0.9</v>
      </c>
    </row>
    <row r="115" customFormat="false" ht="15" hidden="false" customHeight="true" outlineLevel="0" collapsed="false">
      <c r="A115" s="1" t="s">
        <v>916</v>
      </c>
      <c r="B115" s="194" t="n">
        <v>0.9</v>
      </c>
    </row>
    <row r="116" customFormat="false" ht="15" hidden="false" customHeight="true" outlineLevel="0" collapsed="false">
      <c r="A116" s="1" t="s">
        <v>917</v>
      </c>
      <c r="B116" s="194" t="n">
        <v>0.9</v>
      </c>
    </row>
    <row r="117" customFormat="false" ht="15" hidden="false" customHeight="true" outlineLevel="0" collapsed="false">
      <c r="A117" s="1" t="s">
        <v>918</v>
      </c>
      <c r="B117" s="194" t="n">
        <v>1.8</v>
      </c>
    </row>
    <row r="118" customFormat="false" ht="15" hidden="false" customHeight="true" outlineLevel="0" collapsed="false">
      <c r="A118" s="1" t="s">
        <v>919</v>
      </c>
      <c r="B118" s="194" t="n">
        <v>1</v>
      </c>
    </row>
    <row r="119" customFormat="false" ht="15" hidden="false" customHeight="true" outlineLevel="0" collapsed="false">
      <c r="A119" s="1" t="s">
        <v>920</v>
      </c>
      <c r="B119" s="194" t="n">
        <v>1</v>
      </c>
    </row>
    <row r="120" customFormat="false" ht="15" hidden="false" customHeight="true" outlineLevel="0" collapsed="false">
      <c r="A120" s="1" t="s">
        <v>921</v>
      </c>
      <c r="B120" s="194" t="n">
        <v>1.5</v>
      </c>
    </row>
    <row r="121" customFormat="false" ht="15" hidden="false" customHeight="true" outlineLevel="0" collapsed="false">
      <c r="A121" s="1" t="s">
        <v>922</v>
      </c>
      <c r="B121" s="194" t="n">
        <v>0.9</v>
      </c>
    </row>
    <row r="122" customFormat="false" ht="15" hidden="false" customHeight="true" outlineLevel="0" collapsed="false">
      <c r="A122" s="1" t="s">
        <v>923</v>
      </c>
      <c r="B122" s="194" t="n">
        <v>0.9</v>
      </c>
    </row>
    <row r="123" customFormat="false" ht="15" hidden="false" customHeight="true" outlineLevel="0" collapsed="false">
      <c r="A123" s="1" t="s">
        <v>924</v>
      </c>
      <c r="B123" s="194" t="n">
        <v>0.9</v>
      </c>
    </row>
    <row r="124" customFormat="false" ht="15" hidden="false" customHeight="true" outlineLevel="0" collapsed="false">
      <c r="A124" s="1" t="s">
        <v>925</v>
      </c>
      <c r="B124" s="194" t="n">
        <v>1.1</v>
      </c>
    </row>
    <row r="125" customFormat="false" ht="15" hidden="false" customHeight="true" outlineLevel="0" collapsed="false">
      <c r="A125" s="1" t="s">
        <v>926</v>
      </c>
      <c r="B125" s="194" t="n">
        <v>0.8</v>
      </c>
    </row>
    <row r="126" customFormat="false" ht="15" hidden="false" customHeight="true" outlineLevel="0" collapsed="false">
      <c r="A126" s="1" t="s">
        <v>48</v>
      </c>
      <c r="B126" s="194" t="n">
        <v>1</v>
      </c>
    </row>
    <row r="127" customFormat="false" ht="15" hidden="false" customHeight="true" outlineLevel="0" collapsed="false">
      <c r="A127" s="1" t="s">
        <v>927</v>
      </c>
      <c r="B127" s="194" t="n">
        <v>1</v>
      </c>
    </row>
    <row r="128" customFormat="false" ht="15" hidden="false" customHeight="true" outlineLevel="0" collapsed="false">
      <c r="A128" s="1" t="s">
        <v>928</v>
      </c>
      <c r="B128" s="194" t="n">
        <v>1</v>
      </c>
    </row>
    <row r="129" customFormat="false" ht="15" hidden="false" customHeight="true" outlineLevel="0" collapsed="false">
      <c r="A129" s="1" t="s">
        <v>929</v>
      </c>
      <c r="B129" s="194" t="n">
        <v>1</v>
      </c>
    </row>
    <row r="130" customFormat="false" ht="15" hidden="false" customHeight="true" outlineLevel="0" collapsed="false">
      <c r="A130" s="1" t="s">
        <v>930</v>
      </c>
      <c r="B130" s="194" t="n">
        <v>1.8</v>
      </c>
    </row>
    <row r="131" customFormat="false" ht="15" hidden="false" customHeight="true" outlineLevel="0" collapsed="false">
      <c r="A131" s="1" t="s">
        <v>931</v>
      </c>
      <c r="B131" s="194" t="n">
        <v>0.9</v>
      </c>
    </row>
    <row r="132" customFormat="false" ht="15" hidden="false" customHeight="true" outlineLevel="0" collapsed="false">
      <c r="A132" s="1" t="s">
        <v>932</v>
      </c>
      <c r="B132" s="194" t="n">
        <v>1</v>
      </c>
    </row>
    <row r="133" customFormat="false" ht="15" hidden="false" customHeight="true" outlineLevel="0" collapsed="false">
      <c r="A133" s="1" t="s">
        <v>933</v>
      </c>
      <c r="B133" s="194" t="n">
        <v>1.3</v>
      </c>
    </row>
    <row r="134" customFormat="false" ht="15" hidden="false" customHeight="true" outlineLevel="0" collapsed="false">
      <c r="A134" s="1" t="s">
        <v>934</v>
      </c>
      <c r="B134" s="194" t="n">
        <v>0.8</v>
      </c>
    </row>
    <row r="135" customFormat="false" ht="15" hidden="false" customHeight="true" outlineLevel="0" collapsed="false">
      <c r="A135" s="1" t="s">
        <v>935</v>
      </c>
      <c r="B135" s="194" t="n">
        <v>1</v>
      </c>
    </row>
    <row r="136" customFormat="false" ht="15" hidden="false" customHeight="true" outlineLevel="0" collapsed="false">
      <c r="A136" s="1" t="s">
        <v>936</v>
      </c>
      <c r="B136" s="194" t="n">
        <v>1.4</v>
      </c>
    </row>
    <row r="137" customFormat="false" ht="15" hidden="false" customHeight="true" outlineLevel="0" collapsed="false">
      <c r="A137" s="1" t="s">
        <v>937</v>
      </c>
      <c r="B137" s="194" t="n">
        <v>1</v>
      </c>
    </row>
    <row r="138" customFormat="false" ht="15" hidden="false" customHeight="true" outlineLevel="0" collapsed="false">
      <c r="A138" s="1" t="s">
        <v>938</v>
      </c>
      <c r="B138" s="194" t="n">
        <v>0.9</v>
      </c>
    </row>
    <row r="139" customFormat="false" ht="15" hidden="false" customHeight="true" outlineLevel="0" collapsed="false">
      <c r="A139" s="1" t="s">
        <v>939</v>
      </c>
      <c r="B139" s="194" t="n">
        <v>1</v>
      </c>
    </row>
    <row r="140" customFormat="false" ht="15" hidden="false" customHeight="true" outlineLevel="0" collapsed="false">
      <c r="A140" s="1" t="s">
        <v>940</v>
      </c>
      <c r="B140" s="194" t="n">
        <v>0.9</v>
      </c>
    </row>
    <row r="141" customFormat="false" ht="15" hidden="false" customHeight="true" outlineLevel="0" collapsed="false">
      <c r="A141" s="1" t="s">
        <v>941</v>
      </c>
      <c r="B141" s="194" t="n">
        <v>0.8</v>
      </c>
    </row>
    <row r="142" customFormat="false" ht="15" hidden="false" customHeight="true" outlineLevel="0" collapsed="false">
      <c r="A142" s="1" t="s">
        <v>942</v>
      </c>
      <c r="B142" s="194" t="n">
        <v>1</v>
      </c>
    </row>
    <row r="143" customFormat="false" ht="15" hidden="false" customHeight="true" outlineLevel="0" collapsed="false">
      <c r="A143" s="1" t="s">
        <v>943</v>
      </c>
      <c r="B143" s="194" t="n">
        <v>0.9</v>
      </c>
    </row>
    <row r="144" customFormat="false" ht="15" hidden="false" customHeight="true" outlineLevel="0" collapsed="false">
      <c r="A144" s="1" t="s">
        <v>944</v>
      </c>
      <c r="B144" s="194" t="n">
        <v>0.8</v>
      </c>
    </row>
    <row r="145" customFormat="false" ht="15" hidden="false" customHeight="true" outlineLevel="0" collapsed="false">
      <c r="A145" s="1" t="s">
        <v>945</v>
      </c>
      <c r="B145" s="194" t="n">
        <v>1</v>
      </c>
    </row>
    <row r="146" customFormat="false" ht="15" hidden="false" customHeight="true" outlineLevel="0" collapsed="false">
      <c r="A146" s="1" t="s">
        <v>946</v>
      </c>
      <c r="B146" s="194" t="n">
        <v>1</v>
      </c>
    </row>
    <row r="147" customFormat="false" ht="15" hidden="false" customHeight="true" outlineLevel="0" collapsed="false">
      <c r="A147" s="1" t="s">
        <v>947</v>
      </c>
      <c r="B147" s="194" t="n">
        <v>1.2</v>
      </c>
    </row>
    <row r="148" customFormat="false" ht="15" hidden="false" customHeight="true" outlineLevel="0" collapsed="false">
      <c r="A148" s="1" t="s">
        <v>948</v>
      </c>
      <c r="B148" s="194" t="n">
        <v>0.9</v>
      </c>
    </row>
    <row r="149" customFormat="false" ht="15" hidden="false" customHeight="true" outlineLevel="0" collapsed="false">
      <c r="A149" s="1" t="s">
        <v>949</v>
      </c>
      <c r="B149" s="194" t="n">
        <v>1</v>
      </c>
    </row>
    <row r="150" customFormat="false" ht="15" hidden="false" customHeight="true" outlineLevel="0" collapsed="false">
      <c r="A150" s="1" t="s">
        <v>950</v>
      </c>
      <c r="B150" s="194" t="n">
        <v>1</v>
      </c>
    </row>
    <row r="151" customFormat="false" ht="15" hidden="false" customHeight="true" outlineLevel="0" collapsed="false">
      <c r="A151" s="1" t="s">
        <v>951</v>
      </c>
      <c r="B151" s="194" t="n">
        <v>0.9</v>
      </c>
    </row>
    <row r="152" customFormat="false" ht="15" hidden="false" customHeight="true" outlineLevel="0" collapsed="false">
      <c r="A152" s="1" t="s">
        <v>952</v>
      </c>
      <c r="B152" s="194" t="n">
        <v>0.9</v>
      </c>
    </row>
    <row r="153" customFormat="false" ht="15" hidden="false" customHeight="true" outlineLevel="0" collapsed="false">
      <c r="A153" s="1" t="s">
        <v>953</v>
      </c>
      <c r="B153" s="194" t="n">
        <v>1.1</v>
      </c>
    </row>
    <row r="154" customFormat="false" ht="15" hidden="false" customHeight="true" outlineLevel="0" collapsed="false">
      <c r="A154" s="1" t="s">
        <v>954</v>
      </c>
      <c r="B154" s="194" t="n">
        <v>0.9</v>
      </c>
    </row>
    <row r="155" customFormat="false" ht="15" hidden="false" customHeight="true" outlineLevel="0" collapsed="false">
      <c r="A155" s="1" t="s">
        <v>955</v>
      </c>
      <c r="B155" s="194" t="n">
        <v>1</v>
      </c>
    </row>
    <row r="156" customFormat="false" ht="15" hidden="false" customHeight="true" outlineLevel="0" collapsed="false">
      <c r="A156" s="1" t="s">
        <v>956</v>
      </c>
      <c r="B156" s="194" t="n">
        <v>1.3</v>
      </c>
    </row>
    <row r="157" customFormat="false" ht="15" hidden="false" customHeight="true" outlineLevel="0" collapsed="false">
      <c r="A157" s="1" t="s">
        <v>957</v>
      </c>
      <c r="B157" s="194" t="n">
        <v>1.1</v>
      </c>
    </row>
    <row r="158" customFormat="false" ht="15" hidden="false" customHeight="true" outlineLevel="0" collapsed="false">
      <c r="A158" s="1" t="s">
        <v>958</v>
      </c>
      <c r="B158" s="194" t="n">
        <v>0.8</v>
      </c>
    </row>
    <row r="159" customFormat="false" ht="15" hidden="false" customHeight="true" outlineLevel="0" collapsed="false">
      <c r="A159" s="1" t="s">
        <v>959</v>
      </c>
      <c r="B159" s="194" t="n">
        <v>1.1</v>
      </c>
    </row>
    <row r="160" customFormat="false" ht="15" hidden="false" customHeight="true" outlineLevel="0" collapsed="false">
      <c r="A160" s="1" t="s">
        <v>960</v>
      </c>
      <c r="B160" s="194" t="n">
        <v>1.5</v>
      </c>
    </row>
    <row r="161" customFormat="false" ht="15" hidden="false" customHeight="true" outlineLevel="0" collapsed="false">
      <c r="A161" s="1" t="s">
        <v>961</v>
      </c>
      <c r="B161" s="194" t="n">
        <v>0.8</v>
      </c>
    </row>
    <row r="162" customFormat="false" ht="15" hidden="false" customHeight="true" outlineLevel="0" collapsed="false">
      <c r="A162" s="1" t="s">
        <v>962</v>
      </c>
      <c r="B162" s="194" t="n">
        <v>1.5</v>
      </c>
    </row>
    <row r="163" customFormat="false" ht="15" hidden="false" customHeight="true" outlineLevel="0" collapsed="false">
      <c r="A163" s="1" t="s">
        <v>963</v>
      </c>
      <c r="B163" s="194" t="n">
        <v>0.9</v>
      </c>
    </row>
    <row r="164" customFormat="false" ht="15" hidden="false" customHeight="true" outlineLevel="0" collapsed="false">
      <c r="A164" s="1" t="s">
        <v>964</v>
      </c>
      <c r="B164" s="194" t="n">
        <v>0.8</v>
      </c>
    </row>
    <row r="165" customFormat="false" ht="15" hidden="false" customHeight="true" outlineLevel="0" collapsed="false">
      <c r="A165" s="1" t="s">
        <v>965</v>
      </c>
      <c r="B165" s="194" t="n">
        <v>1.3</v>
      </c>
    </row>
    <row r="166" customFormat="false" ht="15" hidden="false" customHeight="true" outlineLevel="0" collapsed="false">
      <c r="A166" s="1" t="s">
        <v>966</v>
      </c>
      <c r="B166" s="194" t="n">
        <v>1.6</v>
      </c>
    </row>
    <row r="167" customFormat="false" ht="15" hidden="false" customHeight="true" outlineLevel="0" collapsed="false">
      <c r="A167" s="1" t="s">
        <v>967</v>
      </c>
      <c r="B167" s="194" t="n">
        <v>0.9</v>
      </c>
    </row>
    <row r="168" customFormat="false" ht="15" hidden="false" customHeight="true" outlineLevel="0" collapsed="false">
      <c r="A168" s="1" t="s">
        <v>968</v>
      </c>
      <c r="B168" s="194" t="n">
        <v>0.9</v>
      </c>
    </row>
    <row r="169" customFormat="false" ht="15" hidden="false" customHeight="true" outlineLevel="0" collapsed="false">
      <c r="A169" s="1" t="s">
        <v>969</v>
      </c>
      <c r="B169" s="194" t="n">
        <v>0.9</v>
      </c>
    </row>
    <row r="170" customFormat="false" ht="15" hidden="false" customHeight="true" outlineLevel="0" collapsed="false">
      <c r="A170" s="1" t="s">
        <v>970</v>
      </c>
      <c r="B170" s="194" t="n">
        <v>0.9</v>
      </c>
    </row>
    <row r="171" customFormat="false" ht="15" hidden="false" customHeight="true" outlineLevel="0" collapsed="false">
      <c r="A171" s="1" t="s">
        <v>971</v>
      </c>
      <c r="B171" s="194" t="n">
        <v>1</v>
      </c>
    </row>
    <row r="172" customFormat="false" ht="15" hidden="false" customHeight="true" outlineLevel="0" collapsed="false">
      <c r="A172" s="1" t="s">
        <v>972</v>
      </c>
      <c r="B172" s="194" t="n">
        <v>1.2</v>
      </c>
    </row>
    <row r="173" customFormat="false" ht="15" hidden="false" customHeight="true" outlineLevel="0" collapsed="false">
      <c r="A173" s="1" t="s">
        <v>973</v>
      </c>
      <c r="B173" s="194" t="n">
        <v>1</v>
      </c>
    </row>
    <row r="174" customFormat="false" ht="15" hidden="false" customHeight="true" outlineLevel="0" collapsed="false">
      <c r="A174" s="1" t="s">
        <v>974</v>
      </c>
      <c r="B174" s="194" t="n">
        <v>1</v>
      </c>
    </row>
    <row r="175" customFormat="false" ht="15" hidden="false" customHeight="true" outlineLevel="0" collapsed="false">
      <c r="A175" s="1" t="s">
        <v>975</v>
      </c>
      <c r="B175" s="194" t="n">
        <v>0.9</v>
      </c>
    </row>
    <row r="176" customFormat="false" ht="15" hidden="false" customHeight="true" outlineLevel="0" collapsed="false">
      <c r="A176" s="1" t="s">
        <v>976</v>
      </c>
      <c r="B176" s="194" t="n">
        <v>1.1</v>
      </c>
    </row>
    <row r="177" customFormat="false" ht="15" hidden="false" customHeight="true" outlineLevel="0" collapsed="false">
      <c r="A177" s="1" t="s">
        <v>977</v>
      </c>
      <c r="B177" s="194" t="n">
        <v>0.9</v>
      </c>
    </row>
    <row r="178" customFormat="false" ht="15" hidden="false" customHeight="true" outlineLevel="0" collapsed="false">
      <c r="A178" s="1" t="s">
        <v>978</v>
      </c>
      <c r="B178" s="194" t="n">
        <v>0.9</v>
      </c>
    </row>
    <row r="179" customFormat="false" ht="15" hidden="false" customHeight="true" outlineLevel="0" collapsed="false">
      <c r="A179" s="1" t="s">
        <v>979</v>
      </c>
      <c r="B179" s="194" t="n">
        <v>0.8</v>
      </c>
    </row>
    <row r="180" customFormat="false" ht="15" hidden="false" customHeight="true" outlineLevel="0" collapsed="false">
      <c r="A180" s="1" t="s">
        <v>980</v>
      </c>
      <c r="B180" s="194" t="n">
        <v>1</v>
      </c>
    </row>
    <row r="181" customFormat="false" ht="15" hidden="false" customHeight="true" outlineLevel="0" collapsed="false">
      <c r="A181" s="1" t="s">
        <v>981</v>
      </c>
      <c r="B181" s="194" t="n">
        <v>1.1</v>
      </c>
    </row>
    <row r="182" customFormat="false" ht="15" hidden="false" customHeight="true" outlineLevel="0" collapsed="false">
      <c r="A182" s="1" t="s">
        <v>982</v>
      </c>
      <c r="B182" s="194" t="n">
        <v>1.1</v>
      </c>
    </row>
    <row r="183" customFormat="false" ht="15" hidden="false" customHeight="true" outlineLevel="0" collapsed="false">
      <c r="A183" s="1" t="s">
        <v>983</v>
      </c>
      <c r="B183" s="194" t="n">
        <v>1.2</v>
      </c>
    </row>
    <row r="184" customFormat="false" ht="15" hidden="false" customHeight="true" outlineLevel="0" collapsed="false">
      <c r="A184" s="1" t="s">
        <v>984</v>
      </c>
      <c r="B184" s="194" t="n">
        <v>1.3</v>
      </c>
    </row>
    <row r="185" customFormat="false" ht="15" hidden="false" customHeight="true" outlineLevel="0" collapsed="false">
      <c r="A185" s="1" t="s">
        <v>985</v>
      </c>
      <c r="B185" s="194" t="n">
        <v>0.9</v>
      </c>
    </row>
    <row r="186" customFormat="false" ht="15" hidden="false" customHeight="true" outlineLevel="0" collapsed="false">
      <c r="A186" s="1" t="s">
        <v>986</v>
      </c>
      <c r="B186" s="194" t="n">
        <v>1</v>
      </c>
    </row>
    <row r="187" customFormat="false" ht="15" hidden="false" customHeight="true" outlineLevel="0" collapsed="false">
      <c r="A187" s="1" t="s">
        <v>987</v>
      </c>
      <c r="B187" s="194" t="n">
        <v>1.6</v>
      </c>
    </row>
    <row r="188" customFormat="false" ht="15" hidden="false" customHeight="true" outlineLevel="0" collapsed="false">
      <c r="A188" s="1" t="s">
        <v>988</v>
      </c>
      <c r="B188" s="194" t="n">
        <v>0.9</v>
      </c>
    </row>
    <row r="189" customFormat="false" ht="15" hidden="false" customHeight="true" outlineLevel="0" collapsed="false">
      <c r="A189" s="1" t="s">
        <v>989</v>
      </c>
      <c r="B189" s="194" t="n">
        <v>1</v>
      </c>
    </row>
    <row r="190" customFormat="false" ht="15" hidden="false" customHeight="true" outlineLevel="0" collapsed="false">
      <c r="A190" s="1" t="s">
        <v>990</v>
      </c>
      <c r="B190" s="194" t="n">
        <v>1</v>
      </c>
    </row>
    <row r="191" customFormat="false" ht="15" hidden="false" customHeight="true" outlineLevel="0" collapsed="false">
      <c r="A191" s="1" t="s">
        <v>991</v>
      </c>
      <c r="B191" s="194" t="n">
        <v>0.9</v>
      </c>
    </row>
    <row r="192" customFormat="false" ht="15" hidden="false" customHeight="true" outlineLevel="0" collapsed="false">
      <c r="A192" s="1" t="s">
        <v>992</v>
      </c>
      <c r="B192" s="194" t="n">
        <v>1</v>
      </c>
    </row>
    <row r="193" customFormat="false" ht="15" hidden="false" customHeight="true" outlineLevel="0" collapsed="false">
      <c r="A193" s="1" t="s">
        <v>993</v>
      </c>
      <c r="B193" s="194" t="n">
        <v>1.1</v>
      </c>
    </row>
    <row r="194" customFormat="false" ht="15" hidden="false" customHeight="true" outlineLevel="0" collapsed="false">
      <c r="A194" s="1" t="s">
        <v>994</v>
      </c>
      <c r="B194" s="194" t="n">
        <v>0.9</v>
      </c>
    </row>
    <row r="195" customFormat="false" ht="15" hidden="false" customHeight="true" outlineLevel="0" collapsed="false">
      <c r="A195" s="1" t="s">
        <v>995</v>
      </c>
      <c r="B195" s="194" t="n">
        <v>1.2</v>
      </c>
    </row>
    <row r="196" customFormat="false" ht="15" hidden="false" customHeight="true" outlineLevel="0" collapsed="false">
      <c r="A196" s="1" t="s">
        <v>996</v>
      </c>
      <c r="B196" s="194" t="n">
        <v>0.9</v>
      </c>
    </row>
    <row r="197" customFormat="false" ht="15" hidden="false" customHeight="true" outlineLevel="0" collapsed="false">
      <c r="A197" s="1" t="s">
        <v>997</v>
      </c>
      <c r="B197" s="194" t="n">
        <v>0.9</v>
      </c>
    </row>
    <row r="198" customFormat="false" ht="15" hidden="false" customHeight="true" outlineLevel="0" collapsed="false">
      <c r="A198" s="1" t="s">
        <v>998</v>
      </c>
      <c r="B198" s="194" t="n">
        <v>0.9</v>
      </c>
    </row>
    <row r="199" customFormat="false" ht="15" hidden="false" customHeight="true" outlineLevel="0" collapsed="false">
      <c r="A199" s="1" t="s">
        <v>999</v>
      </c>
      <c r="B199" s="194" t="n">
        <v>1.2</v>
      </c>
    </row>
    <row r="200" customFormat="false" ht="15" hidden="false" customHeight="true" outlineLevel="0" collapsed="false">
      <c r="A200" s="1" t="s">
        <v>1000</v>
      </c>
      <c r="B200" s="194" t="n">
        <v>0.9</v>
      </c>
    </row>
    <row r="201" customFormat="false" ht="15" hidden="false" customHeight="true" outlineLevel="0" collapsed="false">
      <c r="A201" s="1" t="s">
        <v>1001</v>
      </c>
      <c r="B201" s="194" t="n">
        <v>1.7</v>
      </c>
    </row>
    <row r="202" customFormat="false" ht="15" hidden="false" customHeight="true" outlineLevel="0" collapsed="false">
      <c r="A202" s="1" t="s">
        <v>1002</v>
      </c>
      <c r="B202" s="194" t="n">
        <v>0.9</v>
      </c>
    </row>
    <row r="203" customFormat="false" ht="15" hidden="false" customHeight="true" outlineLevel="0" collapsed="false">
      <c r="A203" s="1" t="s">
        <v>1003</v>
      </c>
      <c r="B203" s="194" t="n">
        <v>0.9</v>
      </c>
    </row>
    <row r="204" customFormat="false" ht="15" hidden="false" customHeight="true" outlineLevel="0" collapsed="false">
      <c r="A204" s="1" t="s">
        <v>1004</v>
      </c>
      <c r="B204" s="194" t="n">
        <v>1.4</v>
      </c>
    </row>
    <row r="205" customFormat="false" ht="15" hidden="false" customHeight="true" outlineLevel="0" collapsed="false">
      <c r="A205" s="1" t="s">
        <v>1005</v>
      </c>
      <c r="B205" s="194" t="n">
        <v>1.4</v>
      </c>
    </row>
    <row r="206" customFormat="false" ht="15" hidden="false" customHeight="true" outlineLevel="0" collapsed="false">
      <c r="A206" s="1" t="s">
        <v>1006</v>
      </c>
      <c r="B206" s="194" t="n">
        <v>1.3</v>
      </c>
    </row>
    <row r="207" customFormat="false" ht="15" hidden="false" customHeight="true" outlineLevel="0" collapsed="false">
      <c r="A207" s="1" t="s">
        <v>1007</v>
      </c>
      <c r="B207" s="194" t="n">
        <v>0.8</v>
      </c>
    </row>
    <row r="208" customFormat="false" ht="15" hidden="false" customHeight="true" outlineLevel="0" collapsed="false">
      <c r="A208" s="1" t="s">
        <v>1008</v>
      </c>
      <c r="B208" s="194" t="n">
        <v>1.2</v>
      </c>
    </row>
    <row r="209" customFormat="false" ht="15" hidden="false" customHeight="true" outlineLevel="0" collapsed="false">
      <c r="A209" s="1" t="s">
        <v>1009</v>
      </c>
      <c r="B209" s="194" t="n">
        <v>1.1</v>
      </c>
    </row>
    <row r="210" customFormat="false" ht="15" hidden="false" customHeight="true" outlineLevel="0" collapsed="false">
      <c r="A210" s="1" t="s">
        <v>1010</v>
      </c>
      <c r="B210" s="194" t="n">
        <v>1</v>
      </c>
    </row>
    <row r="211" customFormat="false" ht="15" hidden="false" customHeight="true" outlineLevel="0" collapsed="false">
      <c r="A211" s="1" t="s">
        <v>1011</v>
      </c>
      <c r="B211" s="194" t="n">
        <v>1.1</v>
      </c>
    </row>
    <row r="212" customFormat="false" ht="15" hidden="false" customHeight="true" outlineLevel="0" collapsed="false">
      <c r="A212" s="1" t="s">
        <v>1012</v>
      </c>
      <c r="B212" s="194" t="n">
        <v>1</v>
      </c>
    </row>
    <row r="213" customFormat="false" ht="15" hidden="false" customHeight="true" outlineLevel="0" collapsed="false">
      <c r="A213" s="1" t="s">
        <v>1013</v>
      </c>
      <c r="B213" s="194" t="n">
        <v>0.8</v>
      </c>
    </row>
    <row r="214" customFormat="false" ht="15" hidden="false" customHeight="true" outlineLevel="0" collapsed="false">
      <c r="A214" s="1" t="s">
        <v>1014</v>
      </c>
      <c r="B214" s="194" t="n">
        <v>0.8</v>
      </c>
    </row>
    <row r="215" customFormat="false" ht="15" hidden="false" customHeight="true" outlineLevel="0" collapsed="false">
      <c r="A215" s="1" t="s">
        <v>1015</v>
      </c>
      <c r="B215" s="194" t="n">
        <v>1</v>
      </c>
    </row>
    <row r="216" customFormat="false" ht="15" hidden="false" customHeight="true" outlineLevel="0" collapsed="false">
      <c r="A216" s="1" t="s">
        <v>1016</v>
      </c>
      <c r="B216" s="194" t="n">
        <v>1.4</v>
      </c>
    </row>
    <row r="217" customFormat="false" ht="15" hidden="false" customHeight="true" outlineLevel="0" collapsed="false">
      <c r="A217" s="1" t="s">
        <v>1017</v>
      </c>
      <c r="B217" s="194" t="n">
        <v>1.1</v>
      </c>
    </row>
    <row r="218" customFormat="false" ht="15" hidden="false" customHeight="true" outlineLevel="0" collapsed="false">
      <c r="A218" s="1" t="s">
        <v>1018</v>
      </c>
      <c r="B218" s="194" t="n">
        <v>0.8</v>
      </c>
    </row>
    <row r="219" customFormat="false" ht="15" hidden="false" customHeight="true" outlineLevel="0" collapsed="false">
      <c r="A219" s="1" t="s">
        <v>1019</v>
      </c>
      <c r="B219" s="194" t="n">
        <v>1</v>
      </c>
    </row>
    <row r="220" customFormat="false" ht="15" hidden="false" customHeight="true" outlineLevel="0" collapsed="false">
      <c r="A220" s="1" t="s">
        <v>1020</v>
      </c>
      <c r="B220" s="194" t="n">
        <v>1.1</v>
      </c>
    </row>
    <row r="221" customFormat="false" ht="15" hidden="false" customHeight="true" outlineLevel="0" collapsed="false">
      <c r="A221" s="1" t="s">
        <v>1021</v>
      </c>
      <c r="B221" s="194" t="n">
        <v>1.4</v>
      </c>
    </row>
    <row r="222" customFormat="false" ht="15" hidden="false" customHeight="true" outlineLevel="0" collapsed="false">
      <c r="A222" s="1" t="s">
        <v>1022</v>
      </c>
      <c r="B222" s="194" t="n">
        <v>1</v>
      </c>
    </row>
    <row r="223" customFormat="false" ht="15" hidden="false" customHeight="true" outlineLevel="0" collapsed="false">
      <c r="A223" s="1" t="s">
        <v>1023</v>
      </c>
      <c r="B223" s="194" t="n">
        <v>0.9</v>
      </c>
    </row>
    <row r="224" customFormat="false" ht="15" hidden="false" customHeight="true" outlineLevel="0" collapsed="false">
      <c r="A224" s="1" t="s">
        <v>1024</v>
      </c>
      <c r="B224" s="194" t="n">
        <v>1.7</v>
      </c>
    </row>
    <row r="225" customFormat="false" ht="15" hidden="false" customHeight="true" outlineLevel="0" collapsed="false">
      <c r="A225" s="1" t="s">
        <v>1025</v>
      </c>
      <c r="B225" s="194" t="n">
        <v>0.8</v>
      </c>
    </row>
    <row r="226" customFormat="false" ht="15" hidden="false" customHeight="true" outlineLevel="0" collapsed="false">
      <c r="A226" s="1" t="s">
        <v>1026</v>
      </c>
      <c r="B226" s="194" t="n">
        <v>0.8</v>
      </c>
    </row>
    <row r="227" customFormat="false" ht="15" hidden="false" customHeight="true" outlineLevel="0" collapsed="false">
      <c r="A227" s="1" t="s">
        <v>1027</v>
      </c>
      <c r="B227" s="194" t="n">
        <v>0.9</v>
      </c>
    </row>
    <row r="228" customFormat="false" ht="15" hidden="false" customHeight="true" outlineLevel="0" collapsed="false">
      <c r="A228" s="1" t="s">
        <v>1028</v>
      </c>
      <c r="B228" s="194" t="n">
        <v>1</v>
      </c>
    </row>
    <row r="229" customFormat="false" ht="15" hidden="false" customHeight="true" outlineLevel="0" collapsed="false">
      <c r="A229" s="1" t="s">
        <v>1029</v>
      </c>
      <c r="B229" s="194" t="n">
        <v>1.1</v>
      </c>
    </row>
    <row r="230" customFormat="false" ht="15" hidden="false" customHeight="true" outlineLevel="0" collapsed="false">
      <c r="A230" s="1" t="s">
        <v>1030</v>
      </c>
      <c r="B230" s="194" t="n">
        <v>1.6</v>
      </c>
    </row>
    <row r="231" customFormat="false" ht="15" hidden="false" customHeight="true" outlineLevel="0" collapsed="false">
      <c r="A231" s="1" t="s">
        <v>1031</v>
      </c>
      <c r="B231" s="194" t="n">
        <v>1</v>
      </c>
    </row>
    <row r="232" customFormat="false" ht="15" hidden="false" customHeight="true" outlineLevel="0" collapsed="false">
      <c r="A232" s="1" t="s">
        <v>1032</v>
      </c>
      <c r="B232" s="194" t="n">
        <v>0.9</v>
      </c>
    </row>
    <row r="233" customFormat="false" ht="15" hidden="false" customHeight="true" outlineLevel="0" collapsed="false">
      <c r="A233" s="1" t="s">
        <v>1033</v>
      </c>
      <c r="B233" s="194" t="n">
        <v>1.4</v>
      </c>
    </row>
    <row r="234" customFormat="false" ht="15" hidden="false" customHeight="true" outlineLevel="0" collapsed="false">
      <c r="A234" s="1" t="s">
        <v>1034</v>
      </c>
      <c r="B234" s="194" t="n">
        <v>0.9</v>
      </c>
    </row>
    <row r="235" customFormat="false" ht="15" hidden="false" customHeight="true" outlineLevel="0" collapsed="false">
      <c r="A235" s="1" t="s">
        <v>1035</v>
      </c>
      <c r="B235" s="194" t="n">
        <v>1.2</v>
      </c>
    </row>
    <row r="236" customFormat="false" ht="15" hidden="false" customHeight="true" outlineLevel="0" collapsed="false">
      <c r="A236" s="1" t="s">
        <v>1036</v>
      </c>
      <c r="B236" s="194" t="n">
        <v>1.1</v>
      </c>
    </row>
    <row r="237" customFormat="false" ht="15" hidden="false" customHeight="true" outlineLevel="0" collapsed="false">
      <c r="A237" s="1" t="s">
        <v>1037</v>
      </c>
      <c r="B237" s="194" t="n">
        <v>1.1</v>
      </c>
    </row>
    <row r="238" customFormat="false" ht="15" hidden="false" customHeight="true" outlineLevel="0" collapsed="false">
      <c r="A238" s="1" t="s">
        <v>1038</v>
      </c>
      <c r="B238" s="194" t="n">
        <v>0.8</v>
      </c>
    </row>
    <row r="239" customFormat="false" ht="15" hidden="false" customHeight="true" outlineLevel="0" collapsed="false">
      <c r="A239" s="1" t="s">
        <v>1039</v>
      </c>
      <c r="B239" s="194" t="n">
        <v>0.8</v>
      </c>
    </row>
    <row r="240" customFormat="false" ht="15" hidden="false" customHeight="true" outlineLevel="0" collapsed="false">
      <c r="A240" s="1" t="s">
        <v>1040</v>
      </c>
      <c r="B240" s="194" t="n">
        <v>1</v>
      </c>
    </row>
    <row r="241" customFormat="false" ht="15" hidden="false" customHeight="true" outlineLevel="0" collapsed="false">
      <c r="A241" s="1" t="s">
        <v>1041</v>
      </c>
      <c r="B241" s="194" t="n">
        <v>1</v>
      </c>
    </row>
    <row r="242" customFormat="false" ht="15" hidden="false" customHeight="true" outlineLevel="0" collapsed="false">
      <c r="A242" s="1" t="s">
        <v>1042</v>
      </c>
      <c r="B242" s="194" t="n">
        <v>1.1</v>
      </c>
    </row>
    <row r="243" customFormat="false" ht="15" hidden="false" customHeight="true" outlineLevel="0" collapsed="false">
      <c r="A243" s="1" t="s">
        <v>1043</v>
      </c>
      <c r="B243" s="194" t="n">
        <v>1</v>
      </c>
    </row>
    <row r="244" customFormat="false" ht="15" hidden="false" customHeight="true" outlineLevel="0" collapsed="false">
      <c r="A244" s="1" t="s">
        <v>1044</v>
      </c>
      <c r="B244" s="194" t="n">
        <v>1.1</v>
      </c>
    </row>
    <row r="245" customFormat="false" ht="15" hidden="false" customHeight="true" outlineLevel="0" collapsed="false">
      <c r="A245" s="1" t="s">
        <v>1045</v>
      </c>
      <c r="B245" s="194" t="n">
        <v>0.9</v>
      </c>
    </row>
    <row r="246" customFormat="false" ht="15" hidden="false" customHeight="true" outlineLevel="0" collapsed="false">
      <c r="A246" s="1" t="s">
        <v>1046</v>
      </c>
      <c r="B246" s="194" t="n">
        <v>1</v>
      </c>
    </row>
    <row r="247" customFormat="false" ht="15" hidden="false" customHeight="true" outlineLevel="0" collapsed="false">
      <c r="A247" s="1" t="s">
        <v>1047</v>
      </c>
      <c r="B247" s="194" t="n">
        <v>0.8</v>
      </c>
    </row>
    <row r="248" customFormat="false" ht="15" hidden="false" customHeight="true" outlineLevel="0" collapsed="false">
      <c r="A248" s="1" t="s">
        <v>1048</v>
      </c>
      <c r="B248" s="194" t="n">
        <v>0.9</v>
      </c>
    </row>
    <row r="249" customFormat="false" ht="15" hidden="false" customHeight="true" outlineLevel="0" collapsed="false">
      <c r="A249" s="1" t="s">
        <v>1049</v>
      </c>
      <c r="B249" s="194" t="n">
        <v>1</v>
      </c>
    </row>
    <row r="250" customFormat="false" ht="15" hidden="false" customHeight="true" outlineLevel="0" collapsed="false">
      <c r="A250" s="1" t="s">
        <v>1050</v>
      </c>
      <c r="B250" s="194" t="n">
        <v>1</v>
      </c>
    </row>
    <row r="251" customFormat="false" ht="15" hidden="false" customHeight="true" outlineLevel="0" collapsed="false">
      <c r="A251" s="1" t="s">
        <v>1051</v>
      </c>
      <c r="B251" s="194" t="n">
        <v>1.1</v>
      </c>
    </row>
    <row r="252" customFormat="false" ht="15" hidden="false" customHeight="true" outlineLevel="0" collapsed="false">
      <c r="A252" s="1" t="s">
        <v>1052</v>
      </c>
      <c r="B252" s="194" t="n">
        <v>1.2</v>
      </c>
    </row>
    <row r="253" customFormat="false" ht="15" hidden="false" customHeight="true" outlineLevel="0" collapsed="false">
      <c r="A253" s="1" t="s">
        <v>1053</v>
      </c>
      <c r="B253" s="194" t="n">
        <v>0.9</v>
      </c>
    </row>
    <row r="254" customFormat="false" ht="15" hidden="false" customHeight="true" outlineLevel="0" collapsed="false">
      <c r="A254" s="1" t="s">
        <v>1054</v>
      </c>
      <c r="B254" s="194" t="n">
        <v>0.8</v>
      </c>
    </row>
    <row r="255" customFormat="false" ht="15" hidden="false" customHeight="true" outlineLevel="0" collapsed="false">
      <c r="A255" s="1" t="s">
        <v>1055</v>
      </c>
      <c r="B255" s="194" t="n">
        <v>0.8</v>
      </c>
    </row>
    <row r="256" customFormat="false" ht="15" hidden="false" customHeight="true" outlineLevel="0" collapsed="false">
      <c r="A256" s="1" t="s">
        <v>1056</v>
      </c>
      <c r="B256" s="194" t="n">
        <v>1.1</v>
      </c>
    </row>
    <row r="257" customFormat="false" ht="15" hidden="false" customHeight="true" outlineLevel="0" collapsed="false">
      <c r="A257" s="1" t="s">
        <v>1057</v>
      </c>
      <c r="B257" s="194" t="n">
        <v>0.9</v>
      </c>
    </row>
    <row r="258" customFormat="false" ht="15" hidden="false" customHeight="true" outlineLevel="0" collapsed="false">
      <c r="A258" s="1" t="s">
        <v>1058</v>
      </c>
      <c r="B258" s="194" t="n">
        <v>1</v>
      </c>
    </row>
    <row r="259" customFormat="false" ht="15" hidden="false" customHeight="true" outlineLevel="0" collapsed="false">
      <c r="A259" s="1" t="s">
        <v>1059</v>
      </c>
      <c r="B259" s="194" t="n">
        <v>1</v>
      </c>
    </row>
    <row r="260" customFormat="false" ht="15" hidden="false" customHeight="true" outlineLevel="0" collapsed="false">
      <c r="A260" s="1" t="s">
        <v>1060</v>
      </c>
      <c r="B260" s="194" t="n">
        <v>0.8</v>
      </c>
    </row>
    <row r="261" customFormat="false" ht="15" hidden="false" customHeight="true" outlineLevel="0" collapsed="false">
      <c r="A261" s="1" t="s">
        <v>1061</v>
      </c>
      <c r="B261" s="194" t="n">
        <v>0.9</v>
      </c>
    </row>
    <row r="262" customFormat="false" ht="15" hidden="false" customHeight="true" outlineLevel="0" collapsed="false">
      <c r="A262" s="1" t="s">
        <v>1062</v>
      </c>
      <c r="B262" s="194" t="n">
        <v>1</v>
      </c>
    </row>
    <row r="263" customFormat="false" ht="15" hidden="false" customHeight="true" outlineLevel="0" collapsed="false">
      <c r="A263" s="1" t="s">
        <v>1063</v>
      </c>
      <c r="B263" s="194" t="n">
        <v>0.9</v>
      </c>
    </row>
    <row r="264" customFormat="false" ht="15" hidden="false" customHeight="true" outlineLevel="0" collapsed="false">
      <c r="A264" s="1" t="s">
        <v>1064</v>
      </c>
      <c r="B264" s="194" t="n">
        <v>1</v>
      </c>
    </row>
    <row r="265" customFormat="false" ht="15" hidden="false" customHeight="true" outlineLevel="0" collapsed="false">
      <c r="A265" s="1" t="s">
        <v>1065</v>
      </c>
      <c r="B265" s="194" t="n">
        <v>1</v>
      </c>
    </row>
    <row r="266" customFormat="false" ht="15" hidden="false" customHeight="true" outlineLevel="0" collapsed="false">
      <c r="A266" s="1" t="s">
        <v>1066</v>
      </c>
      <c r="B266" s="194" t="n">
        <v>0.9</v>
      </c>
    </row>
    <row r="267" customFormat="false" ht="15" hidden="false" customHeight="true" outlineLevel="0" collapsed="false">
      <c r="A267" s="1" t="s">
        <v>1067</v>
      </c>
      <c r="B267" s="194" t="n">
        <v>1</v>
      </c>
    </row>
    <row r="268" customFormat="false" ht="15" hidden="false" customHeight="true" outlineLevel="0" collapsed="false">
      <c r="A268" s="1" t="s">
        <v>1068</v>
      </c>
      <c r="B268" s="194" t="n">
        <v>1.3</v>
      </c>
    </row>
    <row r="269" customFormat="false" ht="15" hidden="false" customHeight="true" outlineLevel="0" collapsed="false">
      <c r="A269" s="1" t="s">
        <v>1069</v>
      </c>
      <c r="B269" s="194" t="n">
        <v>1</v>
      </c>
    </row>
    <row r="270" customFormat="false" ht="15" hidden="false" customHeight="true" outlineLevel="0" collapsed="false">
      <c r="A270" s="1" t="s">
        <v>1070</v>
      </c>
      <c r="B270" s="194" t="n">
        <v>1</v>
      </c>
    </row>
    <row r="271" customFormat="false" ht="15" hidden="false" customHeight="true" outlineLevel="0" collapsed="false">
      <c r="A271" s="1" t="s">
        <v>1071</v>
      </c>
      <c r="B271" s="194" t="n">
        <v>1</v>
      </c>
    </row>
    <row r="272" customFormat="false" ht="15" hidden="false" customHeight="true" outlineLevel="0" collapsed="false">
      <c r="A272" s="1" t="s">
        <v>1072</v>
      </c>
      <c r="B272" s="194" t="n">
        <v>1</v>
      </c>
    </row>
    <row r="273" customFormat="false" ht="15" hidden="false" customHeight="true" outlineLevel="0" collapsed="false">
      <c r="A273" s="1" t="s">
        <v>1073</v>
      </c>
      <c r="B273" s="194" t="n">
        <v>0.9</v>
      </c>
    </row>
    <row r="274" customFormat="false" ht="15" hidden="false" customHeight="true" outlineLevel="0" collapsed="false">
      <c r="A274" s="1" t="s">
        <v>1074</v>
      </c>
      <c r="B274" s="194" t="n">
        <v>1</v>
      </c>
    </row>
    <row r="275" customFormat="false" ht="15" hidden="false" customHeight="true" outlineLevel="0" collapsed="false">
      <c r="A275" s="1" t="s">
        <v>1075</v>
      </c>
      <c r="B275" s="194" t="n">
        <v>0.9</v>
      </c>
    </row>
    <row r="276" customFormat="false" ht="15" hidden="false" customHeight="true" outlineLevel="0" collapsed="false">
      <c r="A276" s="1" t="s">
        <v>1076</v>
      </c>
      <c r="B276" s="194" t="n">
        <v>1</v>
      </c>
    </row>
    <row r="277" customFormat="false" ht="15" hidden="false" customHeight="true" outlineLevel="0" collapsed="false">
      <c r="A277" s="1" t="s">
        <v>1077</v>
      </c>
      <c r="B277" s="194" t="n">
        <v>1.2</v>
      </c>
    </row>
    <row r="278" customFormat="false" ht="15" hidden="false" customHeight="true" outlineLevel="0" collapsed="false">
      <c r="A278" s="1" t="s">
        <v>1078</v>
      </c>
      <c r="B278" s="194" t="n">
        <v>0.9</v>
      </c>
    </row>
    <row r="279" customFormat="false" ht="15" hidden="false" customHeight="true" outlineLevel="0" collapsed="false">
      <c r="A279" s="1" t="s">
        <v>1079</v>
      </c>
      <c r="B279" s="194" t="n">
        <v>0.8</v>
      </c>
    </row>
    <row r="280" customFormat="false" ht="15" hidden="false" customHeight="true" outlineLevel="0" collapsed="false">
      <c r="A280" s="1" t="s">
        <v>1080</v>
      </c>
      <c r="B280" s="194" t="n">
        <v>1</v>
      </c>
    </row>
    <row r="281" customFormat="false" ht="15" hidden="false" customHeight="true" outlineLevel="0" collapsed="false">
      <c r="A281" s="1" t="s">
        <v>1081</v>
      </c>
      <c r="B281" s="194" t="n">
        <v>0.8</v>
      </c>
    </row>
    <row r="282" customFormat="false" ht="15" hidden="false" customHeight="true" outlineLevel="0" collapsed="false">
      <c r="A282" s="1" t="s">
        <v>1082</v>
      </c>
      <c r="B282" s="194" t="n">
        <v>1</v>
      </c>
    </row>
    <row r="283" customFormat="false" ht="15" hidden="false" customHeight="true" outlineLevel="0" collapsed="false">
      <c r="A283" s="1" t="s">
        <v>1083</v>
      </c>
      <c r="B283" s="194" t="n">
        <v>1.6</v>
      </c>
    </row>
    <row r="284" customFormat="false" ht="15" hidden="false" customHeight="true" outlineLevel="0" collapsed="false">
      <c r="A284" s="1" t="s">
        <v>1084</v>
      </c>
      <c r="B284" s="194" t="n">
        <v>1</v>
      </c>
    </row>
    <row r="285" customFormat="false" ht="15" hidden="false" customHeight="true" outlineLevel="0" collapsed="false">
      <c r="A285" s="1" t="s">
        <v>1085</v>
      </c>
      <c r="B285" s="194" t="n">
        <v>1.5</v>
      </c>
    </row>
    <row r="286" customFormat="false" ht="15" hidden="false" customHeight="true" outlineLevel="0" collapsed="false">
      <c r="A286" s="1" t="s">
        <v>1086</v>
      </c>
      <c r="B286" s="194" t="n">
        <v>1</v>
      </c>
    </row>
    <row r="287" customFormat="false" ht="15" hidden="false" customHeight="true" outlineLevel="0" collapsed="false">
      <c r="A287" s="1" t="s">
        <v>1087</v>
      </c>
      <c r="B287" s="194" t="n">
        <v>1</v>
      </c>
    </row>
    <row r="288" customFormat="false" ht="15" hidden="false" customHeight="true" outlineLevel="0" collapsed="false">
      <c r="A288" s="1" t="s">
        <v>1088</v>
      </c>
      <c r="B288" s="194" t="n">
        <v>0.9</v>
      </c>
    </row>
    <row r="289" customFormat="false" ht="15" hidden="false" customHeight="true" outlineLevel="0" collapsed="false">
      <c r="A289" s="1" t="s">
        <v>1089</v>
      </c>
      <c r="B289" s="194" t="n">
        <v>1.4</v>
      </c>
    </row>
    <row r="290" customFormat="false" ht="15" hidden="false" customHeight="true" outlineLevel="0" collapsed="false">
      <c r="A290" s="1" t="s">
        <v>1090</v>
      </c>
      <c r="B290" s="194" t="n">
        <v>0.9</v>
      </c>
    </row>
    <row r="291" customFormat="false" ht="15" hidden="false" customHeight="true" outlineLevel="0" collapsed="false">
      <c r="A291" s="1" t="s">
        <v>1091</v>
      </c>
      <c r="B291" s="194" t="n">
        <v>1</v>
      </c>
    </row>
    <row r="292" customFormat="false" ht="15" hidden="false" customHeight="true" outlineLevel="0" collapsed="false">
      <c r="A292" s="1" t="s">
        <v>1092</v>
      </c>
      <c r="B292" s="194" t="n">
        <v>0.9</v>
      </c>
    </row>
    <row r="293" customFormat="false" ht="15" hidden="false" customHeight="true" outlineLevel="0" collapsed="false">
      <c r="A293" s="1" t="s">
        <v>1093</v>
      </c>
      <c r="B293" s="194" t="n">
        <v>1</v>
      </c>
    </row>
    <row r="294" customFormat="false" ht="15" hidden="false" customHeight="true" outlineLevel="0" collapsed="false">
      <c r="A294" s="1" t="s">
        <v>1094</v>
      </c>
      <c r="B294" s="194" t="n">
        <v>1</v>
      </c>
    </row>
    <row r="295" customFormat="false" ht="15" hidden="false" customHeight="true" outlineLevel="0" collapsed="false">
      <c r="A295" s="1" t="s">
        <v>1095</v>
      </c>
      <c r="B295" s="194" t="n">
        <v>1</v>
      </c>
    </row>
    <row r="296" customFormat="false" ht="15" hidden="false" customHeight="true" outlineLevel="0" collapsed="false">
      <c r="A296" s="1" t="s">
        <v>1096</v>
      </c>
      <c r="B296" s="194" t="n">
        <v>0.8</v>
      </c>
    </row>
    <row r="297" customFormat="false" ht="15" hidden="false" customHeight="true" outlineLevel="0" collapsed="false">
      <c r="A297" s="1" t="s">
        <v>1097</v>
      </c>
      <c r="B297" s="194" t="n">
        <v>1</v>
      </c>
    </row>
    <row r="298" customFormat="false" ht="15" hidden="false" customHeight="true" outlineLevel="0" collapsed="false">
      <c r="A298" s="1" t="s">
        <v>1098</v>
      </c>
      <c r="B298" s="194" t="n">
        <v>1.4</v>
      </c>
    </row>
    <row r="299" customFormat="false" ht="15" hidden="false" customHeight="true" outlineLevel="0" collapsed="false">
      <c r="A299" s="1" t="s">
        <v>1099</v>
      </c>
      <c r="B299" s="194" t="n">
        <v>1.5</v>
      </c>
    </row>
    <row r="300" customFormat="false" ht="15" hidden="false" customHeight="true" outlineLevel="0" collapsed="false">
      <c r="A300" s="1" t="s">
        <v>1100</v>
      </c>
      <c r="B300" s="194" t="n">
        <v>1.1</v>
      </c>
    </row>
    <row r="301" customFormat="false" ht="15" hidden="false" customHeight="true" outlineLevel="0" collapsed="false">
      <c r="A301" s="1" t="s">
        <v>1101</v>
      </c>
      <c r="B301" s="194" t="n">
        <v>1.5</v>
      </c>
    </row>
    <row r="302" customFormat="false" ht="15" hidden="false" customHeight="true" outlineLevel="0" collapsed="false">
      <c r="A302" s="1" t="s">
        <v>1102</v>
      </c>
      <c r="B302" s="194" t="n">
        <v>0.8</v>
      </c>
    </row>
    <row r="303" customFormat="false" ht="15" hidden="false" customHeight="true" outlineLevel="0" collapsed="false">
      <c r="A303" s="1" t="s">
        <v>1103</v>
      </c>
      <c r="B303" s="194" t="n">
        <v>1</v>
      </c>
    </row>
    <row r="304" customFormat="false" ht="15" hidden="false" customHeight="true" outlineLevel="0" collapsed="false">
      <c r="A304" s="1" t="s">
        <v>1104</v>
      </c>
      <c r="B304" s="194" t="n">
        <v>0.9</v>
      </c>
    </row>
    <row r="305" customFormat="false" ht="15" hidden="false" customHeight="true" outlineLevel="0" collapsed="false">
      <c r="A305" s="1" t="s">
        <v>1105</v>
      </c>
      <c r="B305" s="194" t="n">
        <v>1.3</v>
      </c>
    </row>
    <row r="306" customFormat="false" ht="15" hidden="false" customHeight="true" outlineLevel="0" collapsed="false">
      <c r="A306" s="1" t="s">
        <v>1106</v>
      </c>
      <c r="B306" s="194" t="n">
        <v>1</v>
      </c>
    </row>
    <row r="307" customFormat="false" ht="15" hidden="false" customHeight="true" outlineLevel="0" collapsed="false">
      <c r="A307" s="1" t="s">
        <v>1107</v>
      </c>
      <c r="B307" s="194" t="n">
        <v>1.6</v>
      </c>
    </row>
    <row r="308" customFormat="false" ht="15" hidden="false" customHeight="true" outlineLevel="0" collapsed="false">
      <c r="A308" s="1" t="s">
        <v>1108</v>
      </c>
      <c r="B308" s="194" t="n">
        <v>0.8</v>
      </c>
    </row>
    <row r="309" customFormat="false" ht="15" hidden="false" customHeight="true" outlineLevel="0" collapsed="false">
      <c r="A309" s="1" t="s">
        <v>1109</v>
      </c>
      <c r="B309" s="194" t="n">
        <v>0.8</v>
      </c>
    </row>
    <row r="310" customFormat="false" ht="15" hidden="false" customHeight="true" outlineLevel="0" collapsed="false">
      <c r="A310" s="1" t="s">
        <v>1110</v>
      </c>
      <c r="B310" s="194" t="n">
        <v>0.9</v>
      </c>
    </row>
    <row r="311" customFormat="false" ht="15" hidden="false" customHeight="true" outlineLevel="0" collapsed="false">
      <c r="A311" s="1" t="s">
        <v>1111</v>
      </c>
      <c r="B311" s="194" t="n">
        <v>1</v>
      </c>
    </row>
    <row r="312" customFormat="false" ht="15" hidden="false" customHeight="true" outlineLevel="0" collapsed="false">
      <c r="A312" s="1" t="s">
        <v>1112</v>
      </c>
      <c r="B312" s="194" t="n">
        <v>0.9</v>
      </c>
    </row>
    <row r="313" customFormat="false" ht="15" hidden="false" customHeight="true" outlineLevel="0" collapsed="false">
      <c r="A313" s="1" t="s">
        <v>1113</v>
      </c>
      <c r="B313" s="194" t="n">
        <v>1.3</v>
      </c>
    </row>
    <row r="314" customFormat="false" ht="15" hidden="false" customHeight="true" outlineLevel="0" collapsed="false">
      <c r="A314" s="1" t="s">
        <v>1114</v>
      </c>
      <c r="B314" s="194" t="n">
        <v>1.4</v>
      </c>
    </row>
    <row r="315" customFormat="false" ht="15" hidden="false" customHeight="true" outlineLevel="0" collapsed="false">
      <c r="A315" s="1" t="s">
        <v>1115</v>
      </c>
      <c r="B315" s="194" t="n">
        <v>1</v>
      </c>
    </row>
    <row r="316" customFormat="false" ht="15" hidden="false" customHeight="true" outlineLevel="0" collapsed="false">
      <c r="A316" s="1" t="s">
        <v>1116</v>
      </c>
      <c r="B316" s="194" t="n">
        <v>1</v>
      </c>
    </row>
    <row r="317" customFormat="false" ht="15" hidden="false" customHeight="true" outlineLevel="0" collapsed="false">
      <c r="A317" s="1" t="s">
        <v>1117</v>
      </c>
      <c r="B317" s="194" t="n">
        <v>0.9</v>
      </c>
    </row>
    <row r="318" customFormat="false" ht="15" hidden="false" customHeight="true" outlineLevel="0" collapsed="false">
      <c r="A318" s="1" t="s">
        <v>1118</v>
      </c>
      <c r="B318" s="194" t="n">
        <v>1.6</v>
      </c>
    </row>
    <row r="319" customFormat="false" ht="15" hidden="false" customHeight="true" outlineLevel="0" collapsed="false">
      <c r="A319" s="1" t="s">
        <v>1119</v>
      </c>
      <c r="B319" s="194" t="n">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2007-11-30T10:25:51Z</dcterms:created>
  <dc:creator>Peter Persson</dc:creator>
  <dc:description/>
  <dc:language>en-US</dc:language>
  <cp:lastModifiedBy>Peter Persson</cp:lastModifiedBy>
  <cp:lastPrinted>2023-11-24T12:43:16Z</cp:lastPrinted>
  <dcterms:modified xsi:type="dcterms:W3CDTF">2026-10-02T17:15:13Z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