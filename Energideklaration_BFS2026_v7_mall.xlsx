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2.xml" ContentType="application/vnd.openxmlformats-officedocument.drawing+xml"/>
  <Override PartName="/xl/comments11.xml" ContentType="application/vnd.openxmlformats-officedocument.spreadsheetml.comments+xml"/>
  <Override PartName="/xl/drawings/drawing3.xml" ContentType="application/vnd.openxmlformats-officedocument.drawing+xml"/>
  <Override PartName="/xl/comments12.xml" ContentType="application/vnd.openxmlformats-officedocument.spreadsheetml.comments+xml"/>
  <Override PartName="/xl/drawings/drawing4.xml" ContentType="application/vnd.openxmlformats-officedocument.drawing+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hsbtu\Downloads\"/>
    </mc:Choice>
  </mc:AlternateContent>
  <xr:revisionPtr revIDLastSave="0" documentId="13_ncr:1_{61DD49A0-85A3-4F7E-9E82-29931C256493}" xr6:coauthVersionLast="47" xr6:coauthVersionMax="47" xr10:uidLastSave="{00000000-0000-0000-0000-000000000000}"/>
  <bookViews>
    <workbookView xWindow="-90" yWindow="-90" windowWidth="19380" windowHeight="10260" tabRatio="500" firstSheet="3" activeTab="3" xr2:uid="{00000000-000D-0000-FFFF-FFFF00000000}"/>
  </bookViews>
  <sheets>
    <sheet name="Instruktion" sheetId="1" r:id="rId1"/>
    <sheet name="Sammanfattning" sheetId="2" r:id="rId2"/>
    <sheet name="Byggnader" sheetId="3" r:id="rId3"/>
    <sheet name="Tidigare deklarationer" sheetId="4" r:id="rId4"/>
    <sheet name="Mätdata" sheetId="5" r:id="rId5"/>
    <sheet name="El" sheetId="6" r:id="rId6"/>
    <sheet name="Besiktningsprotokoll" sheetId="7" r:id="rId7"/>
    <sheet name="Bilder" sheetId="8" r:id="rId8"/>
    <sheet name="Normalisering" sheetId="9" r:id="rId9"/>
    <sheet name="Resultat" sheetId="10" r:id="rId10"/>
    <sheet name="Gripen" sheetId="11" r:id="rId11"/>
    <sheet name="Beräkningshjälp schabloner" sheetId="12" r:id="rId12"/>
    <sheet name="Nyckeltal" sheetId="13" r:id="rId13"/>
    <sheet name="Energiprisfaktorer" sheetId="14" r:id="rId14"/>
    <sheet name="Installera bergvärme" sheetId="15" r:id="rId15"/>
    <sheet name="Injustering av värmesystem" sheetId="16" r:id="rId16"/>
    <sheet name="Styrsystem för värme" sheetId="17" r:id="rId17"/>
    <sheet name="Tilläggisolering av vindsbjälk" sheetId="18" r:id="rId18"/>
    <sheet name="Byte fönster" sheetId="19" r:id="rId19"/>
    <sheet name="Tilläggisol fasad" sheetId="20" r:id="rId20"/>
    <sheet name="Installation F-återvinning" sheetId="21" r:id="rId21"/>
    <sheet name="Installation av solceller" sheetId="22" r:id="rId22"/>
    <sheet name="Byte av pump" sheetId="23" r:id="rId23"/>
    <sheet name="Byte av fläkt" sheetId="24" r:id="rId24"/>
    <sheet name="Övrig åtgärd" sheetId="25" r:id="rId25"/>
    <sheet name="Förslagstexter och kalkyl" sheetId="26" r:id="rId26"/>
    <sheet name="Regler BFS 2026" sheetId="27" r:id="rId27"/>
  </sheet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10" authorId="0" shapeId="0" xr:uid="{00000000-0006-0000-0200-000002000000}">
      <text>
        <r>
          <rPr>
            <sz val="10"/>
            <rFont val="Arial"/>
            <family val="2"/>
          </rPr>
          <t>Gripen gör klimatkorrigeringen själv. Värdet används bara för att mallens kontrollberäkning av Etal ska stämma med Gripen. Ange samma energiindex som Gripen visar.</t>
        </r>
      </text>
    </comment>
    <comment ref="C21" authorId="0" shapeId="0" xr:uid="{00000000-0006-0000-0200-000003000000}">
      <text>
        <r>
          <rPr>
            <sz val="10"/>
            <rFont val="Arial"/>
            <family val="2"/>
          </rPr>
          <t>Summerad A-temp för bostadsdelen. Beräknas vid sidan om, t.ex. per våningsplan.</t>
        </r>
      </text>
    </comment>
    <comment ref="A31" authorId="0" shapeId="0" xr:uid="{00000000-0006-0000-0200-000001000000}">
      <text>
        <r>
          <rPr>
            <sz val="10"/>
            <rFont val="Arial"/>
            <family val="2"/>
          </rPr>
          <t>Ingår i Atemp enligt BFS 2026:9 (ytor som värms till mer än 10 °C). Räknas till bostadsdelens kategori.</t>
        </r>
      </text>
    </comment>
    <comment ref="I39" authorId="0" shapeId="0" xr:uid="{00000000-0006-0000-0200-000004000000}">
      <text>
        <r>
          <rPr>
            <sz val="10"/>
            <rFont val="Arial"/>
            <family val="2"/>
          </rPr>
          <t>Ska vara 100 %. Annars fördelas inte hela den gemensamma mätaren.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41" authorId="0" shapeId="0" xr:uid="{00000000-0006-0000-0400-000001000000}">
      <text>
        <r>
          <rPr>
            <sz val="10"/>
            <rFont val="Arial"/>
            <family val="2"/>
          </rPr>
          <t>Ca 55 kWh/m³ motsvarar uppvärmning ca 47 K.</t>
        </r>
      </text>
    </comment>
    <comment ref="B42" authorId="0" shapeId="0" xr:uid="{00000000-0006-0000-0400-000002000000}">
      <text>
        <r>
          <rPr>
            <sz val="10"/>
            <rFont val="Arial"/>
            <family val="2"/>
          </rPr>
          <t>1 = VVC-förlusterna ligger kvar i uppvärmningen (som i tidigare mall). Lägre värde = VVC-förlusterna räknas till tappvarmvattnet och skalas vid normalisering.</t>
        </r>
      </text>
    </comment>
    <comment ref="B43" authorId="0" shapeId="0" xr:uid="{00000000-0006-0000-0400-000003000000}">
      <text>
        <r>
          <rPr>
            <sz val="10"/>
            <rFont val="Arial"/>
            <family val="2"/>
          </rPr>
          <t>Används bara när ingen vattenmätare är ifylld.</t>
        </r>
      </text>
    </comment>
    <comment ref="C55" authorId="0" shapeId="0" xr:uid="{00000000-0006-0000-0400-000005000000}">
      <text>
        <r>
          <rPr>
            <sz val="10"/>
            <rFont val="Arial"/>
            <family val="2"/>
          </rPr>
          <t>Ska vara 100 % om byggnaderna har tappvarmvatten.</t>
        </r>
      </text>
    </comment>
    <comment ref="B57" authorId="0" shapeId="0" xr:uid="{00000000-0006-0000-0400-000004000000}">
      <text>
        <r>
          <rPr>
            <sz val="10"/>
            <rFont val="Arial"/>
            <family val="2"/>
          </rPr>
          <t>Fördelas: förlusterna ingår i uppmätt energi och fördelas med uppvärmningsnyckeln. Räknas bort: förlusterna dras från uppvärmningen innan fördelning.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5" authorId="0" shapeId="0" xr:uid="{00000000-0006-0000-0500-000007000000}">
      <text>
        <r>
          <rPr>
            <sz val="10"/>
            <rFont val="Arial"/>
            <family val="2"/>
          </rPr>
          <t>Används när produktionen inte är uppmätt.</t>
        </r>
      </text>
    </comment>
    <comment ref="C6" authorId="0" shapeId="0" xr:uid="{00000000-0006-0000-0500-000008000000}">
      <text>
        <r>
          <rPr>
            <sz val="10"/>
            <rFont val="Arial"/>
            <family val="2"/>
          </rPr>
          <t>Fördelas efter installerad effekt, eller efter A-temp om effekten saknas.</t>
        </r>
      </text>
    </comment>
    <comment ref="C7" authorId="0" shapeId="0" xr:uid="{00000000-0006-0000-0500-000009000000}">
      <text>
        <r>
          <rPr>
            <sz val="10"/>
            <rFont val="Arial"/>
            <family val="2"/>
          </rPr>
          <t>Fördelas efter andel av solproduktionen.</t>
        </r>
      </text>
    </comment>
    <comment ref="A11" authorId="0" shapeId="0" xr:uid="{00000000-0006-0000-0500-000001000000}">
      <text>
        <r>
          <rPr>
            <sz val="10"/>
            <rFont val="Arial"/>
            <family val="2"/>
          </rPr>
          <t>Inkommande el från nätet under mätperioden, inklusive IMD om lägenheterna sitter på samma mätare.</t>
        </r>
      </text>
    </comment>
    <comment ref="A12" authorId="0" shapeId="0" xr:uid="{00000000-0006-0000-0500-000002000000}">
      <text>
        <r>
          <rPr>
            <sz val="10"/>
            <rFont val="Arial"/>
            <family val="2"/>
          </rPr>
          <t>Summerad IMD-el som debiteras lägenheterna. Lämna tomt om lägenheterna har egna abonnemang.</t>
        </r>
      </text>
    </comment>
    <comment ref="A13" authorId="0" shapeId="0" xr:uid="{00000000-0006-0000-0500-000003000000}">
      <text>
        <r>
          <rPr>
            <sz val="10"/>
            <rFont val="Arial"/>
            <family val="2"/>
          </rPr>
          <t>Används bara för internlasten i normaliseringen. Påverkar inte fördelningen.</t>
        </r>
      </text>
    </comment>
    <comment ref="A20" authorId="0" shapeId="0" xr:uid="{00000000-0006-0000-0500-000004000000}">
      <text>
        <r>
          <rPr>
            <sz val="10"/>
            <rFont val="Arial"/>
            <family val="2"/>
          </rPr>
          <t>Köpt el + egenanvänd solel. Det är all el som används bakom fastighetens elmätare.</t>
        </r>
      </text>
    </comment>
    <comment ref="C25" authorId="0" shapeId="0" xr:uid="{00000000-0006-0000-0500-00000A000000}">
      <text>
        <r>
          <rPr>
            <sz val="10"/>
            <rFont val="Arial"/>
            <family val="2"/>
          </rPr>
          <t>Hämtas från besiktningsprotokollet. Kan skrivas över. Andelarna används för att fördela den uppmätta gemensamma elen.</t>
        </r>
      </text>
    </comment>
    <comment ref="C30" authorId="0" shapeId="0" xr:uid="{00000000-0006-0000-0500-00000B000000}">
      <text>
        <r>
          <rPr>
            <sz val="10"/>
            <rFont val="Arial"/>
            <family val="2"/>
          </rPr>
          <t>Hiss, värmekablar och annan el som inte ingår i energiprestandan och inte redovisas som verksamhetsel. Ange uppskattad årsförbrukning.</t>
        </r>
      </text>
    </comment>
    <comment ref="C32" authorId="0" shapeId="0" xr:uid="{00000000-0006-0000-0500-00000C000000}">
      <text>
        <r>
          <rPr>
            <sz val="10"/>
            <rFont val="Arial"/>
            <family val="2"/>
          </rPr>
          <t>Stor avvikelse betyder att besiktningen missat förbrukare eller överskattat dem. Fördelningen skalas ändå till uppmätt el.</t>
        </r>
      </text>
    </comment>
    <comment ref="A79" authorId="0" shapeId="0" xr:uid="{00000000-0006-0000-0500-000005000000}">
      <text>
        <r>
          <rPr>
            <sz val="10"/>
            <rFont val="Arial"/>
            <family val="2"/>
          </rPr>
          <t>Ska vara 0. Avvikelse uppstår om uppmätta förbrukare tillsammans överstiger den gemensamma elen.</t>
        </r>
      </text>
    </comment>
    <comment ref="B82" authorId="0" shapeId="0" xr:uid="{00000000-0006-0000-0500-000006000000}">
      <text>
        <r>
          <rPr>
            <sz val="10"/>
            <rFont val="Arial"/>
            <family val="2"/>
          </rPr>
          <t>Standard 1,0 = solelen fördelas efter årsförbrukning. Högre värde för förbrukning som sker när solen lyser, lägre för kvälls- eller vinterförbrukning.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28" authorId="0" shapeId="0" xr:uid="{00000000-0006-0000-0600-000001000000}">
      <text>
        <r>
          <rPr>
            <sz val="10"/>
            <rFont val="Arial"/>
            <family val="2"/>
          </rPr>
          <t>Rättad: dividerade tidigare med Byggnader C17+D17, som är nybyggnadsår. Nu W/m² Atemp för hela fastigheten.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10" authorId="0" shapeId="0" xr:uid="{00000000-0006-0000-0800-000004000000}">
      <text>
        <r>
          <rPr>
            <sz val="10"/>
            <rFont val="Arial"/>
            <family val="2"/>
          </rPr>
          <t>Anpassa efter ort.</t>
        </r>
      </text>
    </comment>
    <comment ref="C15" authorId="0" shapeId="0" xr:uid="{00000000-0006-0000-0800-000005000000}">
      <text>
        <r>
          <rPr>
            <sz val="10"/>
            <rFont val="Arial"/>
            <family val="2"/>
          </rPr>
          <t>Uppmätt eller projekterat genomsnittligt uteluftsflöde. Jämför med besiktningsprotokollets beräknade genomsnittsflöde (B78).</t>
        </r>
      </text>
    </comment>
    <comment ref="C16" authorId="0" shapeId="0" xr:uid="{00000000-0006-0000-0800-000006000000}">
      <text>
        <r>
          <rPr>
            <sz val="10"/>
            <rFont val="Arial"/>
            <family val="2"/>
          </rPr>
          <t>0 vid F, självdrag eller frånluftsvärmepump (återvinningen syns då i värmepumpens el).</t>
        </r>
      </text>
    </comment>
    <comment ref="C17" authorId="0" shapeId="0" xr:uid="{00000000-0006-0000-0800-000007000000}">
      <text>
        <r>
          <rPr>
            <sz val="10"/>
            <rFont val="Arial"/>
            <family val="2"/>
          </rPr>
          <t>Sveby: 1 rok 1,42, 2 rok 1,63, 3 rok 2,18, 4 rok 2,79, 5 rok 3,51. För småhus: personer per hus.</t>
        </r>
      </text>
    </comment>
    <comment ref="A106" authorId="0" shapeId="0" xr:uid="{00000000-0006-0000-0800-000001000000}">
      <text>
        <r>
          <rPr>
            <sz val="10"/>
            <rFont val="Arial"/>
            <family val="2"/>
          </rPr>
          <t>(Faktisk − kategoritypisk internlast) × A-temp × timmar uppvärmningssäsong. Mer gratisvärme än kategoritypiskt ger uppräknad uppvärmning.</t>
        </r>
      </text>
    </comment>
    <comment ref="A107" authorId="0" shapeId="0" xr:uid="{00000000-0006-0000-0800-000002000000}">
      <text>
        <r>
          <rPr>
            <sz val="10"/>
            <rFont val="Arial"/>
            <family val="2"/>
          </rPr>
          <t>1,2 × (faktiskt − kategoritypiskt uteluftsflöde) × A-temp × gradtimmar × (1 − återvinning). Högre flöde än kategoritypiskt ger nedräknad uppvärmning.</t>
        </r>
      </text>
    </comment>
    <comment ref="A136" authorId="0" shapeId="0" xr:uid="{00000000-0006-0000-0800-000003000000}">
      <text>
        <r>
          <rPr>
            <sz val="10"/>
            <rFont val="Arial"/>
            <family val="2"/>
          </rPr>
          <t>Fastighetselen antas vara lika per m² i alla byggnader och fördelas efter A-temp.</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9" authorId="0" shapeId="0" xr:uid="{00000000-0006-0000-0900-000001000000}">
      <text>
        <r>
          <rPr>
            <sz val="10"/>
            <rFont val="Arial"/>
            <family val="2"/>
          </rPr>
          <t>Fastighetsel inom systemgräns minus egenanvänd solel, och minus solel till värmepump.</t>
        </r>
      </text>
    </comment>
    <comment ref="A26" authorId="0" shapeId="0" xr:uid="{00000000-0006-0000-0900-000002000000}">
      <text>
        <r>
          <rPr>
            <sz val="10"/>
            <rFont val="Arial"/>
            <family val="2"/>
          </rPr>
          <t>A0 kräver även att installationerna kan reagera på externa signaler, vilket besvaras i Gripen.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1" authorId="0" shapeId="0" xr:uid="{00000000-0006-0000-0A00-000002000000}">
      <text>
        <r>
          <rPr>
            <sz val="10"/>
            <rFont val="Arial"/>
            <family val="2"/>
          </rPr>
          <t>Normaliserad för kategoritypisk användning enligt valen i Normalisering, inte klimatkorrigerad. Rader med 0 behöver inte läggas till i Gripen.</t>
        </r>
      </text>
    </comment>
    <comment ref="A56" authorId="0" shapeId="0" xr:uid="{00000000-0006-0000-0A00-000001000000}">
      <text>
        <r>
          <rPr>
            <sz val="10"/>
            <rFont val="Arial"/>
            <family val="2"/>
          </rPr>
          <t>Ventilation, pumpar, styrning och fast belysning i allmänna utrymmen och driftsutrymmen. Netto efter egenanvänd solel.</t>
        </r>
      </text>
    </comment>
    <comment ref="B59" authorId="0" shapeId="0" xr:uid="{00000000-0006-0000-0A00-000003000000}">
      <text>
        <r>
          <rPr>
            <sz val="10"/>
            <rFont val="Arial"/>
            <family val="2"/>
          </rPr>
          <t>Elen ovan är redan netto efter egenanvänd solel. Kontrollera att Gripen inte drar av den en gång till.</t>
        </r>
      </text>
    </comment>
    <comment ref="E77" authorId="0" shapeId="0" xr:uid="{00000000-0006-0000-0A00-000006000000}">
      <text>
        <r>
          <rPr>
            <sz val="10"/>
            <rFont val="Arial"/>
            <family val="2"/>
          </rPr>
          <t>Uppvärmningsparametrarna visas som förändrat värmebehov per m². Tappvarmvattnet som förändrad levererad energi per m².</t>
        </r>
      </text>
    </comment>
    <comment ref="B84" authorId="0" shapeId="0" xr:uid="{00000000-0006-0000-0A00-000004000000}">
      <text>
        <r>
          <rPr>
            <sz val="10"/>
            <rFont val="Arial"/>
            <family val="2"/>
          </rPr>
          <t>Gäller hela centralen. Vid en central som försörjer flera byggnader, bedöm om effekten ska anges för systemet eller fördelas.</t>
        </r>
      </text>
    </comment>
    <comment ref="D88" authorId="0" shapeId="0" xr:uid="{00000000-0006-0000-0A00-000005000000}">
      <text>
        <r>
          <rPr>
            <sz val="10"/>
            <rFont val="Arial"/>
            <family val="2"/>
          </rPr>
          <t>Fastighetens besparing fördelad efter byggnadens andel av A-temp.</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2" authorId="0" shapeId="0" xr:uid="{00000000-0006-0000-0E00-000001000000}">
      <text>
        <r>
          <rPr>
            <sz val="10"/>
            <rFont val="Arial"/>
            <family val="2"/>
          </rPr>
          <t>Sätt "Ja" för att ta med denna åtgärd i sammanfattningsfliken (investering, energi- och kostnadsbesparing). Sätt "Nej" om åtgärden inte föreslås.</t>
        </r>
      </text>
    </comment>
    <comment ref="C4" authorId="0" shapeId="0" xr:uid="{00000000-0006-0000-0E00-000002000000}">
      <text>
        <r>
          <rPr>
            <sz val="10"/>
            <rFont val="Arial"/>
            <family val="2"/>
          </rPr>
          <t>Lars Abrahamsson:
Areauppgiften avser ofta 
 A-temp. Area=1 avser normalt 1 kvadratmeter vägg /tak eller 1 hus</t>
        </r>
      </text>
    </comment>
    <comment ref="D5" authorId="0" shapeId="0" xr:uid="{00000000-0006-0000-0E00-000004000000}">
      <text>
        <r>
          <rPr>
            <sz val="10"/>
            <rFont val="Arial"/>
            <family val="2"/>
          </rPr>
          <t>Lars Abrahamsson:
Energiprisutveckling och kalkylränta skall båda vara antingen nominella eller reala. För mer info se under Dokument på hemsidan</t>
        </r>
      </text>
    </comment>
    <comment ref="F5" authorId="0" shapeId="0" xr:uid="{00000000-0006-0000-0E00-000005000000}">
      <text>
        <r>
          <rPr>
            <sz val="10"/>
            <rFont val="Arial"/>
            <family val="2"/>
          </rPr>
          <t>Lars Abrahamsson:
Lönsamhetsgränsen uppnås när värdet på Differens (cell D42) är 0. Använd Verktyg/ Målsökning.
Målcell: D42 Värde: 0
Justerbar cell: C5, gå till denna cell!
Värdet i den justerbara cellen ändras nu till 7,0% Kom ihåg detta värde (7,0%) samt tryck Avbryt. Skriv in värdet 7,0% i cell E5.
(Som ett alternativ kan du ändra direkt i ruta C 5  till dess värdet i cell D42 är (nära)  0. Glöm då inte att ändra tillbaka till det ursprungliga värdena när du skrivit in internräntan i ruta E5</t>
        </r>
      </text>
    </comment>
    <comment ref="F6" authorId="0" shapeId="0" xr:uid="{00000000-0006-0000-0E00-000006000000}">
      <text>
        <r>
          <rPr>
            <sz val="10"/>
            <rFont val="Arial"/>
            <family val="2"/>
          </rPr>
          <t>Lars:
Investeringskostnaden delat med värdet av årlig besparing</t>
        </r>
      </text>
    </comment>
    <comment ref="C9" authorId="0" shapeId="0" xr:uid="{00000000-0006-0000-0E00-000003000000}">
      <text>
        <r>
          <rPr>
            <sz val="10"/>
            <rFont val="Arial"/>
            <family val="2"/>
          </rPr>
          <t>Lars Abrahamsson:
Det rörliga energipriset är ofta det som påverkas av en energiåtgärd. Om fasta eller sk halvfasta kostnader påverkas kan Edkalkyl behöva modifieras</t>
        </r>
      </text>
    </comment>
    <comment ref="F20" authorId="0" shapeId="0" xr:uid="{00000000-0006-0000-0E00-000007000000}">
      <text>
        <r>
          <rPr>
            <sz val="10"/>
            <rFont val="Arial"/>
            <family val="2"/>
          </rPr>
          <t>Lars Abrahamsson:
Detta är den högsta godtagbara investeringskostnaden om investeringen skall vara lönsam</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2" authorId="0" shapeId="0" xr:uid="{00000000-0006-0000-0F00-000001000000}">
      <text>
        <r>
          <rPr>
            <sz val="10"/>
            <rFont val="Arial"/>
            <family val="2"/>
          </rPr>
          <t>Sätt "Ja" för att ta med denna åtgärd i sammanfattningsfliken (investering, energi- och kostnadsbesparing). Sätt "Nej" om åtgärden inte föreslås.</t>
        </r>
      </text>
    </comment>
    <comment ref="C4" authorId="0" shapeId="0" xr:uid="{00000000-0006-0000-0F00-000002000000}">
      <text>
        <r>
          <rPr>
            <sz val="10"/>
            <rFont val="Arial"/>
            <family val="2"/>
          </rPr>
          <t>Lars Abrahamsson:
Areauppgiften avser ofta 
 A-temp. Area=1 avser normalt 1 kvadratmeter vägg /tak eller 1 hus</t>
        </r>
      </text>
    </comment>
    <comment ref="D5" authorId="0" shapeId="0" xr:uid="{00000000-0006-0000-0F00-000004000000}">
      <text>
        <r>
          <rPr>
            <sz val="10"/>
            <rFont val="Arial"/>
            <family val="2"/>
          </rPr>
          <t>Lars Abrahamsson:
Energiprisutveckling och kalkylränta skall båda vara antingen nominella eller reala. För mer info se under Dokument på hemsidan</t>
        </r>
      </text>
    </comment>
    <comment ref="F5" authorId="0" shapeId="0" xr:uid="{00000000-0006-0000-0F00-000005000000}">
      <text>
        <r>
          <rPr>
            <sz val="10"/>
            <rFont val="Arial"/>
            <family val="2"/>
          </rPr>
          <t>Lars Abrahamsson:
Lönsamhetsgränsen uppnås när värdet på Differens (cell D42) är 0. Använd Verktyg/ Målsökning.
Målcell: D42 Värde: 0
Justerbar cell: C5, gå till denna cell!
Värdet i den justerbara cellen ändras nu till 7,0% Kom ihåg detta värde (7,0%) samt tryck Avbryt. Skriv in värdet 7,0% i cell E5.
(Som ett alternativ kan du ändra direkt i ruta C 5  till dess värdet i cell D42 är (nära)  0. Glöm då inte att ändra tillbaka till det ursprungliga värdena när du skrivit in internräntan i ruta E5</t>
        </r>
      </text>
    </comment>
    <comment ref="F6" authorId="0" shapeId="0" xr:uid="{00000000-0006-0000-0F00-000006000000}">
      <text>
        <r>
          <rPr>
            <sz val="10"/>
            <rFont val="Arial"/>
            <family val="2"/>
          </rPr>
          <t>Lars:
Investeringskostnaden delat med värdet av årlig besparing</t>
        </r>
      </text>
    </comment>
    <comment ref="C9" authorId="0" shapeId="0" xr:uid="{00000000-0006-0000-0F00-000003000000}">
      <text>
        <r>
          <rPr>
            <sz val="10"/>
            <rFont val="Arial"/>
            <family val="2"/>
          </rPr>
          <t>Lars Abrahamsson:
Det rörliga energipriset är ofta det som påverkas av en energiåtgärd. Om fasta eller sk halvfasta kostnader påverkas kan Edkalkyl behöva modifieras</t>
        </r>
      </text>
    </comment>
    <comment ref="F20" authorId="0" shapeId="0" xr:uid="{00000000-0006-0000-0F00-000007000000}">
      <text>
        <r>
          <rPr>
            <sz val="10"/>
            <rFont val="Arial"/>
            <family val="2"/>
          </rPr>
          <t>Lars Abrahamsson:
Detta är den högsta godtagbara investeringskostnaden om investeringen skall vara lönsam</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2" authorId="0" shapeId="0" xr:uid="{00000000-0006-0000-1000-000001000000}">
      <text>
        <r>
          <rPr>
            <sz val="10"/>
            <rFont val="Arial"/>
            <family val="2"/>
          </rPr>
          <t>Sätt "Ja" för att ta med denna åtgärd i sammanfattningsfliken (investering, energi- och kostnadsbesparing). Sätt "Nej" om åtgärden inte föreslås.</t>
        </r>
      </text>
    </comment>
    <comment ref="C4" authorId="0" shapeId="0" xr:uid="{00000000-0006-0000-1000-000002000000}">
      <text>
        <r>
          <rPr>
            <sz val="10"/>
            <rFont val="Arial"/>
            <family val="2"/>
          </rPr>
          <t>Lars Abrahamsson:
Areauppgiften avser ofta 
 A-temp. Area=1 avser normalt 1 kvadratmeter vägg /tak eller 1 hus</t>
        </r>
      </text>
    </comment>
    <comment ref="D5" authorId="0" shapeId="0" xr:uid="{00000000-0006-0000-1000-000004000000}">
      <text>
        <r>
          <rPr>
            <sz val="10"/>
            <rFont val="Arial"/>
            <family val="2"/>
          </rPr>
          <t>Lars Abrahamsson:
Energiprisutveckling och kalkylränta skall båda vara antingen nominella eller reala. För mer info se under Dokument på hemsidan</t>
        </r>
      </text>
    </comment>
    <comment ref="F5" authorId="0" shapeId="0" xr:uid="{00000000-0006-0000-1000-000005000000}">
      <text>
        <r>
          <rPr>
            <sz val="10"/>
            <rFont val="Arial"/>
            <family val="2"/>
          </rPr>
          <t>Lars Abrahamsson:
Lönsamhetsgränsen uppnås när värdet på Differens (cell D42) är 0. Använd Verktyg/ Målsökning.
Målcell: D42 Värde: 0
Justerbar cell: C5, gå till denna cell!
Värdet i den justerbara cellen ändras nu till 7,0% Kom ihåg detta värde (7,0%) samt tryck Avbryt. Skriv in värdet 7,0% i cell E5.
(Som ett alternativ kan du ändra direkt i ruta C 5  till dess värdet i cell D42 är (nära)  0. Glöm då inte att ändra tillbaka till det ursprungliga värdena när du skrivit in internräntan i ruta E5</t>
        </r>
      </text>
    </comment>
    <comment ref="F6" authorId="0" shapeId="0" xr:uid="{00000000-0006-0000-1000-000006000000}">
      <text>
        <r>
          <rPr>
            <sz val="10"/>
            <rFont val="Arial"/>
            <family val="2"/>
          </rPr>
          <t>Lars:
Investeringskostnaden delat med värdet av årlig besparing</t>
        </r>
      </text>
    </comment>
    <comment ref="C9" authorId="0" shapeId="0" xr:uid="{00000000-0006-0000-1000-000003000000}">
      <text>
        <r>
          <rPr>
            <sz val="10"/>
            <rFont val="Arial"/>
            <family val="2"/>
          </rPr>
          <t>Lars Abrahamsson:
Det rörliga energipriset är ofta det som påverkas av en energiåtgärd. Om fasta eller sk halvfasta kostnader påverkas kan Edkalkyl behöva modifieras</t>
        </r>
      </text>
    </comment>
    <comment ref="F20" authorId="0" shapeId="0" xr:uid="{00000000-0006-0000-1000-000007000000}">
      <text>
        <r>
          <rPr>
            <sz val="10"/>
            <rFont val="Arial"/>
            <family val="2"/>
          </rPr>
          <t>Lars Abrahamsson:
Detta är den högsta godtagbara investeringskostnaden om investeringen skall vara lönsam</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2" authorId="0" shapeId="0" xr:uid="{00000000-0006-0000-1100-000001000000}">
      <text>
        <r>
          <rPr>
            <sz val="10"/>
            <rFont val="Arial"/>
            <family val="2"/>
          </rPr>
          <t>Sätt "Ja" för att ta med denna åtgärd i sammanfattningsfliken (investering, energi- och kostnadsbesparing). Sätt "Nej" om åtgärden inte föreslås.</t>
        </r>
      </text>
    </comment>
    <comment ref="C4" authorId="0" shapeId="0" xr:uid="{00000000-0006-0000-1100-000002000000}">
      <text>
        <r>
          <rPr>
            <sz val="10"/>
            <rFont val="Arial"/>
            <family val="2"/>
          </rPr>
          <t>Lars Abrahamsson:
Areauppgiften avser ofta 
 A-temp. Area=1 avser normalt 1 kvadratmeter vägg /tak eller 1 hus</t>
        </r>
      </text>
    </comment>
    <comment ref="D5" authorId="0" shapeId="0" xr:uid="{00000000-0006-0000-1100-000004000000}">
      <text>
        <r>
          <rPr>
            <sz val="10"/>
            <rFont val="Arial"/>
            <family val="2"/>
          </rPr>
          <t>Lars Abrahamsson:
Energiprisutveckling och kalkylränta skall båda vara antingen nominella eller reala. För mer info se under Dokument på hemsidan</t>
        </r>
      </text>
    </comment>
    <comment ref="F5" authorId="0" shapeId="0" xr:uid="{00000000-0006-0000-1100-000005000000}">
      <text>
        <r>
          <rPr>
            <sz val="10"/>
            <rFont val="Arial"/>
            <family val="2"/>
          </rPr>
          <t>Lars Abrahamsson:
Lönsamhetsgränsen uppnås när värdet på Differens (cell D42) är 0. Använd Verktyg/ Målsökning.
Målcell: D42 Värde: 0
Justerbar cell: C5, gå till denna cell!
Värdet i den justerbara cellen ändras nu till 7,0% Kom ihåg detta värde (7,0%) samt tryck Avbryt. Skriv in värdet 7,0% i cell E5.
(Som ett alternativ kan du ändra direkt i ruta C 5  till dess värdet i cell D42 är (nära)  0. Glöm då inte att ändra tillbaka till det ursprungliga värdena när du skrivit in internräntan i ruta E5</t>
        </r>
      </text>
    </comment>
    <comment ref="F6" authorId="0" shapeId="0" xr:uid="{00000000-0006-0000-1100-000006000000}">
      <text>
        <r>
          <rPr>
            <sz val="10"/>
            <rFont val="Arial"/>
            <family val="2"/>
          </rPr>
          <t>Lars:
Investeringskostnaden delat med värdet av årlig besparing</t>
        </r>
      </text>
    </comment>
    <comment ref="C9" authorId="0" shapeId="0" xr:uid="{00000000-0006-0000-1100-000003000000}">
      <text>
        <r>
          <rPr>
            <sz val="10"/>
            <rFont val="Arial"/>
            <family val="2"/>
          </rPr>
          <t>Lars Abrahamsson:
Det rörliga energipriset är ofta det som påverkas av en energiåtgärd. Om fasta eller sk halvfasta kostnader påverkas kan Edkalkyl behöva modifieras</t>
        </r>
      </text>
    </comment>
    <comment ref="F20" authorId="0" shapeId="0" xr:uid="{00000000-0006-0000-1100-000007000000}">
      <text>
        <r>
          <rPr>
            <sz val="10"/>
            <rFont val="Arial"/>
            <family val="2"/>
          </rPr>
          <t>Lars Abrahamsson:
Detta är den högsta godtagbara investeringskostnaden om investeringen skall vara lönsam</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2" authorId="0" shapeId="0" xr:uid="{00000000-0006-0000-1200-000001000000}">
      <text>
        <r>
          <rPr>
            <sz val="10"/>
            <rFont val="Arial"/>
            <family val="2"/>
          </rPr>
          <t>Sätt "Ja" för att ta med denna åtgärd i sammanfattningsfliken (investering, energi- och kostnadsbesparing). Sätt "Nej" om åtgärden inte föreslås.</t>
        </r>
      </text>
    </comment>
    <comment ref="C4" authorId="0" shapeId="0" xr:uid="{00000000-0006-0000-1200-000002000000}">
      <text>
        <r>
          <rPr>
            <sz val="10"/>
            <rFont val="Arial"/>
            <family val="2"/>
          </rPr>
          <t>Lars Abrahamsson:
Areauppgiften avser ofta 
 A-temp. Area=1 avser normalt 1 kvadratmeter vägg /tak eller 1 hus</t>
        </r>
      </text>
    </comment>
    <comment ref="D5" authorId="0" shapeId="0" xr:uid="{00000000-0006-0000-1200-000004000000}">
      <text>
        <r>
          <rPr>
            <sz val="10"/>
            <rFont val="Arial"/>
            <family val="2"/>
          </rPr>
          <t>Lars Abrahamsson:
Energiprisutveckling och kalkylränta skall båda vara antingen nominella eller reala. För mer info se under Dokument på hemsidan</t>
        </r>
      </text>
    </comment>
    <comment ref="F5" authorId="0" shapeId="0" xr:uid="{00000000-0006-0000-1200-000005000000}">
      <text>
        <r>
          <rPr>
            <sz val="10"/>
            <rFont val="Arial"/>
            <family val="2"/>
          </rPr>
          <t>Lars Abrahamsson:
Lönsamhetsgränsen uppnås när värdet på Differens (cell D42) är 0. Använd Verktyg/ Målsökning.
Målcell: D42 Värde: 0
Justerbar cell: C5, gå till denna cell!
Värdet i den justerbara cellen ändras nu till 7,0% Kom ihåg detta värde (7,0%) samt tryck Avbryt. Skriv in värdet 7,0% i cell E5.
(Som ett alternativ kan du ändra direkt i ruta C 5  till dess värdet i cell D42 är (nära)  0. Glöm då inte att ändra tillbaka till det ursprungliga värdena när du skrivit in internräntan i ruta E5</t>
        </r>
      </text>
    </comment>
    <comment ref="F6" authorId="0" shapeId="0" xr:uid="{00000000-0006-0000-1200-000006000000}">
      <text>
        <r>
          <rPr>
            <sz val="10"/>
            <rFont val="Arial"/>
            <family val="2"/>
          </rPr>
          <t>Lars:
Investeringskostnaden delat med värdet av årlig besparing</t>
        </r>
      </text>
    </comment>
    <comment ref="C9" authorId="0" shapeId="0" xr:uid="{00000000-0006-0000-1200-000003000000}">
      <text>
        <r>
          <rPr>
            <sz val="10"/>
            <rFont val="Arial"/>
            <family val="2"/>
          </rPr>
          <t>Lars Abrahamsson:
Det rörliga energipriset är ofta det som påverkas av en energiåtgärd. Om fasta eller sk halvfasta kostnader påverkas kan Edkalkyl behöva modifieras</t>
        </r>
      </text>
    </comment>
    <comment ref="K10" authorId="0" shapeId="0" xr:uid="{00000000-0006-0000-1200-000008000000}">
      <text>
        <r>
          <rPr>
            <sz val="10"/>
            <rFont val="Arial"/>
            <family val="2"/>
          </rPr>
          <t>Eget nyckeltal för denna åtgärd (kr/m2 fönsteryta). Inte samma mängdenhet som kr/m2 A-temp i fliken "Nyckeltal" (1 100 kr/m2 A-temp) - jämför inte direkt. Uppdatera mot aktuellt marknadspris.</t>
        </r>
      </text>
    </comment>
    <comment ref="F20" authorId="0" shapeId="0" xr:uid="{00000000-0006-0000-1200-000007000000}">
      <text>
        <r>
          <rPr>
            <sz val="10"/>
            <rFont val="Arial"/>
            <family val="2"/>
          </rPr>
          <t>Lars Abrahamsson:
Detta är den högsta godtagbara investeringskostnaden om investeringen skall vara lönsam</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2" authorId="0" shapeId="0" xr:uid="{00000000-0006-0000-1300-000001000000}">
      <text>
        <r>
          <rPr>
            <sz val="10"/>
            <rFont val="Arial"/>
            <family val="2"/>
          </rPr>
          <t>Sätt "Ja" för att ta med denna åtgärd i sammanfattningsfliken (investering, energi- och kostnadsbesparing). Sätt "Nej" om åtgärden inte föreslås.</t>
        </r>
      </text>
    </comment>
    <comment ref="C4" authorId="0" shapeId="0" xr:uid="{00000000-0006-0000-1300-000002000000}">
      <text>
        <r>
          <rPr>
            <sz val="10"/>
            <rFont val="Arial"/>
            <family val="2"/>
          </rPr>
          <t>Lars Abrahamsson:
Areauppgiften avser ofta 
 A-temp. Area=1 avser normalt 1 kvadratmeter vägg /tak eller 1 hus</t>
        </r>
      </text>
    </comment>
    <comment ref="D5" authorId="0" shapeId="0" xr:uid="{00000000-0006-0000-1300-000004000000}">
      <text>
        <r>
          <rPr>
            <sz val="10"/>
            <rFont val="Arial"/>
            <family val="2"/>
          </rPr>
          <t>Lars Abrahamsson:
Energiprisutveckling och kalkylränta skall båda vara antingen nominella eller reala. För mer info se under Dokument på hemsidan</t>
        </r>
      </text>
    </comment>
    <comment ref="F5" authorId="0" shapeId="0" xr:uid="{00000000-0006-0000-1300-000005000000}">
      <text>
        <r>
          <rPr>
            <sz val="10"/>
            <rFont val="Arial"/>
            <family val="2"/>
          </rPr>
          <t>Lars Abrahamsson:
Lönsamhetsgränsen uppnås när värdet på Differens (cell D42) är 0. Använd Verktyg/ Målsökning.
Målcell: D42 Värde: 0
Justerbar cell: C5, gå till denna cell!
Värdet i den justerbara cellen ändras nu till 7,0% Kom ihåg detta värde (7,0%) samt tryck Avbryt. Skriv in värdet 7,0% i cell E5.
(Som ett alternativ kan du ändra direkt i ruta C 5  till dess värdet i cell D42 är (nära)  0. Glöm då inte att ändra tillbaka till det ursprungliga värdena när du skrivit in internräntan i ruta E5</t>
        </r>
      </text>
    </comment>
    <comment ref="F6" authorId="0" shapeId="0" xr:uid="{00000000-0006-0000-1300-000006000000}">
      <text>
        <r>
          <rPr>
            <sz val="10"/>
            <rFont val="Arial"/>
            <family val="2"/>
          </rPr>
          <t>Lars:
Investeringskostnaden delat med värdet av årlig besparing</t>
        </r>
      </text>
    </comment>
    <comment ref="C9" authorId="0" shapeId="0" xr:uid="{00000000-0006-0000-1300-000003000000}">
      <text>
        <r>
          <rPr>
            <sz val="10"/>
            <rFont val="Arial"/>
            <family val="2"/>
          </rPr>
          <t>Lars Abrahamsson:
Det rörliga energipriset är ofta det som påverkas av en energiåtgärd. Om fasta eller sk halvfasta kostnader påverkas kan Edkalkyl behöva modifieras</t>
        </r>
      </text>
    </comment>
    <comment ref="K10" authorId="0" shapeId="0" xr:uid="{00000000-0006-0000-1300-000008000000}">
      <text>
        <r>
          <rPr>
            <sz val="10"/>
            <rFont val="Arial"/>
            <family val="2"/>
          </rPr>
          <t>Eget nyckeltal för denna åtgärd (kr/m2 fasadyta exkl fönster). Inte samma mängdenhet som kr/m2 A-temp i fliken "Nyckeltal" (2 400 kr/m2 A-temp) - jämför inte direkt. Uppdatera mot aktuellt marknadspris.</t>
        </r>
      </text>
    </comment>
    <comment ref="F20" authorId="0" shapeId="0" xr:uid="{00000000-0006-0000-1300-000007000000}">
      <text>
        <r>
          <rPr>
            <sz val="10"/>
            <rFont val="Arial"/>
            <family val="2"/>
          </rPr>
          <t>Lars Abrahamsson:
Detta är den högsta godtagbara investeringskostnaden om investeringen skall vara lönsam</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2" authorId="0" shapeId="0" xr:uid="{00000000-0006-0000-1400-000001000000}">
      <text>
        <r>
          <rPr>
            <sz val="10"/>
            <rFont val="Arial"/>
            <family val="2"/>
          </rPr>
          <t>Sätt "Ja" för att ta med denna åtgärd i sammanfattningsfliken (investering, energi- och kostnadsbesparing). Sätt "Nej" om åtgärden inte föreslås.</t>
        </r>
      </text>
    </comment>
    <comment ref="C4" authorId="0" shapeId="0" xr:uid="{00000000-0006-0000-1400-000002000000}">
      <text>
        <r>
          <rPr>
            <sz val="10"/>
            <rFont val="Arial"/>
            <family val="2"/>
          </rPr>
          <t>Lars Abrahamsson:
Areauppgiften avser ofta 
 A-temp. Area=1 avser normalt 1 kvadratmeter vägg /tak eller 1 hus</t>
        </r>
      </text>
    </comment>
    <comment ref="D5" authorId="0" shapeId="0" xr:uid="{00000000-0006-0000-1400-000004000000}">
      <text>
        <r>
          <rPr>
            <sz val="10"/>
            <rFont val="Arial"/>
            <family val="2"/>
          </rPr>
          <t>Lars Abrahamsson:
Energiprisutveckling och kalkylränta skall båda vara antingen nominella eller reala. För mer info se under Dokument på hemsidan</t>
        </r>
      </text>
    </comment>
    <comment ref="F5" authorId="0" shapeId="0" xr:uid="{00000000-0006-0000-1400-000005000000}">
      <text>
        <r>
          <rPr>
            <sz val="10"/>
            <rFont val="Arial"/>
            <family val="2"/>
          </rPr>
          <t>Lars Abrahamsson:
Lönsamhetsgränsen uppnås när värdet på Differens (cell D42) är 0. Använd Verktyg/ Målsökning.
Målcell: D42 Värde: 0
Justerbar cell: C5, gå till denna cell!
Värdet i den justerbara cellen ändras nu till 7,0% Kom ihåg detta värde (7,0%) samt tryck Avbryt. Skriv in värdet 7,0% i cell E5.
(Som ett alternativ kan du ändra direkt i ruta C 5  till dess värdet i cell D42 är (nära)  0. Glöm då inte att ändra tillbaka till det ursprungliga värdena när du skrivit in internräntan i ruta E5</t>
        </r>
      </text>
    </comment>
    <comment ref="F6" authorId="0" shapeId="0" xr:uid="{00000000-0006-0000-1400-000006000000}">
      <text>
        <r>
          <rPr>
            <sz val="10"/>
            <rFont val="Arial"/>
            <family val="2"/>
          </rPr>
          <t>Lars:
Investeringskostnaden delat med värdet av årlig besparing</t>
        </r>
      </text>
    </comment>
    <comment ref="C9" authorId="0" shapeId="0" xr:uid="{00000000-0006-0000-1400-000003000000}">
      <text>
        <r>
          <rPr>
            <sz val="10"/>
            <rFont val="Arial"/>
            <family val="2"/>
          </rPr>
          <t>Lars Abrahamsson:
Det rörliga energipriset är ofta det som påverkas av en energiåtgärd. Om fasta eller sk halvfasta kostnader påverkas kan Edkalkyl behöva modifieras</t>
        </r>
      </text>
    </comment>
    <comment ref="F20" authorId="0" shapeId="0" xr:uid="{00000000-0006-0000-1400-000007000000}">
      <text>
        <r>
          <rPr>
            <sz val="10"/>
            <rFont val="Arial"/>
            <family val="2"/>
          </rPr>
          <t>Lars Abrahamsson:
Detta är den högsta godtagbara investeringskostnaden om investeringen skall vara lönsam</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2" authorId="0" shapeId="0" xr:uid="{00000000-0006-0000-1500-000001000000}">
      <text>
        <r>
          <rPr>
            <sz val="10"/>
            <rFont val="Arial"/>
            <family val="2"/>
          </rPr>
          <t>Sätt "Ja" för att ta med denna åtgärd i sammanfattningsfliken (investering, energi- och kostnadsbesparing). Sätt "Nej" om åtgärden inte föreslås.</t>
        </r>
      </text>
    </comment>
    <comment ref="C4" authorId="0" shapeId="0" xr:uid="{00000000-0006-0000-1500-000002000000}">
      <text>
        <r>
          <rPr>
            <sz val="10"/>
            <rFont val="Arial"/>
            <family val="2"/>
          </rPr>
          <t>Lars Abrahamsson:
Areauppgiften avser ofta 
 A-temp. Area=1 avser normalt 1 kvadratmeter vägg /tak eller 1 hus</t>
        </r>
      </text>
    </comment>
    <comment ref="D5" authorId="0" shapeId="0" xr:uid="{00000000-0006-0000-1500-000004000000}">
      <text>
        <r>
          <rPr>
            <sz val="10"/>
            <rFont val="Arial"/>
            <family val="2"/>
          </rPr>
          <t>Lars Abrahamsson:
Energiprisutveckling och kalkylränta skall båda vara antingen nominella eller reala. För mer info se under Dokument på hemsidan</t>
        </r>
      </text>
    </comment>
    <comment ref="F5" authorId="0" shapeId="0" xr:uid="{00000000-0006-0000-1500-000005000000}">
      <text>
        <r>
          <rPr>
            <sz val="10"/>
            <rFont val="Arial"/>
            <family val="2"/>
          </rPr>
          <t>Lars Abrahamsson:
Lönsamhetsgränsen uppnås när värdet på Differens (cell D42) är 0. Använd Verktyg/ Målsökning.
Målcell: D42 Värde: 0
Justerbar cell: C5, gå till denna cell!
Värdet i den justerbara cellen ändras nu till 7,0% Kom ihåg detta värde (7,0%) samt tryck Avbryt. Skriv in värdet 7,0% i cell E5.
(Som ett alternativ kan du ändra direkt i ruta C 5  till dess värdet i cell D42 är (nära)  0. Glöm då inte att ändra tillbaka till det ursprungliga värdena när du skrivit in internräntan i ruta E5</t>
        </r>
      </text>
    </comment>
    <comment ref="F6" authorId="0" shapeId="0" xr:uid="{00000000-0006-0000-1500-000006000000}">
      <text>
        <r>
          <rPr>
            <sz val="10"/>
            <rFont val="Arial"/>
            <family val="2"/>
          </rPr>
          <t>Lars:
Investeringskostnaden delat med värdet av årlig besparing</t>
        </r>
      </text>
    </comment>
    <comment ref="C9" authorId="0" shapeId="0" xr:uid="{00000000-0006-0000-1500-000003000000}">
      <text>
        <r>
          <rPr>
            <sz val="10"/>
            <rFont val="Arial"/>
            <family val="2"/>
          </rPr>
          <t>Lars Abrahamsson:
Det rörliga energipriset är ofta det som påverkas av en energiåtgärd. Om fasta eller sk halvfasta kostnader påverkas kan Edkalkyl behöva modifieras</t>
        </r>
      </text>
    </comment>
    <comment ref="F20" authorId="0" shapeId="0" xr:uid="{00000000-0006-0000-1500-000007000000}">
      <text>
        <r>
          <rPr>
            <sz val="10"/>
            <rFont val="Arial"/>
            <family val="2"/>
          </rPr>
          <t>Lars Abrahamsson:
Detta är den högsta godtagbara investeringskostnaden om investeringen skall vara lönsam</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2" authorId="0" shapeId="0" xr:uid="{00000000-0006-0000-1600-000001000000}">
      <text>
        <r>
          <rPr>
            <sz val="10"/>
            <rFont val="Arial"/>
            <family val="2"/>
          </rPr>
          <t>Sätt "Ja" för att ta med denna åtgärd i sammanfattningsfliken (investering, energi- och kostnadsbesparing). Sätt "Nej" om åtgärden inte föreslås.</t>
        </r>
      </text>
    </comment>
    <comment ref="C4" authorId="0" shapeId="0" xr:uid="{00000000-0006-0000-1600-000002000000}">
      <text>
        <r>
          <rPr>
            <sz val="10"/>
            <rFont val="Arial"/>
            <family val="2"/>
          </rPr>
          <t>Lars Abrahamsson:
Areauppgiften avser ofta 
 A-temp. Area=1 avser normalt 1 kvadratmeter vägg /tak eller 1 hus</t>
        </r>
      </text>
    </comment>
    <comment ref="D5" authorId="0" shapeId="0" xr:uid="{00000000-0006-0000-1600-000004000000}">
      <text>
        <r>
          <rPr>
            <sz val="10"/>
            <rFont val="Arial"/>
            <family val="2"/>
          </rPr>
          <t>Lars Abrahamsson:
Energiprisutveckling och kalkylränta skall båda vara antingen nominella eller reala. För mer info se under Dokument på hemsidan</t>
        </r>
      </text>
    </comment>
    <comment ref="F5" authorId="0" shapeId="0" xr:uid="{00000000-0006-0000-1600-000005000000}">
      <text>
        <r>
          <rPr>
            <sz val="10"/>
            <rFont val="Arial"/>
            <family val="2"/>
          </rPr>
          <t>Lars Abrahamsson:
Lönsamhetsgränsen uppnås när värdet på Differens (cell D42) är 0. Använd Verktyg/ Målsökning.
Målcell: D42 Värde: 0
Justerbar cell: C5, gå till denna cell!
Värdet i den justerbara cellen ändras nu till 7,0% Kom ihåg detta värde (7,0%) samt tryck Avbryt. Skriv in värdet 7,0% i cell E5.
(Som ett alternativ kan du ändra direkt i ruta C 5  till dess värdet i cell D42 är (nära)  0. Glöm då inte att ändra tillbaka till det ursprungliga värdena när du skrivit in internräntan i ruta E5</t>
        </r>
      </text>
    </comment>
    <comment ref="F6" authorId="0" shapeId="0" xr:uid="{00000000-0006-0000-1600-000006000000}">
      <text>
        <r>
          <rPr>
            <sz val="10"/>
            <rFont val="Arial"/>
            <family val="2"/>
          </rPr>
          <t>Lars:
Investeringskostnaden delat med värdet av årlig besparing</t>
        </r>
      </text>
    </comment>
    <comment ref="C9" authorId="0" shapeId="0" xr:uid="{00000000-0006-0000-1600-000003000000}">
      <text>
        <r>
          <rPr>
            <sz val="10"/>
            <rFont val="Arial"/>
            <family val="2"/>
          </rPr>
          <t>Lars Abrahamsson:
Det rörliga energipriset är ofta det som påverkas av en energiåtgärd. Om fasta eller sk halvfasta kostnader påverkas kan Edkalkyl behöva modifieras</t>
        </r>
      </text>
    </comment>
    <comment ref="F20" authorId="0" shapeId="0" xr:uid="{00000000-0006-0000-1600-000007000000}">
      <text>
        <r>
          <rPr>
            <sz val="10"/>
            <rFont val="Arial"/>
            <family val="2"/>
          </rPr>
          <t>Lars Abrahamsson:
Detta är den högsta godtagbara investeringskostnaden om investeringen skall vara lönsam</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2" authorId="0" shapeId="0" xr:uid="{00000000-0006-0000-1700-000001000000}">
      <text>
        <r>
          <rPr>
            <sz val="10"/>
            <rFont val="Arial"/>
            <family val="2"/>
          </rPr>
          <t>Sätt "Ja" för att ta med denna åtgärd i sammanfattningsfliken (investering, energi- och kostnadsbesparing). Sätt "Nej" om åtgärden inte föreslås.</t>
        </r>
      </text>
    </comment>
    <comment ref="C4" authorId="0" shapeId="0" xr:uid="{00000000-0006-0000-1700-000002000000}">
      <text>
        <r>
          <rPr>
            <sz val="10"/>
            <rFont val="Arial"/>
            <family val="2"/>
          </rPr>
          <t>Lars Abrahamsson:
Areauppgiften avser ofta 
 A-temp. Area=1 avser normalt 1 kvadratmeter vägg /tak eller 1 hus</t>
        </r>
      </text>
    </comment>
    <comment ref="D5" authorId="0" shapeId="0" xr:uid="{00000000-0006-0000-1700-000004000000}">
      <text>
        <r>
          <rPr>
            <sz val="10"/>
            <rFont val="Arial"/>
            <family val="2"/>
          </rPr>
          <t>Lars Abrahamsson:
Energiprisutveckling och kalkylränta skall båda vara antingen nominella eller reala. För mer info se under Dokument på hemsidan</t>
        </r>
      </text>
    </comment>
    <comment ref="F5" authorId="0" shapeId="0" xr:uid="{00000000-0006-0000-1700-000005000000}">
      <text>
        <r>
          <rPr>
            <sz val="10"/>
            <rFont val="Arial"/>
            <family val="2"/>
          </rPr>
          <t>Lars Abrahamsson:
Lönsamhetsgränsen uppnås när värdet på Differens (cell D42) är 0. Använd Verktyg/ Målsökning.
Målcell: D42 Värde: 0
Justerbar cell: C5, gå till denna cell!
Värdet i den justerbara cellen ändras nu till 7,0% Kom ihåg detta värde (7,0%) samt tryck Avbryt. Skriv in värdet 7,0% i cell E5.
(Som ett alternativ kan du ändra direkt i ruta C 5  till dess värdet i cell D42 är (nära)  0. Glöm då inte att ändra tillbaka till det ursprungliga värdena när du skrivit in internräntan i ruta E5</t>
        </r>
      </text>
    </comment>
    <comment ref="F6" authorId="0" shapeId="0" xr:uid="{00000000-0006-0000-1700-000006000000}">
      <text>
        <r>
          <rPr>
            <sz val="10"/>
            <rFont val="Arial"/>
            <family val="2"/>
          </rPr>
          <t>Lars:
Investeringskostnaden delat med värdet av årlig besparing</t>
        </r>
      </text>
    </comment>
    <comment ref="C9" authorId="0" shapeId="0" xr:uid="{00000000-0006-0000-1700-000003000000}">
      <text>
        <r>
          <rPr>
            <sz val="10"/>
            <rFont val="Arial"/>
            <family val="2"/>
          </rPr>
          <t>Lars Abrahamsson:
Det rörliga energipriset är ofta det som påverkas av en energiåtgärd. Om fasta eller sk halvfasta kostnader påverkas kan Edkalkyl behöva modifieras</t>
        </r>
      </text>
    </comment>
    <comment ref="F20" authorId="0" shapeId="0" xr:uid="{00000000-0006-0000-1700-000007000000}">
      <text>
        <r>
          <rPr>
            <sz val="10"/>
            <rFont val="Arial"/>
            <family val="2"/>
          </rPr>
          <t>Lars Abrahamsson:
Detta är den högsta godtagbara investeringskostnaden om investeringen skall vara lönsam</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1800-000001000000}">
      <text>
        <r>
          <rPr>
            <sz val="10"/>
            <rFont val="Arial"/>
            <family val="2"/>
          </rPr>
          <t>Skriv åtgärdens namn här. Namnet visas i Sammanfattning och i Gripen-fliken.</t>
        </r>
      </text>
    </comment>
    <comment ref="B2" authorId="0" shapeId="0" xr:uid="{00000000-0006-0000-1800-000002000000}">
      <text>
        <r>
          <rPr>
            <sz val="10"/>
            <rFont val="Arial"/>
            <family val="2"/>
          </rPr>
          <t>Sätt "Ja" för att ta med denna åtgärd i sammanfattningsfliken (investering, energi- och kostnadsbesparing). Sätt "Nej" om åtgärden inte föreslås.</t>
        </r>
      </text>
    </comment>
    <comment ref="C4" authorId="0" shapeId="0" xr:uid="{00000000-0006-0000-1800-000003000000}">
      <text>
        <r>
          <rPr>
            <sz val="10"/>
            <rFont val="Arial"/>
            <family val="2"/>
          </rPr>
          <t>Lars Abrahamsson:
Areauppgiften avser ofta 
 A-temp. Area=1 avser normalt 1 kvadratmeter vägg /tak eller 1 hus</t>
        </r>
      </text>
    </comment>
    <comment ref="D5" authorId="0" shapeId="0" xr:uid="{00000000-0006-0000-1800-000005000000}">
      <text>
        <r>
          <rPr>
            <sz val="10"/>
            <rFont val="Arial"/>
            <family val="2"/>
          </rPr>
          <t>Lars Abrahamsson:
Energiprisutveckling och kalkylränta skall båda vara antingen nominella eller reala. För mer info se under Dokument på hemsidan</t>
        </r>
      </text>
    </comment>
    <comment ref="F5" authorId="0" shapeId="0" xr:uid="{00000000-0006-0000-1800-000006000000}">
      <text>
        <r>
          <rPr>
            <sz val="10"/>
            <rFont val="Arial"/>
            <family val="2"/>
          </rPr>
          <t>Lars Abrahamsson:
Lönsamhetsgränsen uppnås när värdet på Differens (cell D42) är 0. Använd Verktyg/ Målsökning.
Målcell: D42 Värde: 0
Justerbar cell: C5, gå till denna cell!
Värdet i den justerbara cellen ändras nu till 7,0% Kom ihåg detta värde (7,0%) samt tryck Avbryt. Skriv in värdet 7,0% i cell E5.
(Som ett alternativ kan du ändra direkt i ruta C 5  till dess värdet i cell D42 är (nära)  0. Glöm då inte att ändra tillbaka till det ursprungliga värdena när du skrivit in internräntan i ruta E5</t>
        </r>
      </text>
    </comment>
    <comment ref="F6" authorId="0" shapeId="0" xr:uid="{00000000-0006-0000-1800-000007000000}">
      <text>
        <r>
          <rPr>
            <sz val="10"/>
            <rFont val="Arial"/>
            <family val="2"/>
          </rPr>
          <t>Lars:
Investeringskostnaden delat med värdet av årlig besparing</t>
        </r>
      </text>
    </comment>
    <comment ref="C9" authorId="0" shapeId="0" xr:uid="{00000000-0006-0000-1800-000004000000}">
      <text>
        <r>
          <rPr>
            <sz val="10"/>
            <rFont val="Arial"/>
            <family val="2"/>
          </rPr>
          <t>Lars Abrahamsson:
Det rörliga energipriset är ofta det som påverkas av en energiåtgärd. Om fasta eller sk halvfasta kostnader påverkas kan Edkalkyl behöva modifieras</t>
        </r>
      </text>
    </comment>
    <comment ref="K11" authorId="0" shapeId="0" xr:uid="{00000000-0006-0000-1800-000009000000}">
      <text>
        <r>
          <rPr>
            <sz val="10"/>
            <rFont val="Arial"/>
            <family val="2"/>
          </rPr>
          <t>Ändrad köpt energi för uppvärmning och varmvatten, prissatt som energislag 1 (C8–C10). Minskning anges med minus.</t>
        </r>
      </text>
    </comment>
    <comment ref="K12" authorId="0" shapeId="0" xr:uid="{00000000-0006-0000-1800-00000A000000}">
      <text>
        <r>
          <rPr>
            <sz val="10"/>
            <rFont val="Arial"/>
            <family val="2"/>
          </rPr>
          <t>Ändrad köpt el, prissatt som energislag 2 (C11–C13). Minskning anges med minus.</t>
        </r>
      </text>
    </comment>
    <comment ref="F20" authorId="0" shapeId="0" xr:uid="{00000000-0006-0000-1800-000008000000}">
      <text>
        <r>
          <rPr>
            <sz val="10"/>
            <rFont val="Arial"/>
            <family val="2"/>
          </rPr>
          <t>Lars Abrahamsson:
Detta är den högsta godtagbara investeringskostnaden om investeringen skall vara lönsam</t>
        </r>
      </text>
    </comment>
    <comment ref="K23" authorId="0" shapeId="0" xr:uid="{00000000-0006-0000-1800-00000B000000}">
      <text>
        <r>
          <rPr>
            <sz val="10"/>
            <rFont val="Arial"/>
            <family val="2"/>
          </rPr>
          <t>Utgångsläget påverkar inte besparingen, bara skillnaden före/efter räknas. Fastighetselen används som referens.</t>
        </r>
      </text>
    </comment>
  </commentList>
</comments>
</file>

<file path=xl/sharedStrings.xml><?xml version="1.0" encoding="utf-8"?>
<sst xmlns="http://schemas.openxmlformats.org/spreadsheetml/2006/main" count="2198" uniqueCount="1128">
  <si>
    <t>Arbetsgång energideklaration enligt BFS 2026:9 och 2026:10</t>
  </si>
  <si>
    <t>Byggnader: fyll i fastighet, kommun och mätperiod. En kolumn per fysisk byggnad med typ, antal lägenheter, A-temp för bostäder, lokaler per kategori och varmgarage.</t>
  </si>
  <si>
    <t>Mätdata: lägg in mätare för värme, tappvarmvatten och fjärrkyla och vilken byggnad de försörjer (Alla för gemensam central). Ange vattenmätare, andel varmvattenproduktion och årsverkningsgrad per värmekälla samt kulvertförluster.</t>
  </si>
  <si>
    <t>El: ange per byggnad köpt el från fastighetens elmätare, IMD-el och solceller (kWp, produktion, såld el). Besiktningen fördelar den gemensamma elen på fastighetsel, värmepump, elvärme, kyla, verksamhetsel och el utanför systemgränsen, och den egenanvända solelen fördelas på samma förbrukare. Allt visas i procent och kWh/år.</t>
  </si>
  <si>
    <t>Byggnader: kontrollera fördelningsnycklarna för gemensamma mätare. Ange manuell andel om A-temp eller antal lägenheter inte speglar verkligheten.</t>
  </si>
  <si>
    <t>Besiktningsprotokoll: fyll i som tidigare. Beräknad fastighetsel, värmepump, elvärme, kyla och verksamhetsel används som andelar när den uppmätta elen fördelas i fliken El.</t>
  </si>
  <si>
    <t>Normalisering: ange faktisk innetemperatur, uteluftsflöde, återvinning och personer per lägenhet per byggnad, och välj Ja/Nej för de fyra normaliseringarna.</t>
  </si>
  <si>
    <t>Resultat: kontrollera energiprestandatal och energiklass per byggnad. Ange samma energiindex i Byggnader C10 som Gripen använder för att värdena ska stämma.</t>
  </si>
  <si>
    <t>Gripen: välj byggnad i B4 och för över de grå cellerna avsnitt för avsnitt. Upprepa för varje byggnad.</t>
  </si>
  <si>
    <t>Åtgärdsflikarna fungerar för hela fastigheten. Fliken Övrig åtgärd används för andra åtgärder. Besparingen fördelas per byggnad i fliken Gripen.</t>
  </si>
  <si>
    <t>Fliken Tidigare deklarationer fylls av webbverktyget som läser in gamla energideklarationer. Kontrollera A-temp, verksamhetsfördelning och byggnadstyp mot de nya kategorierna.</t>
  </si>
  <si>
    <t>Färger: orange = indata, grå = beräknat, grön = hämtat från annan flik. Regelvärden finns i fliken Regler BFS 2026.</t>
  </si>
  <si>
    <t>Sammanfattning – Energideklaration</t>
  </si>
  <si>
    <t>Byggnad</t>
  </si>
  <si>
    <t>Adress</t>
  </si>
  <si>
    <t>Utförd av</t>
  </si>
  <si>
    <t>1. Nuvarande energianvändning</t>
  </si>
  <si>
    <t>Kategori</t>
  </si>
  <si>
    <t>kWh/år</t>
  </si>
  <si>
    <t>Andel</t>
  </si>
  <si>
    <t>Värme (uppvärmning, normaliserad, ej klimatkorrigerad)</t>
  </si>
  <si>
    <t>Varmvatten (normaliserat)</t>
  </si>
  <si>
    <t>Fastighetsel inom systemgräns (netto)</t>
  </si>
  <si>
    <t>Verksamhetsel</t>
  </si>
  <si>
    <t>Summa</t>
  </si>
  <si>
    <t>Summor för hela fastigheten. Resultat per byggnad finns i flikarna Resultat och Gripen.</t>
  </si>
  <si>
    <t>Energiprestandatal fastigheten (kWh/m²,år)</t>
  </si>
  <si>
    <t>Energiklass fastigheten (BFS 2026:10)</t>
  </si>
  <si>
    <t>2. Föreslagna energiåtgärder</t>
  </si>
  <si>
    <t>Markera "Ja" i respektive åtgärdsflik (cell B2). Aktiverade åtgärder sorteras efter kortast paybacktid. Ej aktiverade åtgärder hamnar sist.</t>
  </si>
  <si>
    <t>Hjälptabell i fast ordning (används för sorteringen och fliken Gripen)</t>
  </si>
  <si>
    <t>Åtgärd</t>
  </si>
  <si>
    <t>Aktiverad</t>
  </si>
  <si>
    <t>Investering (kr)</t>
  </si>
  <si>
    <t>Energibesparing (kWh/år)</t>
  </si>
  <si>
    <t>Kostnadsbesparing (kr/år)</t>
  </si>
  <si>
    <t>Paybacktid (år)</t>
  </si>
  <si>
    <t>Lönsamhet</t>
  </si>
  <si>
    <t>Kommentar</t>
  </si>
  <si>
    <t>Sorteringsnyckel</t>
  </si>
  <si>
    <t>Utförs i samband med fasadrenovering</t>
  </si>
  <si>
    <t>Utförs med framtida underhållsbyte av frånluftsfläktar</t>
  </si>
  <si>
    <t>Summa aktiverade åtgärder</t>
  </si>
  <si>
    <t>Byggnader och A-temp</t>
  </si>
  <si>
    <t>En kolumn per fysisk byggnad, varje byggnad blir en egen energideklaration i Gripen. Lämna oanvända kolumner tomma.</t>
  </si>
  <si>
    <t>Fastighet</t>
  </si>
  <si>
    <t>Fastighetsbeteckning</t>
  </si>
  <si>
    <t>Kommun</t>
  </si>
  <si>
    <t>Karlstad</t>
  </si>
  <si>
    <t>Geografisk justeringsfaktor Fgeo</t>
  </si>
  <si>
    <t>Mätperiod från och med (ÅÅMM)</t>
  </si>
  <si>
    <t>Mätperiod till och med (ÅÅMM)</t>
  </si>
  <si>
    <t>Energiindex för mätperioden (endast kontroll av Etal)</t>
  </si>
  <si>
    <t>Byggnad 1</t>
  </si>
  <si>
    <t>Byggnad 2</t>
  </si>
  <si>
    <t>Byggnad 3</t>
  </si>
  <si>
    <t>Byggnad 4</t>
  </si>
  <si>
    <t>Byggnad 5</t>
  </si>
  <si>
    <t>Byggnad 6</t>
  </si>
  <si>
    <t>Egen beteckning</t>
  </si>
  <si>
    <t>Husnummer / byggnads-ID</t>
  </si>
  <si>
    <t>Byggnadstyp (bostadsdel)</t>
  </si>
  <si>
    <t>Flerbostadshus</t>
  </si>
  <si>
    <t>Nybyggnadsår</t>
  </si>
  <si>
    <t>Antal lägenheter</t>
  </si>
  <si>
    <t>A-temp per byggnad (m²)</t>
  </si>
  <si>
    <t>A-temp bostäder inkl. biarea</t>
  </si>
  <si>
    <t>A-temp lokaler per kategori enligt BFS 2026:9 (m²)</t>
  </si>
  <si>
    <t>Kontor</t>
  </si>
  <si>
    <t>Utbildning</t>
  </si>
  <si>
    <t>Sjukhus</t>
  </si>
  <si>
    <t>Logi och restaurang</t>
  </si>
  <si>
    <t>Idrott</t>
  </si>
  <si>
    <t>Handel och kultur</t>
  </si>
  <si>
    <t>Annan typ av energianvändande byggnad</t>
  </si>
  <si>
    <t>Varmgarage (m²)</t>
  </si>
  <si>
    <t>A-temp totalt (m²)</t>
  </si>
  <si>
    <t>Andel av fastighetens A-temp</t>
  </si>
  <si>
    <t>Fördelning av gemensamma mätare</t>
  </si>
  <si>
    <t>Används för mätare som försörjer "Alla" byggnader, t.ex. en fjärrvärmecentral med kulvert. Manuell andel ersätter den automatiska.</t>
  </si>
  <si>
    <t>Uppvärmning, automatisk andel (A-temp)</t>
  </si>
  <si>
    <t>Uppvärmning, manuell andel</t>
  </si>
  <si>
    <t>Uppvärmning, använd andel</t>
  </si>
  <si>
    <t>Tappvarmvatten, automatisk andel (lägenheter, annars A-temp)</t>
  </si>
  <si>
    <t>Tappvarmvatten, manuell andel</t>
  </si>
  <si>
    <t>Tappvarmvatten, använd andel</t>
  </si>
  <si>
    <t>El, kyla och övrigt (A-temp)</t>
  </si>
  <si>
    <t>Hushållsel (A-temp bostäder)</t>
  </si>
  <si>
    <t>Egenanvänd solel som minskar energiprestandatalet (från fliken El)</t>
  </si>
  <si>
    <t>Till fastighetsenergi</t>
  </si>
  <si>
    <t>Till värmepump, elvärme och komfortkyla</t>
  </si>
  <si>
    <t>Tidigare energideklaration (för jämförelse)</t>
  </si>
  <si>
    <t>Energiprestanda, primärenergital (kWh/m²,år)</t>
  </si>
  <si>
    <t>Energiklass</t>
  </si>
  <si>
    <t>Tidigare energideklarationer</t>
  </si>
  <si>
    <t>Uppgifter inlästa från tidigare energideklarationer. Används som referens och av Gripen-exporten. Energivärdena gäller den tidigare mätperioden.</t>
  </si>
  <si>
    <t>Energideklarations-ID</t>
  </si>
  <si>
    <t>Blankettversion</t>
  </si>
  <si>
    <t>Datum för godkännande</t>
  </si>
  <si>
    <t>Län</t>
  </si>
  <si>
    <t>Husnummer</t>
  </si>
  <si>
    <t>Prefix byggnadsid</t>
  </si>
  <si>
    <t>Byggnadsid</t>
  </si>
  <si>
    <t>Adresser (adress; postnr; postort | …)</t>
  </si>
  <si>
    <t>Typkod</t>
  </si>
  <si>
    <t>Byggnadskategori</t>
  </si>
  <si>
    <t>Byggnadstyp</t>
  </si>
  <si>
    <t>A-temp exkl. garage (m²)</t>
  </si>
  <si>
    <t>Avarmgarage (m²)</t>
  </si>
  <si>
    <t>Antal uppvärmda källarplan</t>
  </si>
  <si>
    <t>Antal våningsplan</t>
  </si>
  <si>
    <t>Antal trapphus</t>
  </si>
  <si>
    <t>Verksamhetsfördelning</t>
  </si>
  <si>
    <t>Projekterat uteluftsflöde (l/s,m²)</t>
  </si>
  <si>
    <t>Mätperiod</t>
  </si>
  <si>
    <t>Fjärrvärme uppvärmning (kWh)</t>
  </si>
  <si>
    <t>Fjärrvärme tappvarmvatten (kWh)</t>
  </si>
  <si>
    <t>Övriga värmekällor (kWh)</t>
  </si>
  <si>
    <t>Fastighetsel (kWh)</t>
  </si>
  <si>
    <t>Hushållsel (kWh)</t>
  </si>
  <si>
    <t>Verksamhetsel (kWh)</t>
  </si>
  <si>
    <t>Komfortkyla och fjärrkyla (kWh)</t>
  </si>
  <si>
    <t>Solceller area (m²)</t>
  </si>
  <si>
    <t>Solceller beräknad produktion (kWh/år)</t>
  </si>
  <si>
    <t>Normalårskorrigerad energianvändning (kWh)</t>
  </si>
  <si>
    <t>Energiprestanda (kWh/m²,år)</t>
  </si>
  <si>
    <t>Typ av energiprestanda</t>
  </si>
  <si>
    <t>Krav ny byggnad (kWh/m²,år)</t>
  </si>
  <si>
    <t>Typ av ventilationssystem</t>
  </si>
  <si>
    <t>Krav på OVK</t>
  </si>
  <si>
    <t>OVK utförd</t>
  </si>
  <si>
    <t>OVK utan anmärkning</t>
  </si>
  <si>
    <t>Radon mätt / halt (Bq/m³)</t>
  </si>
  <si>
    <t>Nominell effekt (kW) / bedömningsgrund</t>
  </si>
  <si>
    <t>Besiktigad på plats</t>
  </si>
  <si>
    <t>Inläsningskommentarer</t>
  </si>
  <si>
    <t>Köpt energi och vatten</t>
  </si>
  <si>
    <t>Ange uppmätt energi för värme, tappvarmvatten och fjärrkyla för mätperioden, ej normalårskorrigerad. Välj vilken byggnad mätaren försörjer, eller Alla om den är gemensam. El anges i fliken El.</t>
  </si>
  <si>
    <t>Energimätare</t>
  </si>
  <si>
    <t>Mätare / benämning</t>
  </si>
  <si>
    <t>Energibärare</t>
  </si>
  <si>
    <t>Ändamål</t>
  </si>
  <si>
    <t>Försörjer</t>
  </si>
  <si>
    <t>kWh</t>
  </si>
  <si>
    <t>Solceller</t>
  </si>
  <si>
    <t>Solceller och såld el anges i fliken Solceller, inte som mätare här.</t>
  </si>
  <si>
    <t>Vattenmätare</t>
  </si>
  <si>
    <t>m³</t>
  </si>
  <si>
    <t>Summa vatten (m³)</t>
  </si>
  <si>
    <t>Tappvarmvatten</t>
  </si>
  <si>
    <t>Andel varmvatten av total vattenförbrukning</t>
  </si>
  <si>
    <t>Energiinnehåll i varmvatten (kWh/m³)</t>
  </si>
  <si>
    <t>Verkningsgrad varmvattensystem inkl. VVC</t>
  </si>
  <si>
    <t>Faktiskt energibehov om vattenmätning saknas (kWh/m²,år)</t>
  </si>
  <si>
    <t>Värmeproduktion</t>
  </si>
  <si>
    <t>Värmekälla</t>
  </si>
  <si>
    <t>Köpt energi kWh/år</t>
  </si>
  <si>
    <t>Andel av varmvattenproduktion</t>
  </si>
  <si>
    <t>Årsverkningsgrad</t>
  </si>
  <si>
    <t>Viktningsfaktor</t>
  </si>
  <si>
    <t>Energikälla i Gripen</t>
  </si>
  <si>
    <t>Fjärrvärme</t>
  </si>
  <si>
    <t>Värmepump (el)</t>
  </si>
  <si>
    <t>Värmepump – välj typ</t>
  </si>
  <si>
    <t>Elvärme</t>
  </si>
  <si>
    <t>El – välj typ</t>
  </si>
  <si>
    <t>Olja</t>
  </si>
  <si>
    <t>Gas</t>
  </si>
  <si>
    <t>Pellets/flis/briketter</t>
  </si>
  <si>
    <t>Flis/pellets/briketter</t>
  </si>
  <si>
    <t>Ved</t>
  </si>
  <si>
    <t>Övrigt biobränsle</t>
  </si>
  <si>
    <t>Kulvertförluster (kWh/år)</t>
  </si>
  <si>
    <t>Kulvertförluster hanteras</t>
  </si>
  <si>
    <t>Fördelas på byggnaderna</t>
  </si>
  <si>
    <t>El</t>
  </si>
  <si>
    <t>All el, IMD och solceller anges i fliken El. Här anges bara värme, tappvarmvatten och fjärrkyla.</t>
  </si>
  <si>
    <t>El och solceller</t>
  </si>
  <si>
    <t>Fyll i uppmätt el från fastighetens elmätare, IMD och solceller. Besiktningen fördelar sedan den gemensamma elen på förbrukarna, och den egenanvända solelen fördelas på samma förbrukare.</t>
  </si>
  <si>
    <t>Gemensamt för fastigheten</t>
  </si>
  <si>
    <t>Specifik solproduktion (kWh/kWp,år)</t>
  </si>
  <si>
    <t>Total solproduktion, om produktion per byggnad saknas (kWh/år)</t>
  </si>
  <si>
    <t>Total såld el, om såld el per byggnad saknas (kWh/år)</t>
  </si>
  <si>
    <t>Uppmätt el och solceller per byggnad</t>
  </si>
  <si>
    <t>Köpt el enligt fastighetens elmätare (kWh/år)</t>
  </si>
  <si>
    <t>Varav IMD-el till lägenheter (kWh/år)</t>
  </si>
  <si>
    <t>Hushållsel med egna abonnemang, om känd (kWh/år)</t>
  </si>
  <si>
    <t>Solceller, installerad effekt (kWp)</t>
  </si>
  <si>
    <t>Solceller, uppmätt årsproduktion (kWh/år)</t>
  </si>
  <si>
    <t>Solceller, såld el, överskott (kWh/år)</t>
  </si>
  <si>
    <t>Solproduktion (kWh/år)</t>
  </si>
  <si>
    <t>Såld el (kWh/år)</t>
  </si>
  <si>
    <t>Egenanvänd solel (kWh/år)</t>
  </si>
  <si>
    <t>Total elanvändning bakom mätaren (kWh/år)</t>
  </si>
  <si>
    <t>Gemensam el att fördela, exkl. IMD (kWh/år)</t>
  </si>
  <si>
    <t>Besiktningens fördelning av den gemensamma elen</t>
  </si>
  <si>
    <t>Förbrukare</t>
  </si>
  <si>
    <t>Ingår i energiprestanda</t>
  </si>
  <si>
    <t>Besiktningens beräkning kWh/år</t>
  </si>
  <si>
    <t>Fastighetsel (ventilation, pumpar, belysning, styrning)</t>
  </si>
  <si>
    <t>Ja</t>
  </si>
  <si>
    <t>Värmepump</t>
  </si>
  <si>
    <t>El för komfortkyla</t>
  </si>
  <si>
    <t>Verksamhetsel (tvättstugor, motorvärmare, utebelysning)</t>
  </si>
  <si>
    <t>Nej</t>
  </si>
  <si>
    <t>El utanför systemgräns (hiss, värmekablar m.m.)</t>
  </si>
  <si>
    <t>Besiktningens summa jämfört med uppmätt gemensam el</t>
  </si>
  <si>
    <t>Manuell andel per byggnad (%), lämna tomt för besiktningens andel</t>
  </si>
  <si>
    <t>Uppmätt el per förbrukare, om undermätare finns (kWh/år)</t>
  </si>
  <si>
    <t>Andel som används för fördelningen</t>
  </si>
  <si>
    <t>Fördelad gemensam el (kWh/år)</t>
  </si>
  <si>
    <t>Andel av gemensam el (%)</t>
  </si>
  <si>
    <t>Kontroll: fördelad minus gemensam el (kWh/år)</t>
  </si>
  <si>
    <t>Elanvändning som kan täckas av egenanvänd solel (kWh/år)</t>
  </si>
  <si>
    <t>Samtidighets-faktor</t>
  </si>
  <si>
    <t>Hushållsel via IMD</t>
  </si>
  <si>
    <t>Summa förbrukning</t>
  </si>
  <si>
    <t>Summa förbrukning × samtidighetsfaktor</t>
  </si>
  <si>
    <t>Egenanvänd solel per förbrukare (kWh/år)</t>
  </si>
  <si>
    <t>Summa fördelad solel</t>
  </si>
  <si>
    <t>Solel som inte kan fördelas (överstiger förbrukningen)</t>
  </si>
  <si>
    <t>Andel av egenanvänd solel (%)</t>
  </si>
  <si>
    <t>Köpt el per förbrukare efter solel (kWh/år)</t>
  </si>
  <si>
    <t>Till beräkningen av energiprestandatalet</t>
  </si>
  <si>
    <t>Fastighetsel inom systemgräns, före solel</t>
  </si>
  <si>
    <t>Egenanvänd solel till fastighetsel</t>
  </si>
  <si>
    <t>El till värmepump</t>
  </si>
  <si>
    <t>Egenanvänd solel till värmepump, elvärme och komfortkyla</t>
  </si>
  <si>
    <t>Hushållsel totalt, IMD och egna abonnemang (för internlast)</t>
  </si>
  <si>
    <t>Verksamhetsel (ingår inte)</t>
  </si>
  <si>
    <t>El utanför systemgräns (ingår inte)</t>
  </si>
  <si>
    <t>Solelens minskning av energiprestandatalet (kWh/m²,år)</t>
  </si>
  <si>
    <t>Besiktningsprotokoll energideklaration</t>
  </si>
  <si>
    <t>Indata</t>
  </si>
  <si>
    <t>Kund</t>
  </si>
  <si>
    <t>Utförare</t>
  </si>
  <si>
    <t>Peter Persson</t>
  </si>
  <si>
    <t>Företag</t>
  </si>
  <si>
    <t>HSB Värmland</t>
  </si>
  <si>
    <t>Telefon</t>
  </si>
  <si>
    <t>0708-192035</t>
  </si>
  <si>
    <t>Uppmätt yta A-temp m2</t>
  </si>
  <si>
    <t>Mail</t>
  </si>
  <si>
    <t>peter.persson@hsb.se</t>
  </si>
  <si>
    <t>Energi enligt besiktning</t>
  </si>
  <si>
    <t>Fastighetsel (Belysning, elmotorer mm.</t>
  </si>
  <si>
    <t>Beräknat värde av övrig el (Tvättstugor, motorvärmare utebelysning)</t>
  </si>
  <si>
    <t>El värmepump</t>
  </si>
  <si>
    <t>El komfortkyla</t>
  </si>
  <si>
    <t>Övrigt</t>
  </si>
  <si>
    <t>1 Klimatskärm</t>
  </si>
  <si>
    <t>Klimatskärm</t>
  </si>
  <si>
    <t>U-värde</t>
  </si>
  <si>
    <t>Ytterväggar 1</t>
  </si>
  <si>
    <t>Ytterväggar källare</t>
  </si>
  <si>
    <t xml:space="preserve">  </t>
  </si>
  <si>
    <t>Takbjälklag</t>
  </si>
  <si>
    <t>Fönster</t>
  </si>
  <si>
    <t>2 Klimat</t>
  </si>
  <si>
    <t>Klimat</t>
  </si>
  <si>
    <t>Mätningar</t>
  </si>
  <si>
    <t>Rumstemperatur</t>
  </si>
  <si>
    <t>21-22</t>
  </si>
  <si>
    <t>Bedömt</t>
  </si>
  <si>
    <t>3 Värmeproduktion/Inspektionsprotokoll</t>
  </si>
  <si>
    <t>Beräkning effekt via fjärrvärme</t>
  </si>
  <si>
    <t>Värmeproduktion beskrivning</t>
  </si>
  <si>
    <t>Utetemp</t>
  </si>
  <si>
    <t>Nominell effekt kW</t>
  </si>
  <si>
    <t>Faktor 1</t>
  </si>
  <si>
    <t>Effekt W/m2</t>
  </si>
  <si>
    <t>Faktor 2</t>
  </si>
  <si>
    <t>Bedömningsgrund</t>
  </si>
  <si>
    <t>VV%</t>
  </si>
  <si>
    <t>Effekt tot</t>
  </si>
  <si>
    <t>4 Värmedistribution/Inspektionsprotokoll</t>
  </si>
  <si>
    <t>Tryckuppsättning pump Mvp</t>
  </si>
  <si>
    <t>Stamventiler</t>
  </si>
  <si>
    <t>Radiatorventiler</t>
  </si>
  <si>
    <t>Termostater</t>
  </si>
  <si>
    <t>Rörsystem/Radiatorer</t>
  </si>
  <si>
    <t>Isolering</t>
  </si>
  <si>
    <t>Injustering bedömning</t>
  </si>
  <si>
    <t>Dimensionering</t>
  </si>
  <si>
    <t>Kommentarer</t>
  </si>
  <si>
    <t>5 Styr och övervakningssystem/Inspektionsprotokoll</t>
  </si>
  <si>
    <t>System</t>
  </si>
  <si>
    <t>Typ</t>
  </si>
  <si>
    <t>Funktion</t>
  </si>
  <si>
    <t>År</t>
  </si>
  <si>
    <t>Kommentar/inställning</t>
  </si>
  <si>
    <t>Värme</t>
  </si>
  <si>
    <t>Varmvatten</t>
  </si>
  <si>
    <t>Ventilation</t>
  </si>
  <si>
    <t>6 Ventilationssystem</t>
  </si>
  <si>
    <t>Beräkning eftervärme vent</t>
  </si>
  <si>
    <t>Betjänar</t>
  </si>
  <si>
    <t>Typ (S,F,FTX FX)</t>
  </si>
  <si>
    <t>Drifttid %</t>
  </si>
  <si>
    <t>Märkeffekt</t>
  </si>
  <si>
    <t>Gradtimmar</t>
  </si>
  <si>
    <t>OVK besiktigad G eller ej EG</t>
  </si>
  <si>
    <t>G</t>
  </si>
  <si>
    <t>Flöde M3/s</t>
  </si>
  <si>
    <t>Drifttider h/år</t>
  </si>
  <si>
    <t>Återvinning %</t>
  </si>
  <si>
    <t>% Drifttid/år</t>
  </si>
  <si>
    <t>Luftflöde m3/s</t>
  </si>
  <si>
    <t>Årsenergi kWh/år</t>
  </si>
  <si>
    <t>SFP-tal</t>
  </si>
  <si>
    <t>A-temp vent m2</t>
  </si>
  <si>
    <t>Genomsnittsflöde l/s m2</t>
  </si>
  <si>
    <t>Kommentarer/noteringar</t>
  </si>
  <si>
    <t>7 Värmepump/Kyla</t>
  </si>
  <si>
    <t>Vp 1</t>
  </si>
  <si>
    <t>Vp 2</t>
  </si>
  <si>
    <t>Vp 3</t>
  </si>
  <si>
    <t>Fabrikat</t>
  </si>
  <si>
    <t xml:space="preserve">Märkeffekt </t>
  </si>
  <si>
    <t>Beräkning årsenergi VP</t>
  </si>
  <si>
    <t>Beräkning årsenergi kyla</t>
  </si>
  <si>
    <t>Värmeeffekt</t>
  </si>
  <si>
    <t>Ineffekt kW</t>
  </si>
  <si>
    <t>Total nominell VP effekt</t>
  </si>
  <si>
    <t xml:space="preserve">Drifttid </t>
  </si>
  <si>
    <t>Drifttid</t>
  </si>
  <si>
    <t>Kylmaskin</t>
  </si>
  <si>
    <t>KM1</t>
  </si>
  <si>
    <t>KM2</t>
  </si>
  <si>
    <t>KM3</t>
  </si>
  <si>
    <t>Årsenergi VP</t>
  </si>
  <si>
    <t>Årsenergi kyla</t>
  </si>
  <si>
    <t>Kyleffekt</t>
  </si>
  <si>
    <t>Total nominell kyleffekt</t>
  </si>
  <si>
    <t>8 Tappvarmvattensystem</t>
  </si>
  <si>
    <t>Beskrivning</t>
  </si>
  <si>
    <t>Temp grad C</t>
  </si>
  <si>
    <t>Temperatur UC</t>
  </si>
  <si>
    <t>Temperatur VVC</t>
  </si>
  <si>
    <t>Temperatur tappställe</t>
  </si>
  <si>
    <t>9 Elinstallationer</t>
  </si>
  <si>
    <t>Verksamhetsel (ej i energideklaration)</t>
  </si>
  <si>
    <t>Effekt kW</t>
  </si>
  <si>
    <t>Drifttid/år</t>
  </si>
  <si>
    <t>Årlig elanvändning</t>
  </si>
  <si>
    <t>Motorvärmare</t>
  </si>
  <si>
    <t>Utebelysning</t>
  </si>
  <si>
    <t>Totalt</t>
  </si>
  <si>
    <t>10 Fastighetsel</t>
  </si>
  <si>
    <t>Elmotorer/pumpar fläktar invändig allmän belysning</t>
  </si>
  <si>
    <t>Elmotorer/pumpar fläktar</t>
  </si>
  <si>
    <t>Drifttid h</t>
  </si>
  <si>
    <t>Energi/år</t>
  </si>
  <si>
    <t>Radiatorpump</t>
  </si>
  <si>
    <t>VVC pump</t>
  </si>
  <si>
    <t>FF 1</t>
  </si>
  <si>
    <t>FTX lokal</t>
  </si>
  <si>
    <t>Trapphusbelysning</t>
  </si>
  <si>
    <t>Övrig belysning</t>
  </si>
  <si>
    <t>Totalt fastighetsel</t>
  </si>
  <si>
    <t>11 Elvärme</t>
  </si>
  <si>
    <t>Totalt elvärme</t>
  </si>
  <si>
    <t>12 Tvättstugor schablon bedömning av energianvändning</t>
  </si>
  <si>
    <t>Bedömt tvättningar/dygn/mask</t>
  </si>
  <si>
    <t>Bedömt kg/tvätt</t>
  </si>
  <si>
    <t>Bedömt tvättdagar/år</t>
  </si>
  <si>
    <t>Kg/dygn att fördela tork</t>
  </si>
  <si>
    <t>Kontroll: tilldelad torkkapacitet (kg/dygn)</t>
  </si>
  <si>
    <t>Diff mot tvättmängd (bör vara 0)</t>
  </si>
  <si>
    <t>Tvätt</t>
  </si>
  <si>
    <t>Modell</t>
  </si>
  <si>
    <t>Antal</t>
  </si>
  <si>
    <t>Ber kWh/år</t>
  </si>
  <si>
    <t>Tvättmaskin 1</t>
  </si>
  <si>
    <t>Tvättmaskin 2</t>
  </si>
  <si>
    <t>Tvättmaskin 3</t>
  </si>
  <si>
    <t>Tvättmaskin 4</t>
  </si>
  <si>
    <t>Tvättmaskiner förbrukning</t>
  </si>
  <si>
    <t>Energi/tvätt kWh</t>
  </si>
  <si>
    <t>Torktumlare förbrukning</t>
  </si>
  <si>
    <t>Energi/kg tork kWh</t>
  </si>
  <si>
    <t>Torkskåp förbrukning</t>
  </si>
  <si>
    <t>Avfuktare/torkrum förbrukning</t>
  </si>
  <si>
    <t>Tork</t>
  </si>
  <si>
    <t>Kg/dygn</t>
  </si>
  <si>
    <t>Ny maskin</t>
  </si>
  <si>
    <t>Ny tumlare</t>
  </si>
  <si>
    <t>Med inbyggd värmepump</t>
  </si>
  <si>
    <t>Termotork 6s</t>
  </si>
  <si>
    <t>Torktumlare 1</t>
  </si>
  <si>
    <t>Äldre maskin</t>
  </si>
  <si>
    <t>Äldre tumlare</t>
  </si>
  <si>
    <t>Nytt elvärmeskåp</t>
  </si>
  <si>
    <t>TA 2002 avfuktare</t>
  </si>
  <si>
    <t>Torktumlare 2</t>
  </si>
  <si>
    <t>Värmepumpstumlare</t>
  </si>
  <si>
    <t>Gammalt elvärmeskåp</t>
  </si>
  <si>
    <t>Torkskåp</t>
  </si>
  <si>
    <t>Torkrum</t>
  </si>
  <si>
    <t>7W</t>
  </si>
  <si>
    <t>Vindsisolering 2016</t>
  </si>
  <si>
    <t>Fördelning och normalisering per byggnad</t>
  </si>
  <si>
    <t>Uppvärmningen normaliseras till kategoritypisk användning men inte till normalår. Klimatkorrigeringen görs i Gripen.</t>
  </si>
  <si>
    <t>Schabloner</t>
  </si>
  <si>
    <t>Korrigering per grad avvikande innetemperatur (andel)</t>
  </si>
  <si>
    <t>Andel av el som blir tillgodogjord värme</t>
  </si>
  <si>
    <t>Personvärme per person (W)</t>
  </si>
  <si>
    <t>Närvarotid (h/dygn)</t>
  </si>
  <si>
    <t>Timmar uppvärmningssäsong (h)</t>
  </si>
  <si>
    <t>Gradtimmar för ventilationsberäkning (°Ch)</t>
  </si>
  <si>
    <t>Faktisk användning och val per byggnad</t>
  </si>
  <si>
    <t>Faktisk innetemperatur (°C)</t>
  </si>
  <si>
    <t>Faktiskt uteluftsflöde (l/s,m²)</t>
  </si>
  <si>
    <t>Värmeåtervinning ventilation (årsverkningsgrad)</t>
  </si>
  <si>
    <t>Personer per lägenhet</t>
  </si>
  <si>
    <t>Verksamhetsel inomhus som avger värme (kWh/år)</t>
  </si>
  <si>
    <t>Normalisering innetemperatur (Ja/Nej)</t>
  </si>
  <si>
    <t>Normalisering uteluftsflöde (Ja/Nej)</t>
  </si>
  <si>
    <t>Normalisering internlast (Ja/Nej)</t>
  </si>
  <si>
    <t>Normalisering tappvarmvatten (Ja/Nej)</t>
  </si>
  <si>
    <t>Areor och kategoritypiska värden</t>
  </si>
  <si>
    <t>A-temp (m²)</t>
  </si>
  <si>
    <t>En- och tvåbostadshus &lt; 90 m²</t>
  </si>
  <si>
    <t>En- och tvåbostadshus 90–130 m²</t>
  </si>
  <si>
    <t>En- och tvåbostadshus ≥ 130 m²</t>
  </si>
  <si>
    <t>Kontrollsumma (m²)</t>
  </si>
  <si>
    <t>Kategoritypisk innetemperatur (°C)</t>
  </si>
  <si>
    <t>Kategoritypiskt uteluftsflöde (l/s,m²)</t>
  </si>
  <si>
    <t>Kategoritypisk internlast (W/m²)</t>
  </si>
  <si>
    <t>Kategoritypiskt energibehov tappvarmvatten (kWh/m²,år)</t>
  </si>
  <si>
    <t>Faktisk internlast och tappvarmvatten</t>
  </si>
  <si>
    <t>Hushållsel (kWh/år)</t>
  </si>
  <si>
    <t>Personvärme (W/m²)</t>
  </si>
  <si>
    <t>Internlast från el (W/m²)</t>
  </si>
  <si>
    <t>Genomsnittlig internlast (W/m²)</t>
  </si>
  <si>
    <t>Vatten (m³)</t>
  </si>
  <si>
    <t>Faktiskt energibehov tappvarmvatten (kWh/år)</t>
  </si>
  <si>
    <t>Faktiskt energibehov tappvarmvatten (kWh/m²,år)</t>
  </si>
  <si>
    <t>Levererad värme till tappvarmvatten (kWh/år)</t>
  </si>
  <si>
    <t>Köpt energi per värmekälla (uppvärmning och tappvarmvatten)</t>
  </si>
  <si>
    <t>Köpt energi tappvarmvatten</t>
  </si>
  <si>
    <t>Köpt energi uppvärmning</t>
  </si>
  <si>
    <t>Producerad värme för uppvärmning (köpt × verkningsgrad)</t>
  </si>
  <si>
    <t>Normaliseringarnas påverkan på värmebehovet (kWh/år)</t>
  </si>
  <si>
    <t>Innetemperatur</t>
  </si>
  <si>
    <t>Internlast</t>
  </si>
  <si>
    <t>Uteluftsflöde</t>
  </si>
  <si>
    <t>Normaliserad energi uppvärmning, ej klimatkorrigerad (till Gripen)</t>
  </si>
  <si>
    <t>Normaliserad energi tappvarmvatten (till Gripen)</t>
  </si>
  <si>
    <t>El och övrig energi per byggnad (kWh/år)</t>
  </si>
  <si>
    <t>Fördelningsnyckel (ej använd för el, se fliken El)</t>
  </si>
  <si>
    <t>Fastighetsel inom systemgräns</t>
  </si>
  <si>
    <t>Egenanvänd solel till fastighetsenergi</t>
  </si>
  <si>
    <t>Övrig energi som ingår i energiprestanda (el, netto)</t>
  </si>
  <si>
    <t>Fjärrkyla</t>
  </si>
  <si>
    <t>Hushållsel</t>
  </si>
  <si>
    <t>El utanför systemgräns</t>
  </si>
  <si>
    <t>Energiprestandatal och energiklass</t>
  </si>
  <si>
    <t>Kontrollberäkning av det Gripen räknar fram. Uppvärmningen klimatkorrigeras med energiindex i Byggnader C10.</t>
  </si>
  <si>
    <t>Uppvärmning, klimatkorrigerad (kWh/år)</t>
  </si>
  <si>
    <t>Tappvarmvatten (kWh/år)</t>
  </si>
  <si>
    <t>Övrig energi som ingår, el (kWh/år)</t>
  </si>
  <si>
    <t>Komfortkyla och fjärrkyla (kWh/år)</t>
  </si>
  <si>
    <t>Byggnadens energianvändning (kWh/år)</t>
  </si>
  <si>
    <t>Byggnadens viktade energianvändning (kWh/år)</t>
  </si>
  <si>
    <t>Energiprestandatal Etal (kWh/m²,år)</t>
  </si>
  <si>
    <t>Energianvändning, oviktad (kWh/m²,år)</t>
  </si>
  <si>
    <t>Högsta Etal per energiklass (kWh/m²,år)</t>
  </si>
  <si>
    <t>Klass A</t>
  </si>
  <si>
    <t>Klass B</t>
  </si>
  <si>
    <t>Klass C</t>
  </si>
  <si>
    <t>Klass D</t>
  </si>
  <si>
    <t>Klass E</t>
  </si>
  <si>
    <t>Klass F</t>
  </si>
  <si>
    <t>Energiklass BFS 2026:10</t>
  </si>
  <si>
    <t>Fossila bränslen förbränns på plats</t>
  </si>
  <si>
    <t>Energiprestandakriterium nollutsläppsbyggnad (befintlig)</t>
  </si>
  <si>
    <t>Högsta Etal nya nollutsläppsbyggnader (= gräns klass A)</t>
  </si>
  <si>
    <t>Högsta Etal befintliga nollutsläppsbyggnader (= gräns klass B)</t>
  </si>
  <si>
    <t>Krav ny nära-nollenergibyggnad, Etal (BFS 2026:9 tabell 1)</t>
  </si>
  <si>
    <t>Jämförelse med tidigare deklaration</t>
  </si>
  <si>
    <t>Tidigare primärenergital (kWh/m²,år)</t>
  </si>
  <si>
    <t>Tidigare energiklass</t>
  </si>
  <si>
    <t>Skillnad Etal − tidigare primärenergital</t>
  </si>
  <si>
    <t>Inmatning i Gripen</t>
  </si>
  <si>
    <t>Välj byggnad. Avsnitten följer Gripens formulär. Grå celler förs över till Gripen.</t>
  </si>
  <si>
    <t>Kolumnindex (hjälpcell)</t>
  </si>
  <si>
    <t>Egen beteckning / adress</t>
  </si>
  <si>
    <t>Egenskaper</t>
  </si>
  <si>
    <t>Atemp (m²)</t>
  </si>
  <si>
    <t>Procent av Atemp</t>
  </si>
  <si>
    <t>En- och tvåbostadshus</t>
  </si>
  <si>
    <t>Energianvändning</t>
  </si>
  <si>
    <t>Mätperiod från och med</t>
  </si>
  <si>
    <t>Mätperiod till och med</t>
  </si>
  <si>
    <t>Ort (energi-index)</t>
  </si>
  <si>
    <t>För uppvärmning</t>
  </si>
  <si>
    <t>Energikälla</t>
  </si>
  <si>
    <t>Normaliserad energi kWh/år</t>
  </si>
  <si>
    <t>För tappvarmvatten</t>
  </si>
  <si>
    <t>Komfortkyla och övrig energi som ingår i energiprestanda</t>
  </si>
  <si>
    <t>Övrig energi som ingår i energiprestanda (el)</t>
  </si>
  <si>
    <t>Förnybar energi producerad på plats</t>
  </si>
  <si>
    <t>Egenanvänd solel som minskar energiprestandatalet (kWh/år)</t>
  </si>
  <si>
    <t>Solceller: installerad effekt (kWp) / produktion (kWh/år)</t>
  </si>
  <si>
    <t>Övrig energi som inte ingår i energiprestanda</t>
  </si>
  <si>
    <t>El utanför systemgräns (t.ex. hiss)</t>
  </si>
  <si>
    <t>Kontroll mot Gripens beräkning</t>
  </si>
  <si>
    <t>Jämför efter Beräkna i Gripen. Kräver samma energiindex i Byggnader C10 som Gripen använder.</t>
  </si>
  <si>
    <t>Energiprestandatal (kWh/m²,år)</t>
  </si>
  <si>
    <t>Högsta Etal nya nollutsläppsbyggnader</t>
  </si>
  <si>
    <t>Högsta Etal befintliga nollutsläppsbyggnader</t>
  </si>
  <si>
    <t>Energibehov för uppvärmning och kyla, ej klimatkorrigerat (kWh/år)</t>
  </si>
  <si>
    <t>Underlag för normalisering av energivärde</t>
  </si>
  <si>
    <t>Parameter</t>
  </si>
  <si>
    <t>Faktisk användning/drift</t>
  </si>
  <si>
    <t>Kategoritypisk enligt BFS 2026:9</t>
  </si>
  <si>
    <t>Har normalisering utförts?</t>
  </si>
  <si>
    <t>Påverkan kWh/m²,år</t>
  </si>
  <si>
    <t>Kommentar (förslag, redigera fritt)</t>
  </si>
  <si>
    <t>Innetemperatur uppvärmningssäsong (°C)</t>
  </si>
  <si>
    <t>Årsmedelflöde uteluft (l/s,m² Atemp)</t>
  </si>
  <si>
    <t>Genomsnittlig internlast (W/m² Atemp)</t>
  </si>
  <si>
    <t>Energibehov för tappvarmvatten (kWh/m² Atemp,år)</t>
  </si>
  <si>
    <t>Kontroller och inspektioner, nominell effekt</t>
  </si>
  <si>
    <t>Leveransdata för fjärrvärme, hela värmecentralen (kW)</t>
  </si>
  <si>
    <t>Övrigt: W/m² × A-temp för denna byggnad (kW)</t>
  </si>
  <si>
    <t>Rekommenderade åtgärder (aktiverade i åtgärdsflikarna)</t>
  </si>
  <si>
    <t>Besparing hela fastigheten kWh/år</t>
  </si>
  <si>
    <t>Besparing denna byggnad kWh/år</t>
  </si>
  <si>
    <t>Besparingskostnad kr/kWh</t>
  </si>
  <si>
    <t>Kriterier för nollutsläppsbyggnad (A0)</t>
  </si>
  <si>
    <t>Energiprestandakriterium (befintlig byggnad)</t>
  </si>
  <si>
    <t>Beräkning U-värde</t>
  </si>
  <si>
    <t>U-bef</t>
  </si>
  <si>
    <t>R-värde tilläggsisolering</t>
  </si>
  <si>
    <t>Nytt U-värde</t>
  </si>
  <si>
    <t>Beräkning bjälklagsförluster</t>
  </si>
  <si>
    <t>Antal våningar</t>
  </si>
  <si>
    <t>Antal bjälklag</t>
  </si>
  <si>
    <t>%fönsteryta</t>
  </si>
  <si>
    <t>U-värde vägg</t>
  </si>
  <si>
    <t>U-värde bjälklag</t>
  </si>
  <si>
    <t>Invändig bredd</t>
  </si>
  <si>
    <t>Invändig längd</t>
  </si>
  <si>
    <t>Förluster bjälklag kWh/m2 väggyta</t>
  </si>
  <si>
    <t>Beräkning U-värde besparing</t>
  </si>
  <si>
    <t>Energianvändning/m2</t>
  </si>
  <si>
    <t>Gradtimmar Före</t>
  </si>
  <si>
    <t>Gradtimmar Efter</t>
  </si>
  <si>
    <t>Yta m2</t>
  </si>
  <si>
    <t>U-värde bef</t>
  </si>
  <si>
    <t>U-värde nytt</t>
  </si>
  <si>
    <t>Energibesparing/år</t>
  </si>
  <si>
    <t>Beräkning injustering värmesystem/sänkning rumstemperatur</t>
  </si>
  <si>
    <t>Genomsnittstemperatur bef</t>
  </si>
  <si>
    <t>Genomsnittstemperatur ny</t>
  </si>
  <si>
    <t>Beräknad besparing/sänkt grad %</t>
  </si>
  <si>
    <t>Energiförbrukning värme befintligt kWh/m2</t>
  </si>
  <si>
    <t>Energiförbrukning värme ny kWh/m2</t>
  </si>
  <si>
    <t>Besparing kwh/m2</t>
  </si>
  <si>
    <t>Beräkning Tryck/tempstyrning vent</t>
  </si>
  <si>
    <t>Luftflöde befintligt/m2</t>
  </si>
  <si>
    <t>Minskning vid -20</t>
  </si>
  <si>
    <t>Minskning vid -10</t>
  </si>
  <si>
    <t>Minkning vid 0</t>
  </si>
  <si>
    <t>Beräkning installation av frånluftsvärmepump</t>
  </si>
  <si>
    <t>Befintligt dimensionerat luftflöde L/s m2</t>
  </si>
  <si>
    <t>Totalt luftflöde M3/s</t>
  </si>
  <si>
    <t>Avluftstemperatur</t>
  </si>
  <si>
    <t>Frånluftstemperatur</t>
  </si>
  <si>
    <t>Potentiell återvunnen energimängd</t>
  </si>
  <si>
    <t>Beräknad värmefaktor</t>
  </si>
  <si>
    <t>Driftenergi värmepump</t>
  </si>
  <si>
    <t>Extra driveffekt frånluftsfläktar kW</t>
  </si>
  <si>
    <t>Extra driftenergi fläktar</t>
  </si>
  <si>
    <t>Beräkning installation av solvärme</t>
  </si>
  <si>
    <t>Varmvatten sommarmånad</t>
  </si>
  <si>
    <t>Solfångararea</t>
  </si>
  <si>
    <t>Förväntad energi kwh/m2</t>
  </si>
  <si>
    <t>Energiproduktion</t>
  </si>
  <si>
    <t>Drivenergi pump el kWh</t>
  </si>
  <si>
    <t>Drivenergi styr el kWh</t>
  </si>
  <si>
    <t>Förluster bjälklag</t>
  </si>
  <si>
    <t>Kulvertförluster</t>
  </si>
  <si>
    <t>Nya kWh/m år</t>
  </si>
  <si>
    <t>Gamla kWh/m år Före 1975</t>
  </si>
  <si>
    <t>DN 50</t>
  </si>
  <si>
    <t>DN 65</t>
  </si>
  <si>
    <t>DN 80</t>
  </si>
  <si>
    <t>DN 100</t>
  </si>
  <si>
    <t>kr/m2 A-temp</t>
  </si>
  <si>
    <t>kr/lgh</t>
  </si>
  <si>
    <t>kr/m2</t>
  </si>
  <si>
    <t>kr</t>
  </si>
  <si>
    <t>kr/kW</t>
  </si>
  <si>
    <t>Fasadisolering och ny puts</t>
  </si>
  <si>
    <t>5-10 cm skiva och ny puts</t>
  </si>
  <si>
    <t>Fönsterbyte</t>
  </si>
  <si>
    <t>Avser plast billigaste alternativet</t>
  </si>
  <si>
    <t>FX återvinning utbyte</t>
  </si>
  <si>
    <t>Det finns sedan tidigare FX</t>
  </si>
  <si>
    <t>FX återvinning från scratch</t>
  </si>
  <si>
    <t>Avser total med nya batterier sugkamm och FX mot rad</t>
  </si>
  <si>
    <t>FTX lgh aggregat</t>
  </si>
  <si>
    <t>Nytt krydhylla aggregat med kanalsystem</t>
  </si>
  <si>
    <t>Ventilbyte och injustering värme</t>
  </si>
  <si>
    <t>Total injsutering nya ventiler med avgas och filter</t>
  </si>
  <si>
    <t>Installation solceller</t>
  </si>
  <si>
    <t>OBS: Värdet i F9 är kr/m2 solcellsyta, INTE kr/kW som kolumnrubriken (F2) anger för övriga rader.</t>
  </si>
  <si>
    <t>Installation IMD el</t>
  </si>
  <si>
    <t>ny elmätare kopplad till IMD</t>
  </si>
  <si>
    <t>Installation IMD VV</t>
  </si>
  <si>
    <t>två nya VV-mätare</t>
  </si>
  <si>
    <t>Tilläggisolering av vindsbjälklag 300 mm lösull</t>
  </si>
  <si>
    <t xml:space="preserve">Enkelt vindsbjälklag </t>
  </si>
  <si>
    <t>Styrsystem för värme</t>
  </si>
  <si>
    <t>En st DUC i UC med tempgiv/lgh</t>
  </si>
  <si>
    <t>OBS: Manuell referenstabell</t>
  </si>
  <si>
    <t>Dessa nyckeltal är INTE kopplade till beräkningarna i åtgärdsflikarna. Flera åtgärdsflikar (t.ex. "Tilläggisol fasad" och "Byte fönster") har egna, mer detaljerade nyckeltal i kr/m2 fasadyta respektive fönsteryta - en annan enhet än kr/m2 A-temp här. Jämför manuellt vid behov och uppdatera båda ställena om marknadspriser ändras.</t>
  </si>
  <si>
    <t>Pris</t>
  </si>
  <si>
    <t>Prishöjning/år bedömd</t>
  </si>
  <si>
    <t>Kalkylränta</t>
  </si>
  <si>
    <t>UH kostnad årlig höjning</t>
  </si>
  <si>
    <t>Bergvärme</t>
  </si>
  <si>
    <t>För känslighetsanalys tryck + ovan</t>
  </si>
  <si>
    <t>Ta med i sammanfattning?</t>
  </si>
  <si>
    <t>Lönsamhetsgränser</t>
  </si>
  <si>
    <t>Kvantitet</t>
  </si>
  <si>
    <t>Enhet</t>
  </si>
  <si>
    <t>Känslighetsanalys</t>
  </si>
  <si>
    <t xml:space="preserve">Mängduppgift                           </t>
  </si>
  <si>
    <t>m2 At</t>
  </si>
  <si>
    <t xml:space="preserve">Kalkylränta </t>
  </si>
  <si>
    <t>nominell</t>
  </si>
  <si>
    <t>Internränta</t>
  </si>
  <si>
    <t xml:space="preserve">Kalkylperiod                                        </t>
  </si>
  <si>
    <t>år</t>
  </si>
  <si>
    <t>Pay-off utan ränta</t>
  </si>
  <si>
    <t>Unerhållskostnad prisutveckling per år</t>
  </si>
  <si>
    <t>Investeringskalkyl</t>
  </si>
  <si>
    <t xml:space="preserve">Energislag </t>
  </si>
  <si>
    <t xml:space="preserve">Energipris rörligt            </t>
  </si>
  <si>
    <t>kr per kWh</t>
  </si>
  <si>
    <t>Nyckeltal invest kr/kW</t>
  </si>
  <si>
    <t>Energiprisutveckling per år</t>
  </si>
  <si>
    <t>Investeringskostnad</t>
  </si>
  <si>
    <t>Energislag 2</t>
  </si>
  <si>
    <t>Beräkningar</t>
  </si>
  <si>
    <t>Energislag 3</t>
  </si>
  <si>
    <t>Egen kalkyl förklaring</t>
  </si>
  <si>
    <t>Installation av frånluftsåtervinning med värmepump. Befintligt frånluftssystem förses med återvinningsbatterier som kyler av frånluften från byggnaden. Värmen återvinns via värmepumpar och återförs byggnadens värmesystem.</t>
  </si>
  <si>
    <t>&lt;&lt;&lt;Om fler energislag: tryck +</t>
  </si>
  <si>
    <t>Egen kalkyl beräkning</t>
  </si>
  <si>
    <t>Före åtgärd</t>
  </si>
  <si>
    <t>Efter åtgärd</t>
  </si>
  <si>
    <t>Dimensionering nominell av värme</t>
  </si>
  <si>
    <t xml:space="preserve">Investeringskostnad                                 kr </t>
  </si>
  <si>
    <t>Investeringsgräns</t>
  </si>
  <si>
    <t>VP-effekt</t>
  </si>
  <si>
    <t>Underhållskostnad                                  kr per år</t>
  </si>
  <si>
    <t>Antaget COP</t>
  </si>
  <si>
    <t xml:space="preserve">Underhållskostnad, periodisk år 0          kr  </t>
  </si>
  <si>
    <t xml:space="preserve">Underhållskostnad, periodisk år 10        kr  </t>
  </si>
  <si>
    <t xml:space="preserve">Underhållskostnad, periodisk år 20        kr  </t>
  </si>
  <si>
    <t>&lt;&lt;&lt;Om fler uh-kostnader: tryck +</t>
  </si>
  <si>
    <t>Aktivt djup borrhål meter</t>
  </si>
  <si>
    <t>VP eleffekt</t>
  </si>
  <si>
    <t>Energianvändning                            kWh per mängdenhet och år</t>
  </si>
  <si>
    <t>VP kyleffekt</t>
  </si>
  <si>
    <t>Energikostnad                                  kr per år</t>
  </si>
  <si>
    <t>Energianvändning 2                         kWh per mängdenhet och år</t>
  </si>
  <si>
    <t>Årsprod kWh</t>
  </si>
  <si>
    <t>Energikostnad 2                                kr per år</t>
  </si>
  <si>
    <t>Årskons kWh</t>
  </si>
  <si>
    <t>Energianvändning 3                         kWh per mängdenhet och år</t>
  </si>
  <si>
    <t>Energikostnad 3                               kr per år</t>
  </si>
  <si>
    <t>Summa energikostnad                    kr per år</t>
  </si>
  <si>
    <t>Summa energianvändning             kWh per år</t>
  </si>
  <si>
    <t>Energikostnad medelvärde             kr per kWh</t>
  </si>
  <si>
    <t>Summa nuvärde, investering och underhåll</t>
  </si>
  <si>
    <t>Summa nuvärde, energikostnader</t>
  </si>
  <si>
    <t>Summa nuvärde, alla kostnader</t>
  </si>
  <si>
    <t>Differens:</t>
  </si>
  <si>
    <t>Besparingskostnad                         kr per kWh</t>
  </si>
  <si>
    <t>Energikostnad (mv )                        kr per kWh</t>
  </si>
  <si>
    <t>Minskad användning av CO2           ton per år</t>
  </si>
  <si>
    <t>Ej beräknat</t>
  </si>
  <si>
    <t>Injustering av värmesystem</t>
  </si>
  <si>
    <t>Beräknad besparing</t>
  </si>
  <si>
    <t>Injustering av värmesystemet för att uppnå en jämnare temperatur i byggnaden. Flöden till värmestammar och radiatorer injusteras för att avge rätt värmeeffekt. Värmebesparing uppnås genom en lägre genomsnittstemperatur och mindre vädring</t>
  </si>
  <si>
    <t>Antal lgh</t>
  </si>
  <si>
    <t>Rad/lgh</t>
  </si>
  <si>
    <t>Pris/rad</t>
  </si>
  <si>
    <t>Byte styrsystem för värme</t>
  </si>
  <si>
    <t>Byte av styr och reglerutrustning för värmesystem. Befintligt styrsystem har endast utegivare för utstyrning av värme. Genom att sätta in en ny styrdator som även mäter inomhustemperatur kan värmeöverskottet som uppstår vid viss väderlek och årstid automatiskt besparas.</t>
  </si>
  <si>
    <t>Tilläggisolering av vindbjälklaget</t>
  </si>
  <si>
    <t>Nyckeltal investering/m2</t>
  </si>
  <si>
    <t>Beräknad besparing kWh/år</t>
  </si>
  <si>
    <t>Befintlig isolering är xx cm tjock. Det finns bra förutsättningar att tilläggisolera vindsbjälklaget med ytterliggare xx cm lösull. Därigenom kan man minska värmeläckaget genom vinden.</t>
  </si>
  <si>
    <t>Takyta</t>
  </si>
  <si>
    <t>Bef U</t>
  </si>
  <si>
    <t>Nytt U</t>
  </si>
  <si>
    <t>K-D 17 gränstemp</t>
  </si>
  <si>
    <t>Bef energi genom tak kWh/år</t>
  </si>
  <si>
    <t>Ny energi genom tak kWh/år</t>
  </si>
  <si>
    <t>Energibesparing</t>
  </si>
  <si>
    <t>Byte av fönster</t>
  </si>
  <si>
    <t>Nyckeltal kr/m2 fönster</t>
  </si>
  <si>
    <t>Fasadyta exkl fönster</t>
  </si>
  <si>
    <t>Fönster %</t>
  </si>
  <si>
    <t>Bef energi fönster kWh/år</t>
  </si>
  <si>
    <t>Ny energi fönster kWh/år</t>
  </si>
  <si>
    <t>Tilläggisolering av fasader</t>
  </si>
  <si>
    <t>Nyckeltal kr/m2 fasad</t>
  </si>
  <si>
    <t>Tilläggisolera fasaden med</t>
  </si>
  <si>
    <t>Bef energi fasad kWh/år</t>
  </si>
  <si>
    <t>Ny energi fasad kWh/år</t>
  </si>
  <si>
    <t>Installation av frånluftsåtervinning</t>
  </si>
  <si>
    <t>Avkylning grader</t>
  </si>
  <si>
    <t>Kyleffekt kW</t>
  </si>
  <si>
    <t>Scop VP antagen</t>
  </si>
  <si>
    <t>Komp effekt</t>
  </si>
  <si>
    <t>Vp effekt</t>
  </si>
  <si>
    <t>Antagen drifttid</t>
  </si>
  <si>
    <t>Värmedrift</t>
  </si>
  <si>
    <t>5500 h/år</t>
  </si>
  <si>
    <t>Värme+VV drift</t>
  </si>
  <si>
    <t>7000 h/år</t>
  </si>
  <si>
    <t>Minskad värme/år kWh</t>
  </si>
  <si>
    <t>Ökad el/år kWh</t>
  </si>
  <si>
    <t>Installation av solceller på taket</t>
  </si>
  <si>
    <t>Installera solceller på taket</t>
  </si>
  <si>
    <t>Solcellsyta</t>
  </si>
  <si>
    <t>Beräknad m2 produktion</t>
  </si>
  <si>
    <t>130 lågt 180 högt beronde på läge lutning verkningsgrad paneler</t>
  </si>
  <si>
    <t>Produktion</t>
  </si>
  <si>
    <t>Varav fastighetsel tillgodo %</t>
  </si>
  <si>
    <t>Byte av pump till tryckstyrd med bättre effektivitet</t>
  </si>
  <si>
    <t>Byte av cirkulationspumpar till nya tryckreglerade med bättre energieffektivitet.</t>
  </si>
  <si>
    <t>Effekt befintliga pumpar kW</t>
  </si>
  <si>
    <t>Drifttid h per år</t>
  </si>
  <si>
    <t>Bef energiförbrukning kWh/år</t>
  </si>
  <si>
    <t>Effekt nya pumpar kW</t>
  </si>
  <si>
    <t>Drifttid per år</t>
  </si>
  <si>
    <t>Ny energiförbrukning</t>
  </si>
  <si>
    <t>Årlig energibesparing</t>
  </si>
  <si>
    <t>Byte av fläktar till tryckstyrd med bättre effektivitet</t>
  </si>
  <si>
    <t>Byte av fläktar till nya tryckreglerade med bättre energieffektivitet och utetempkompensering.</t>
  </si>
  <si>
    <t>Effekt befintliga fläktar kW</t>
  </si>
  <si>
    <t>SFP tal</t>
  </si>
  <si>
    <t>Effekt nya fläktar kW</t>
  </si>
  <si>
    <t>Övrig åtgärd</t>
  </si>
  <si>
    <t>Befintlig energiförbrukning ventilation uppvärmning</t>
  </si>
  <si>
    <t>Ny energiförbrukning ventilation uppvärmning</t>
  </si>
  <si>
    <t>Underlag för beräkning</t>
  </si>
  <si>
    <t>Ökad el till FTX</t>
  </si>
  <si>
    <t>Investeringskostnad (kr)</t>
  </si>
  <si>
    <t>Ändrad värmeförbrukning (kWh/år)</t>
  </si>
  <si>
    <t>Ändrad elförbrukning (kWh/år)</t>
  </si>
  <si>
    <t>Ökning anges positivt och minskning negativt. Exempel bergvärme: värme −100 000, el +30 000.</t>
  </si>
  <si>
    <t>Beskrivning av åtgärden</t>
  </si>
  <si>
    <t>Beskriv åtgärden och hur besparingen är beräknad.</t>
  </si>
  <si>
    <t>Nuvarande värmeförbrukning (kWh/år)</t>
  </si>
  <si>
    <t>Värmeförbrukning efter åtgärd (kWh/år)</t>
  </si>
  <si>
    <t>Nuvarande el, fastighetsel (kWh/år)</t>
  </si>
  <si>
    <t>El efter åtgärd (kWh/år)</t>
  </si>
  <si>
    <t>Årlig energibesparing (kWh/år)</t>
  </si>
  <si>
    <t>Besiktning</t>
  </si>
  <si>
    <t>Byggnaden har besiktigats i syfte att kartlägga byggnadens fastighetsenergi samt för att kontrollera eventuellt möjliga kostnadseffektiva åtgärder</t>
  </si>
  <si>
    <t>Installation av solceller för produktion av el till byggnadens gemensamma elanvändning.</t>
  </si>
  <si>
    <t>Alternativ 1</t>
  </si>
  <si>
    <t>Alternativ 2</t>
  </si>
  <si>
    <t>Beräkningsmetodik</t>
  </si>
  <si>
    <t>Formel</t>
  </si>
  <si>
    <t>Vattenspar</t>
  </si>
  <si>
    <t>Installation av vattenbesparande utrustning. Befintliga blandare och duschar förses med nya perlatorer och munstycken som ger ett högre vattentryck och mindre vattenmängd. Åtgärden minskar energiåtgången och effekt för varmvatten samt minskar kostnaden för kallvatten. Samtidigt kan man med fördel inventera och åtgärda eventuella vattenläckor.</t>
  </si>
  <si>
    <t>Antag 5-15% beroende på status eller ev mätning av flödet</t>
  </si>
  <si>
    <t>Frånluftvärmepump</t>
  </si>
  <si>
    <t>Installation av frånluftsåtervinning med värmepump. Befintliga frånluftsfläktar demonteras och ersätts med värmepumpsaggregat som har inbyggda fläktar med en bättre eleffektivitet. Värmen återvinns i aggregaten återförs byggnadens värmesystem.</t>
  </si>
  <si>
    <t>Frånluftsflödet kyls ned till ca 5 grader. Beräkna förenklat kyleffekten och antag ett Scop på 3-4 eller använd beräkningsprgram</t>
  </si>
  <si>
    <t>Styr och regler</t>
  </si>
  <si>
    <t>Antag 5-12% beroende på status bef. reglerutrustning och inomhustemperatur</t>
  </si>
  <si>
    <t>Byte av fläkt</t>
  </si>
  <si>
    <t>Byte av befintliga fläktar till nya med högre eleffektivitet och tryckstyrning</t>
  </si>
  <si>
    <t>Mätning av strömstyrka/tryck på bef fläkt. Beräkningsprogram för ny fläkt</t>
  </si>
  <si>
    <t>Byte av pump</t>
  </si>
  <si>
    <t>Byte av befintliga pumpar till nya med högre eleffektivitet och tryckstyrning</t>
  </si>
  <si>
    <t>Mätning av strömstyrka/tryck på bef pump. Beräkningsprogram för ny pump</t>
  </si>
  <si>
    <t>Injustering av värmesystemet för att uppnå en jämnare temperatur i byggnaden. Flöden till värmestammar och radiatorer injusteras för att avge rätt värmeeffekt. Värmebesparing uppnås genom en lägre genomsnittstemperatur och mindre vädring. Man behöver byta ut samtliga stamventiler och radiatorventiler för att kunna genomföra denna åtgärd.</t>
  </si>
  <si>
    <t>Antag 5-10% beroende husets medeltemp, bedömning av vädring, bedömning av bef injustering och temperaturspridning.</t>
  </si>
  <si>
    <t>Tilläggisolering av vindsbjälklag</t>
  </si>
  <si>
    <t>Beräkning av bef. transmissionsförlust och ny</t>
  </si>
  <si>
    <t>Befintlig konstruktion har ett U-värde (isolervärde) som är dåligt . Det finns bra förutsättningar att tilläggisolera fasaden i samband med renovering med ytterliggare xx cm. Därigenom kan man minska värmeläckaget genom fasaden.</t>
  </si>
  <si>
    <t>Installation av bergvärmepump för uppvärmning och varmvatten. Ett eller flera borrhål borras för uttag av värmeenergi ur berggrunden. Värmen upptas av en köldbärarvätska och höjs via värmepumpen till en temperaturnivå som kan användas i byggnadens värmesystem. Åtgärden ersätter helt eller delvis nuvarande uppvärmningskälla och minskar behovet av köpt fjärrvärme/olja, men ökar elanvändningen.</t>
  </si>
  <si>
    <t>Beräkning av VP-effekt utifrån byggnadens nominella värmeeffekt och andel täckningsgrad, samt årsenergi utifrån antaget COP och antagen drifttid.</t>
  </si>
  <si>
    <t>Byte fönster</t>
  </si>
  <si>
    <t>Byte av befintliga fönster till nya energieffektiva fönster med lägre U-värde. Åtgärden minskar transmissionsförlusterna genom klimatskärmen och ger ett bättre inomhusklimat samt minskad risk för drag och kallras.</t>
  </si>
  <si>
    <t>Beräkning av befintlig och ny transmissionsförlust utifrån U-värde före/efter och fönsterarea, omräknat med gradtimmar till årsenergi.</t>
  </si>
  <si>
    <t>Regelvärden BFS 2026:9 och BFS 2026:10</t>
  </si>
  <si>
    <t>Tabellerna används av beräkningsflikarna. Ändra bara om föreskrifterna ändras.</t>
  </si>
  <si>
    <t>Viktningsfaktorer per energibärare (BFS 2026:9 bilaga 1 tabell 1)</t>
  </si>
  <si>
    <t>Ja/Nej</t>
  </si>
  <si>
    <t>Solel fördelas</t>
  </si>
  <si>
    <t>Värme och tappvarmvatten</t>
  </si>
  <si>
    <t>Alla</t>
  </si>
  <si>
    <t>Komfortkyla</t>
  </si>
  <si>
    <t>Räknas bort</t>
  </si>
  <si>
    <t>Per byggnad</t>
  </si>
  <si>
    <t>Förnybara bränslen</t>
  </si>
  <si>
    <t>Fossila bränslen</t>
  </si>
  <si>
    <t>Kategoritypiska värden (BFS 2026:9 bilaga 1) och gränser A + B·Fgeo (BFS 2026:10 bilaga 1, BFS 2026:9 bilaga 2 tabell 1)</t>
  </si>
  <si>
    <t>Innetemp °C</t>
  </si>
  <si>
    <t>Uteluft l/s,m²</t>
  </si>
  <si>
    <t>Internlast W/m²</t>
  </si>
  <si>
    <t>Tappvv kWh/m²</t>
  </si>
  <si>
    <t>A: A</t>
  </si>
  <si>
    <t>A: B</t>
  </si>
  <si>
    <t>B: A</t>
  </si>
  <si>
    <t>B: B</t>
  </si>
  <si>
    <t>C: A</t>
  </si>
  <si>
    <t>C: B</t>
  </si>
  <si>
    <t>D: A</t>
  </si>
  <si>
    <t>D: B</t>
  </si>
  <si>
    <t>E: A</t>
  </si>
  <si>
    <t>E: B</t>
  </si>
  <si>
    <t>F: A</t>
  </si>
  <si>
    <t>F: B</t>
  </si>
  <si>
    <t>Ny byggnad: A</t>
  </si>
  <si>
    <t>Ny byggnad: B</t>
  </si>
  <si>
    <t>En- och tvåbostadshus Atemp &lt; 90 m²</t>
  </si>
  <si>
    <t>En- och tvåbostadshus Atemp ≥ 130 m²</t>
  </si>
  <si>
    <t>Fgeo per kommun (BFS 2026:9 bilaga 3)</t>
  </si>
  <si>
    <t>Fgeo</t>
  </si>
  <si>
    <t>Ale</t>
  </si>
  <si>
    <t>Alingsås</t>
  </si>
  <si>
    <t>Alvesta</t>
  </si>
  <si>
    <t>Aneby</t>
  </si>
  <si>
    <t>Arboga</t>
  </si>
  <si>
    <t>Arjeplog</t>
  </si>
  <si>
    <t>Arvidsjaur</t>
  </si>
  <si>
    <t>Arvika</t>
  </si>
  <si>
    <t>Askersund</t>
  </si>
  <si>
    <t>Avesta</t>
  </si>
  <si>
    <t>Bengtsfors</t>
  </si>
  <si>
    <t>Berg</t>
  </si>
  <si>
    <t>Bjurholm</t>
  </si>
  <si>
    <t>Bjuv</t>
  </si>
  <si>
    <t>Boden</t>
  </si>
  <si>
    <t>Bollebygd</t>
  </si>
  <si>
    <t>Bollnäs</t>
  </si>
  <si>
    <t>Borgholm</t>
  </si>
  <si>
    <t>Borlänge</t>
  </si>
  <si>
    <t>Borås</t>
  </si>
  <si>
    <t>Botkyrka</t>
  </si>
  <si>
    <t>Boxholm</t>
  </si>
  <si>
    <t>Bromölla</t>
  </si>
  <si>
    <t>Bräcke</t>
  </si>
  <si>
    <t>Burlöv</t>
  </si>
  <si>
    <t>Båstad</t>
  </si>
  <si>
    <t>Dals-Ed</t>
  </si>
  <si>
    <t>Danderyd</t>
  </si>
  <si>
    <t>Degerfors</t>
  </si>
  <si>
    <t>Dorotea</t>
  </si>
  <si>
    <t>Eda</t>
  </si>
  <si>
    <t>Ekerö</t>
  </si>
  <si>
    <t>Eksjö</t>
  </si>
  <si>
    <t>Emmaboda</t>
  </si>
  <si>
    <t>Enköping</t>
  </si>
  <si>
    <t>Eskilstuna</t>
  </si>
  <si>
    <t>Eslöv</t>
  </si>
  <si>
    <t>Essunga</t>
  </si>
  <si>
    <t>Fagersta</t>
  </si>
  <si>
    <t>Falkenberg</t>
  </si>
  <si>
    <t>Falköping</t>
  </si>
  <si>
    <t>Falun</t>
  </si>
  <si>
    <t>Filipstad</t>
  </si>
  <si>
    <t>Finspång</t>
  </si>
  <si>
    <t>Flen</t>
  </si>
  <si>
    <t>Forshaga</t>
  </si>
  <si>
    <t>Färgelanda</t>
  </si>
  <si>
    <t>Gagnef</t>
  </si>
  <si>
    <t>Gislaved</t>
  </si>
  <si>
    <t>Gnesta</t>
  </si>
  <si>
    <t>Gnosjö</t>
  </si>
  <si>
    <t>Gotland</t>
  </si>
  <si>
    <t>Grums</t>
  </si>
  <si>
    <t>Grästorp</t>
  </si>
  <si>
    <t>Gullspång</t>
  </si>
  <si>
    <t>Gällivare</t>
  </si>
  <si>
    <t>Gävle</t>
  </si>
  <si>
    <t>Göteborg</t>
  </si>
  <si>
    <t>Götene</t>
  </si>
  <si>
    <t>Habo</t>
  </si>
  <si>
    <t>Hagfors</t>
  </si>
  <si>
    <t>Hallsberg</t>
  </si>
  <si>
    <t>Hallstahammar</t>
  </si>
  <si>
    <t>Halmstad</t>
  </si>
  <si>
    <t>Hammarö</t>
  </si>
  <si>
    <t>Haninge</t>
  </si>
  <si>
    <t>Haparanda</t>
  </si>
  <si>
    <t>Heby</t>
  </si>
  <si>
    <t>Hedemora</t>
  </si>
  <si>
    <t>Helsingborg</t>
  </si>
  <si>
    <t>Herrljunga</t>
  </si>
  <si>
    <t>Hjo</t>
  </si>
  <si>
    <t>Hofors</t>
  </si>
  <si>
    <t>Huddinge</t>
  </si>
  <si>
    <t>Hudiksvall</t>
  </si>
  <si>
    <t>Hultsfred</t>
  </si>
  <si>
    <t>Hylte</t>
  </si>
  <si>
    <t>Håbo</t>
  </si>
  <si>
    <t>Hällefors</t>
  </si>
  <si>
    <t>Härjedalen</t>
  </si>
  <si>
    <t>Härnösand</t>
  </si>
  <si>
    <t>Härryda</t>
  </si>
  <si>
    <t>Hässleholm</t>
  </si>
  <si>
    <t>Höganäs</t>
  </si>
  <si>
    <t>Högsby</t>
  </si>
  <si>
    <t>Hörby</t>
  </si>
  <si>
    <t>Höör</t>
  </si>
  <si>
    <t>Jokkmokk</t>
  </si>
  <si>
    <t>Järfälla</t>
  </si>
  <si>
    <t>Jönköping</t>
  </si>
  <si>
    <t>Kalix</t>
  </si>
  <si>
    <t>Kalmar</t>
  </si>
  <si>
    <t>Karlsborg</t>
  </si>
  <si>
    <t>Karlshamn</t>
  </si>
  <si>
    <t>Karlskoga</t>
  </si>
  <si>
    <t>Karlskrona</t>
  </si>
  <si>
    <t>Katrineholm</t>
  </si>
  <si>
    <t>Kil</t>
  </si>
  <si>
    <t>Kinda</t>
  </si>
  <si>
    <t>Kiruna</t>
  </si>
  <si>
    <t>Klippan</t>
  </si>
  <si>
    <t>Knivsta</t>
  </si>
  <si>
    <t>Kramfors</t>
  </si>
  <si>
    <t>Kristianstad</t>
  </si>
  <si>
    <t>Kristinehamn</t>
  </si>
  <si>
    <t>Krokom</t>
  </si>
  <si>
    <t>Kumla</t>
  </si>
  <si>
    <t>Kungsbacka</t>
  </si>
  <si>
    <t>Kungsör</t>
  </si>
  <si>
    <t>Kungälv</t>
  </si>
  <si>
    <t>Kävlinge</t>
  </si>
  <si>
    <t>Köping</t>
  </si>
  <si>
    <t>Laholm</t>
  </si>
  <si>
    <t>Landskrona</t>
  </si>
  <si>
    <t>Laxå</t>
  </si>
  <si>
    <t>Lekeberg</t>
  </si>
  <si>
    <t>Leksand</t>
  </si>
  <si>
    <t>Lerum</t>
  </si>
  <si>
    <t>Lessebo</t>
  </si>
  <si>
    <t>Lidingö</t>
  </si>
  <si>
    <t>Lidköping</t>
  </si>
  <si>
    <t>Lilla Edet</t>
  </si>
  <si>
    <t>Lindesberg</t>
  </si>
  <si>
    <t>Linköping</t>
  </si>
  <si>
    <t>Ljungby</t>
  </si>
  <si>
    <t>Ljusdal</t>
  </si>
  <si>
    <t>Ljusnarsberg</t>
  </si>
  <si>
    <t>Lomma</t>
  </si>
  <si>
    <t>Ludvika</t>
  </si>
  <si>
    <t>Luleå</t>
  </si>
  <si>
    <t>Lund</t>
  </si>
  <si>
    <t>Lycksele</t>
  </si>
  <si>
    <t>Lysekil</t>
  </si>
  <si>
    <t>Malmö</t>
  </si>
  <si>
    <t>Malung-Sälen</t>
  </si>
  <si>
    <t>Malå</t>
  </si>
  <si>
    <t>Mariestad</t>
  </si>
  <si>
    <t>Mark</t>
  </si>
  <si>
    <t>Markaryd</t>
  </si>
  <si>
    <t>Mellerud</t>
  </si>
  <si>
    <t>Mjölby</t>
  </si>
  <si>
    <t>Mora</t>
  </si>
  <si>
    <t>Motala</t>
  </si>
  <si>
    <t>Mullsjö</t>
  </si>
  <si>
    <t>Munkedal</t>
  </si>
  <si>
    <t>Munkfors</t>
  </si>
  <si>
    <t>Mölndal</t>
  </si>
  <si>
    <t>Mönsterås</t>
  </si>
  <si>
    <t>Mörbylånga</t>
  </si>
  <si>
    <t>Nacka</t>
  </si>
  <si>
    <t>Nora</t>
  </si>
  <si>
    <t>Norberg</t>
  </si>
  <si>
    <t>Nordanstig</t>
  </si>
  <si>
    <t>Nordmaling</t>
  </si>
  <si>
    <t>Norrköping</t>
  </si>
  <si>
    <t>Norrtälje</t>
  </si>
  <si>
    <t>Norsjö</t>
  </si>
  <si>
    <t>Nybro</t>
  </si>
  <si>
    <t>Nykvarn</t>
  </si>
  <si>
    <t>Nyköping</t>
  </si>
  <si>
    <t>Nynäshamn</t>
  </si>
  <si>
    <t>Nässjö</t>
  </si>
  <si>
    <t>Ockelbo</t>
  </si>
  <si>
    <t>Olofström</t>
  </si>
  <si>
    <t>Orsa</t>
  </si>
  <si>
    <t>Orust</t>
  </si>
  <si>
    <t>Osby</t>
  </si>
  <si>
    <t>Oskarshamn</t>
  </si>
  <si>
    <t>Ovanåker</t>
  </si>
  <si>
    <t>Oxelösund</t>
  </si>
  <si>
    <t>Pajala</t>
  </si>
  <si>
    <t>Partille</t>
  </si>
  <si>
    <t>Perstorp</t>
  </si>
  <si>
    <t>Piteå</t>
  </si>
  <si>
    <t>Ragunda</t>
  </si>
  <si>
    <t>Robertsfors</t>
  </si>
  <si>
    <t>Ronneby</t>
  </si>
  <si>
    <t>Rättvik</t>
  </si>
  <si>
    <t>Sala</t>
  </si>
  <si>
    <t>Salem</t>
  </si>
  <si>
    <t>Sandviken</t>
  </si>
  <si>
    <t>Sigtuna</t>
  </si>
  <si>
    <t>Simrishamn</t>
  </si>
  <si>
    <t>Sjöbo</t>
  </si>
  <si>
    <t>Skara</t>
  </si>
  <si>
    <t>Skellefteå</t>
  </si>
  <si>
    <t>Skinnskatteberg</t>
  </si>
  <si>
    <t>Skurup</t>
  </si>
  <si>
    <t>Skövde</t>
  </si>
  <si>
    <t>Smedjebacken</t>
  </si>
  <si>
    <t>Sollefteå</t>
  </si>
  <si>
    <t>Sollentuna</t>
  </si>
  <si>
    <t>Solna</t>
  </si>
  <si>
    <t>Sorsele</t>
  </si>
  <si>
    <t>Sotenäs</t>
  </si>
  <si>
    <t>Staffanstorp</t>
  </si>
  <si>
    <t>Stenungsund</t>
  </si>
  <si>
    <t>Stockholm</t>
  </si>
  <si>
    <t>Storfors</t>
  </si>
  <si>
    <t>Storuman</t>
  </si>
  <si>
    <t>Strängnäs</t>
  </si>
  <si>
    <t>Strömstad</t>
  </si>
  <si>
    <t>Strömsund</t>
  </si>
  <si>
    <t>Sundbyberg</t>
  </si>
  <si>
    <t>Sundsvall</t>
  </si>
  <si>
    <t>Sunne</t>
  </si>
  <si>
    <t>Surahammar</t>
  </si>
  <si>
    <t>Svalöv</t>
  </si>
  <si>
    <t>Svedala</t>
  </si>
  <si>
    <t>Svenljunga</t>
  </si>
  <si>
    <t>Säffle</t>
  </si>
  <si>
    <t>Säter</t>
  </si>
  <si>
    <t>Sävsjö</t>
  </si>
  <si>
    <t>Söderhamn</t>
  </si>
  <si>
    <t>Söderköping</t>
  </si>
  <si>
    <t>Södertälje</t>
  </si>
  <si>
    <t>Sölvesborg</t>
  </si>
  <si>
    <t>Tanum</t>
  </si>
  <si>
    <t>Tibro</t>
  </si>
  <si>
    <t>Tidaholm</t>
  </si>
  <si>
    <t>Tierp</t>
  </si>
  <si>
    <t>Timrå</t>
  </si>
  <si>
    <t>Tingsryd</t>
  </si>
  <si>
    <t>Tjörn</t>
  </si>
  <si>
    <t>Tomelilla</t>
  </si>
  <si>
    <t>Torsby</t>
  </si>
  <si>
    <t>Torsås</t>
  </si>
  <si>
    <t>Tranemo</t>
  </si>
  <si>
    <t>Tranås</t>
  </si>
  <si>
    <t>Trelleborg</t>
  </si>
  <si>
    <t>Trollhättan</t>
  </si>
  <si>
    <t>Trosa</t>
  </si>
  <si>
    <t>Tyresö</t>
  </si>
  <si>
    <t>Täby</t>
  </si>
  <si>
    <t>Töreboda</t>
  </si>
  <si>
    <t>Uddevalla</t>
  </si>
  <si>
    <t>Ulricehamn</t>
  </si>
  <si>
    <t>Umeå</t>
  </si>
  <si>
    <t>Upplands-Bro</t>
  </si>
  <si>
    <t>Upplands-Väsby</t>
  </si>
  <si>
    <t>Uppsala</t>
  </si>
  <si>
    <t>Uppvidinge</t>
  </si>
  <si>
    <t>Vadstena</t>
  </si>
  <si>
    <t>Vaggeryd</t>
  </si>
  <si>
    <t>Valdemarsvik</t>
  </si>
  <si>
    <t>Vallentuna</t>
  </si>
  <si>
    <t>Vansbro</t>
  </si>
  <si>
    <t>Vara</t>
  </si>
  <si>
    <t>Varberg</t>
  </si>
  <si>
    <t>Vaxholm</t>
  </si>
  <si>
    <t>Vellinge</t>
  </si>
  <si>
    <t>Vetlanda</t>
  </si>
  <si>
    <t>Vilhelmina</t>
  </si>
  <si>
    <t>Vimmerby</t>
  </si>
  <si>
    <t>Vindeln</t>
  </si>
  <si>
    <t>Vingåker</t>
  </si>
  <si>
    <t>Vårgårda</t>
  </si>
  <si>
    <t>Vänersborg</t>
  </si>
  <si>
    <t>Vännäs</t>
  </si>
  <si>
    <t>Värmdö</t>
  </si>
  <si>
    <t>Värnamo</t>
  </si>
  <si>
    <t>Västervik</t>
  </si>
  <si>
    <t>Västerås</t>
  </si>
  <si>
    <t>Växjö</t>
  </si>
  <si>
    <t>Ydre</t>
  </si>
  <si>
    <t>Ystad</t>
  </si>
  <si>
    <t>Åmål</t>
  </si>
  <si>
    <t>Ånge</t>
  </si>
  <si>
    <t>Åre</t>
  </si>
  <si>
    <t>Årjäng</t>
  </si>
  <si>
    <t>Åsele</t>
  </si>
  <si>
    <t>Åstorp</t>
  </si>
  <si>
    <t>Åtvidaberg</t>
  </si>
  <si>
    <t>Älmhult</t>
  </si>
  <si>
    <t>Älvdalen</t>
  </si>
  <si>
    <t>Älvkarleby</t>
  </si>
  <si>
    <t>Älvsbyn</t>
  </si>
  <si>
    <t>Ängelholm</t>
  </si>
  <si>
    <t>Öckerö</t>
  </si>
  <si>
    <t>Ödeshög</t>
  </si>
  <si>
    <t>Örebro</t>
  </si>
  <si>
    <t>Örkelljunga</t>
  </si>
  <si>
    <t>Örnsköldsvik</t>
  </si>
  <si>
    <t>Östersund</t>
  </si>
  <si>
    <t>Österåker</t>
  </si>
  <si>
    <t>Östhammar</t>
  </si>
  <si>
    <t>Östra Göinge</t>
  </si>
  <si>
    <t>Överkalix</t>
  </si>
  <si>
    <t>Övertorneå</t>
  </si>
  <si>
    <t>FF1</t>
  </si>
  <si>
    <t>F</t>
  </si>
  <si>
    <t>Lgh</t>
  </si>
  <si>
    <t>Lokal</t>
  </si>
  <si>
    <t>FTX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</si>
</sst>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quot; kWh&quot;"/>
    <numFmt numFmtId="165" formatCode="#,##0&quot; kr&quot;"/>
    <numFmt numFmtId="166" formatCode="0.0"/>
    <numFmt numFmtId="167" formatCode="0.000000"/>
    <numFmt numFmtId="168" formatCode="0.000"/>
    <numFmt numFmtId="169" formatCode="0.0%"/>
    <numFmt numFmtId="170" formatCode="\+0%;\-0%;0%"/>
    <numFmt numFmtId="171" formatCode="#,##0.0"/>
    <numFmt numFmtId="172" formatCode="#,##0_ ;[Red]\-#,##0\ "/>
  </numFmts>
  <fonts count="37" x14ac:knownFonts="1">
    <font>
      <sz val="11"/>
      <name val="Times New Roman"/>
      <charset val="1"/>
    </font>
    <font>
      <sz val="10"/>
      <name val="Arial"/>
      <family val="2"/>
      <charset val="1"/>
    </font>
    <font>
      <b/>
      <sz val="18"/>
      <name val="Times New Roman"/>
      <charset val="1"/>
    </font>
    <font>
      <b/>
      <sz val="9"/>
      <name val="Times New Roman"/>
      <charset val="1"/>
    </font>
    <font>
      <sz val="10"/>
      <name val="Times New Roman"/>
      <charset val="1"/>
    </font>
    <font>
      <i/>
      <sz val="9"/>
      <color rgb="FF595959"/>
      <name val="Times New Roman"/>
      <charset val="1"/>
    </font>
    <font>
      <b/>
      <sz val="16"/>
      <name val="Cambria"/>
      <charset val="1"/>
    </font>
    <font>
      <sz val="11"/>
      <name val="Cambria"/>
      <charset val="1"/>
    </font>
    <font>
      <b/>
      <sz val="13"/>
      <name val="Cambria"/>
      <charset val="1"/>
    </font>
    <font>
      <b/>
      <sz val="11"/>
      <color rgb="FFFFFFFF"/>
      <name val="Cambria"/>
      <charset val="1"/>
    </font>
    <font>
      <b/>
      <sz val="11"/>
      <name val="Cambria"/>
      <charset val="1"/>
    </font>
    <font>
      <i/>
      <sz val="9"/>
      <name val="Cambria"/>
      <charset val="1"/>
    </font>
    <font>
      <sz val="9"/>
      <name val="Times New Roman"/>
      <charset val="1"/>
    </font>
    <font>
      <sz val="9"/>
      <name val="Calibri"/>
      <charset val="1"/>
    </font>
    <font>
      <b/>
      <sz val="11"/>
      <name val="Times New Roman"/>
      <charset val="1"/>
    </font>
    <font>
      <sz val="9"/>
      <color rgb="FF3F3F76"/>
      <name val="Calibri"/>
      <charset val="1"/>
    </font>
    <font>
      <b/>
      <sz val="9"/>
      <color rgb="FFFA7D00"/>
      <name val="Calibri"/>
      <charset val="1"/>
    </font>
    <font>
      <sz val="9"/>
      <color rgb="FF008000"/>
      <name val="Calibri"/>
      <charset val="1"/>
    </font>
    <font>
      <sz val="10"/>
      <name val="Arial"/>
      <family val="2"/>
    </font>
    <font>
      <sz val="9"/>
      <name val="Times New Roman"/>
      <family val="1"/>
      <charset val="1"/>
    </font>
    <font>
      <b/>
      <sz val="20"/>
      <name val="Times New Roman"/>
      <family val="1"/>
      <charset val="1"/>
    </font>
    <font>
      <b/>
      <sz val="9"/>
      <color rgb="FFFFFFFF"/>
      <name val="Times New Roman"/>
      <family val="1"/>
      <charset val="1"/>
    </font>
    <font>
      <b/>
      <sz val="9"/>
      <name val="Times New Roman"/>
      <family val="1"/>
      <charset val="1"/>
    </font>
    <font>
      <sz val="9"/>
      <color rgb="FF0000FF"/>
      <name val="Times New Roman"/>
      <family val="1"/>
      <charset val="1"/>
    </font>
    <font>
      <sz val="9"/>
      <color rgb="FF3F3F76"/>
      <name val="Calibri"/>
      <family val="2"/>
      <charset val="1"/>
    </font>
    <font>
      <b/>
      <sz val="9"/>
      <color rgb="FFFA7D00"/>
      <name val="Calibri"/>
      <family val="2"/>
      <charset val="1"/>
    </font>
    <font>
      <sz val="9"/>
      <color theme="1"/>
      <name val="Calibri"/>
      <family val="2"/>
      <charset val="1"/>
    </font>
    <font>
      <b/>
      <sz val="11"/>
      <name val="Times New Roman"/>
      <family val="1"/>
      <charset val="1"/>
    </font>
    <font>
      <b/>
      <i/>
      <sz val="11"/>
      <name val="Cambria"/>
      <charset val="1"/>
    </font>
    <font>
      <sz val="11"/>
      <name val="Times New Roman"/>
      <family val="1"/>
      <charset val="1"/>
    </font>
    <font>
      <b/>
      <sz val="16"/>
      <name val="Arial"/>
      <family val="2"/>
      <charset val="1"/>
    </font>
    <font>
      <b/>
      <sz val="10"/>
      <name val="Arial"/>
      <family val="2"/>
      <charset val="1"/>
    </font>
    <font>
      <b/>
      <sz val="18"/>
      <name val="Arial"/>
      <family val="2"/>
      <charset val="1"/>
    </font>
    <font>
      <b/>
      <sz val="12"/>
      <name val="Arial"/>
      <family val="2"/>
      <charset val="1"/>
    </font>
    <font>
      <b/>
      <sz val="8"/>
      <name val="Arial"/>
      <family val="2"/>
      <charset val="1"/>
    </font>
    <font>
      <sz val="11"/>
      <color rgb="FF3F3F76"/>
      <name val="Calibri"/>
      <family val="2"/>
      <charset val="1"/>
    </font>
    <font>
      <b/>
      <sz val="11"/>
      <color rgb="FFFA7D00"/>
      <name val="Calibri"/>
      <family val="2"/>
      <charset val="1"/>
    </font>
  </fonts>
  <fills count="21">
    <fill>
      <patternFill patternType="none"/>
    </fill>
    <fill>
      <patternFill patternType="gray125"/>
    </fill>
    <fill>
      <patternFill patternType="solid">
        <fgColor rgb="FF1F4E78"/>
        <bgColor rgb="FF3F3F76"/>
      </patternFill>
    </fill>
    <fill>
      <patternFill patternType="solid">
        <fgColor rgb="FFDCE6F1"/>
        <bgColor rgb="FFDCE6F2"/>
      </patternFill>
    </fill>
    <fill>
      <patternFill patternType="solid">
        <fgColor rgb="FFFFCC99"/>
        <bgColor rgb="FFFCD5B5"/>
      </patternFill>
    </fill>
    <fill>
      <patternFill patternType="solid">
        <fgColor rgb="FFF2F2F2"/>
        <bgColor rgb="FFEBF1DE"/>
      </patternFill>
    </fill>
    <fill>
      <patternFill patternType="solid">
        <fgColor rgb="FF333399"/>
        <bgColor rgb="FF3F3F76"/>
      </patternFill>
    </fill>
    <fill>
      <patternFill patternType="solid">
        <fgColor theme="5" tint="0.79979857783745845"/>
        <bgColor rgb="FFFCD5B5"/>
      </patternFill>
    </fill>
    <fill>
      <patternFill patternType="solid">
        <fgColor theme="4" tint="0.79979857783745845"/>
        <bgColor rgb="FFDCE6F1"/>
      </patternFill>
    </fill>
    <fill>
      <patternFill patternType="solid">
        <fgColor rgb="FFFFFF99"/>
        <bgColor rgb="FFEBF1DE"/>
      </patternFill>
    </fill>
    <fill>
      <patternFill patternType="solid">
        <fgColor rgb="FFFF99CC"/>
        <bgColor rgb="FFCC99FF"/>
      </patternFill>
    </fill>
    <fill>
      <patternFill patternType="solid">
        <fgColor theme="9" tint="0.59959715567491678"/>
        <bgColor rgb="FFFFCC99"/>
      </patternFill>
    </fill>
    <fill>
      <patternFill patternType="solid">
        <fgColor rgb="FFFFFF00"/>
        <bgColor rgb="FFFFC000"/>
      </patternFill>
    </fill>
    <fill>
      <patternFill patternType="solid">
        <fgColor rgb="FFC0C0C0"/>
        <bgColor rgb="FFC4BD97"/>
      </patternFill>
    </fill>
    <fill>
      <patternFill patternType="solid">
        <fgColor rgb="FFCCFFCC"/>
        <bgColor rgb="FFEBF1DE"/>
      </patternFill>
    </fill>
    <fill>
      <patternFill patternType="solid">
        <fgColor theme="6" tint="0.79979857783745845"/>
        <bgColor rgb="FFF2F2F2"/>
      </patternFill>
    </fill>
    <fill>
      <patternFill patternType="solid">
        <fgColor rgb="FFCC99FF"/>
        <bgColor rgb="FFFF99CC"/>
      </patternFill>
    </fill>
    <fill>
      <patternFill patternType="solid">
        <fgColor theme="3" tint="0.79979857783745845"/>
        <bgColor rgb="FFDCE6F1"/>
      </patternFill>
    </fill>
    <fill>
      <patternFill patternType="solid">
        <fgColor rgb="FFFFC000"/>
        <bgColor rgb="FFFF9900"/>
      </patternFill>
    </fill>
    <fill>
      <patternFill patternType="solid">
        <fgColor theme="0"/>
        <bgColor rgb="FFF2F2F2"/>
      </patternFill>
    </fill>
    <fill>
      <patternFill patternType="solid">
        <fgColor theme="2" tint="-0.249977111117893"/>
        <bgColor rgb="FFC0C0C0"/>
      </patternFill>
    </fill>
  </fills>
  <borders count="54">
    <border>
      <left/>
      <right/>
      <top/>
      <bottom/>
      <diagonal/>
    </border>
    <border>
      <left style="thin">
        <color rgb="FFB0B0B0"/>
      </left>
      <right style="thin">
        <color rgb="FFB0B0B0"/>
      </right>
      <top style="thin">
        <color rgb="FFB0B0B0"/>
      </top>
      <bottom style="thin">
        <color rgb="FFB0B0B0"/>
      </bottom>
      <diagonal/>
    </border>
    <border>
      <left style="thin">
        <color rgb="FF7F7F7F"/>
      </left>
      <right style="thin">
        <color rgb="FF7F7F7F"/>
      </right>
      <top style="thin">
        <color rgb="FF7F7F7F"/>
      </top>
      <bottom style="thin">
        <color rgb="FF7F7F7F"/>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top style="medium">
        <color auto="1"/>
      </top>
      <bottom/>
      <diagonal/>
    </border>
    <border>
      <left style="thin">
        <color auto="1"/>
      </left>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style="medium">
        <color auto="1"/>
      </right>
      <top style="medium">
        <color auto="1"/>
      </top>
      <bottom/>
      <diagonal/>
    </border>
    <border>
      <left style="medium">
        <color auto="1"/>
      </left>
      <right/>
      <top/>
      <bottom/>
      <diagonal/>
    </border>
    <border>
      <left style="thin">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medium">
        <color auto="1"/>
      </right>
      <top/>
      <bottom/>
      <diagonal/>
    </border>
    <border>
      <left style="thin">
        <color auto="1"/>
      </left>
      <right/>
      <top style="thin">
        <color auto="1"/>
      </top>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double">
        <color auto="1"/>
      </bottom>
      <diagonal/>
    </border>
    <border>
      <left/>
      <right style="medium">
        <color auto="1"/>
      </right>
      <top style="medium">
        <color auto="1"/>
      </top>
      <bottom style="double">
        <color auto="1"/>
      </bottom>
      <diagonal/>
    </border>
    <border>
      <left style="thin">
        <color rgb="FF7F7F7F"/>
      </left>
      <right style="medium">
        <color auto="1"/>
      </right>
      <top style="thin">
        <color rgb="FF7F7F7F"/>
      </top>
      <bottom style="thin">
        <color rgb="FF7F7F7F"/>
      </bottom>
      <diagonal/>
    </border>
    <border>
      <left style="thin">
        <color auto="1"/>
      </left>
      <right style="medium">
        <color auto="1"/>
      </right>
      <top/>
      <bottom/>
      <diagonal/>
    </border>
    <border>
      <left style="thin">
        <color auto="1"/>
      </left>
      <right style="medium">
        <color auto="1"/>
      </right>
      <top/>
      <bottom style="medium">
        <color auto="1"/>
      </bottom>
      <diagonal/>
    </border>
    <border>
      <left style="thin">
        <color rgb="FF7F7F7F"/>
      </left>
      <right style="medium">
        <color auto="1"/>
      </right>
      <top style="thin">
        <color rgb="FF7F7F7F"/>
      </top>
      <bottom style="medium">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bottom style="thin">
        <color auto="1"/>
      </bottom>
      <diagonal/>
    </border>
    <border>
      <left/>
      <right/>
      <top/>
      <bottom style="medium">
        <color auto="1"/>
      </bottom>
      <diagonal/>
    </border>
    <border>
      <left style="medium">
        <color auto="1"/>
      </left>
      <right style="thin">
        <color auto="1"/>
      </right>
      <top style="thin">
        <color auto="1"/>
      </top>
      <bottom/>
      <diagonal/>
    </border>
    <border>
      <left style="medium">
        <color auto="1"/>
      </left>
      <right style="thin">
        <color auto="1"/>
      </right>
      <top/>
      <bottom style="double">
        <color auto="1"/>
      </bottom>
      <diagonal/>
    </border>
    <border>
      <left/>
      <right/>
      <top style="medium">
        <color auto="1"/>
      </top>
      <bottom style="double">
        <color auto="1"/>
      </bottom>
      <diagonal/>
    </border>
    <border>
      <left style="medium">
        <color auto="1"/>
      </left>
      <right style="thin">
        <color auto="1"/>
      </right>
      <top/>
      <bottom/>
      <diagonal/>
    </border>
    <border>
      <left/>
      <right/>
      <top style="medium">
        <color auto="1"/>
      </top>
      <bottom/>
      <diagonal/>
    </border>
    <border>
      <left/>
      <right/>
      <top/>
      <bottom style="thin">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s>
  <cellStyleXfs count="2">
    <xf numFmtId="0" fontId="0" fillId="0" borderId="0"/>
    <xf numFmtId="9" fontId="1" fillId="0" borderId="0"/>
  </cellStyleXfs>
  <cellXfs count="299">
    <xf numFmtId="0" fontId="0" fillId="0" borderId="0" xfId="0"/>
    <xf numFmtId="166" fontId="19" fillId="0" borderId="32" xfId="0" applyNumberFormat="1" applyFont="1" applyBorder="1"/>
    <xf numFmtId="0" fontId="19" fillId="0" borderId="19" xfId="0" applyFont="1" applyBorder="1"/>
    <xf numFmtId="0" fontId="19" fillId="0" borderId="18" xfId="0" applyFont="1" applyBorder="1" applyAlignment="1">
      <alignment wrapText="1"/>
    </xf>
    <xf numFmtId="0" fontId="21" fillId="6" borderId="4" xfId="0" applyFont="1" applyFill="1" applyBorder="1" applyAlignment="1">
      <alignment horizontal="left"/>
    </xf>
    <xf numFmtId="0" fontId="21" fillId="6" borderId="23" xfId="0" applyFont="1" applyFill="1" applyBorder="1" applyAlignment="1">
      <alignment horizontal="left"/>
    </xf>
    <xf numFmtId="1" fontId="19" fillId="0" borderId="21" xfId="0" applyNumberFormat="1" applyFont="1" applyBorder="1"/>
    <xf numFmtId="0" fontId="19" fillId="0" borderId="13" xfId="0" applyFont="1" applyBorder="1" applyAlignment="1">
      <alignment wrapText="1"/>
    </xf>
    <xf numFmtId="0" fontId="19" fillId="0" borderId="20" xfId="0" applyFont="1" applyBorder="1"/>
    <xf numFmtId="0" fontId="19" fillId="0" borderId="13" xfId="0" applyFont="1" applyBorder="1"/>
    <xf numFmtId="0" fontId="19" fillId="0" borderId="8" xfId="0" applyFont="1" applyBorder="1" applyAlignment="1">
      <alignment wrapText="1"/>
    </xf>
    <xf numFmtId="0" fontId="22" fillId="0" borderId="5" xfId="0" applyFont="1" applyBorder="1"/>
    <xf numFmtId="0" fontId="21" fillId="6" borderId="4" xfId="0" applyFont="1" applyFill="1" applyBorder="1"/>
    <xf numFmtId="0" fontId="20" fillId="0" borderId="3" xfId="0" applyFont="1" applyBorder="1" applyAlignment="1">
      <alignment horizontal="center"/>
    </xf>
    <xf numFmtId="0" fontId="15" fillId="4" borderId="2" xfId="0" applyFont="1" applyFill="1" applyBorder="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6" fillId="0" borderId="0" xfId="0" applyFont="1"/>
    <xf numFmtId="0" fontId="7" fillId="0" borderId="0" xfId="0" applyFont="1"/>
    <xf numFmtId="0" fontId="8" fillId="0" borderId="0" xfId="0" applyFont="1"/>
    <xf numFmtId="0" fontId="9" fillId="2" borderId="1" xfId="0" applyFont="1" applyFill="1" applyBorder="1" applyAlignment="1">
      <alignment horizontal="center"/>
    </xf>
    <xf numFmtId="0" fontId="0" fillId="0" borderId="1" xfId="0" applyBorder="1"/>
    <xf numFmtId="164" fontId="0" fillId="0" borderId="1" xfId="0" applyNumberFormat="1" applyBorder="1"/>
    <xf numFmtId="9" fontId="0" fillId="0" borderId="1" xfId="0" applyNumberFormat="1" applyBorder="1"/>
    <xf numFmtId="0" fontId="10" fillId="3" borderId="1" xfId="0" applyFont="1" applyFill="1" applyBorder="1"/>
    <xf numFmtId="164" fontId="10" fillId="3" borderId="1" xfId="0" applyNumberFormat="1" applyFont="1" applyFill="1" applyBorder="1"/>
    <xf numFmtId="9" fontId="10" fillId="3" borderId="1" xfId="0" applyNumberFormat="1" applyFont="1" applyFill="1" applyBorder="1"/>
    <xf numFmtId="0" fontId="11" fillId="0" borderId="0" xfId="0" applyFont="1"/>
    <xf numFmtId="1" fontId="0" fillId="0" borderId="0" xfId="0" applyNumberFormat="1"/>
    <xf numFmtId="0" fontId="9" fillId="2" borderId="1" xfId="0" applyFont="1" applyFill="1" applyBorder="1" applyAlignment="1">
      <alignment horizontal="center" wrapText="1"/>
    </xf>
    <xf numFmtId="0" fontId="9" fillId="2" borderId="1" xfId="0" applyFont="1" applyFill="1" applyBorder="1"/>
    <xf numFmtId="0" fontId="0" fillId="0" borderId="1" xfId="0" applyBorder="1" applyAlignment="1">
      <alignment horizontal="center"/>
    </xf>
    <xf numFmtId="165" fontId="0" fillId="0" borderId="1" xfId="0" applyNumberFormat="1" applyBorder="1"/>
    <xf numFmtId="166" fontId="0" fillId="0" borderId="1" xfId="0" applyNumberFormat="1" applyBorder="1" applyAlignment="1">
      <alignment horizontal="center"/>
    </xf>
    <xf numFmtId="0" fontId="0" fillId="0" borderId="0" xfId="0" applyAlignment="1">
      <alignment wrapText="1"/>
    </xf>
    <xf numFmtId="0" fontId="12" fillId="0" borderId="0" xfId="0" applyFont="1"/>
    <xf numFmtId="165" fontId="13" fillId="0" borderId="0" xfId="0" applyNumberFormat="1" applyFont="1"/>
    <xf numFmtId="164" fontId="13" fillId="0" borderId="0" xfId="0" applyNumberFormat="1" applyFont="1"/>
    <xf numFmtId="166" fontId="13" fillId="0" borderId="0" xfId="0" applyNumberFormat="1" applyFont="1"/>
    <xf numFmtId="0" fontId="13" fillId="0" borderId="0" xfId="0" applyFont="1"/>
    <xf numFmtId="167" fontId="0" fillId="0" borderId="0" xfId="0" applyNumberFormat="1"/>
    <xf numFmtId="0" fontId="0" fillId="3" borderId="1" xfId="0" applyFill="1" applyBorder="1"/>
    <xf numFmtId="165" fontId="10" fillId="3" borderId="1" xfId="0" applyNumberFormat="1" applyFont="1" applyFill="1" applyBorder="1"/>
    <xf numFmtId="0" fontId="14" fillId="0" borderId="0" xfId="0" applyFont="1"/>
    <xf numFmtId="0" fontId="15" fillId="4" borderId="2" xfId="0" applyFont="1" applyFill="1" applyBorder="1"/>
    <xf numFmtId="166" fontId="16" fillId="5" borderId="2" xfId="0" applyNumberFormat="1" applyFont="1" applyFill="1" applyBorder="1"/>
    <xf numFmtId="49" fontId="15" fillId="4" borderId="2" xfId="0" applyNumberFormat="1" applyFont="1" applyFill="1" applyBorder="1"/>
    <xf numFmtId="168" fontId="15" fillId="4" borderId="2" xfId="0" applyNumberFormat="1" applyFont="1" applyFill="1" applyBorder="1"/>
    <xf numFmtId="0" fontId="3" fillId="0" borderId="2" xfId="0" applyFont="1" applyBorder="1" applyAlignment="1">
      <alignment vertical="top" wrapText="1"/>
    </xf>
    <xf numFmtId="0" fontId="3" fillId="0" borderId="2" xfId="0" applyFont="1" applyBorder="1"/>
    <xf numFmtId="1" fontId="15" fillId="4" borderId="2" xfId="0" applyNumberFormat="1" applyFont="1" applyFill="1" applyBorder="1"/>
    <xf numFmtId="1" fontId="16" fillId="5" borderId="2" xfId="0" applyNumberFormat="1" applyFont="1" applyFill="1" applyBorder="1"/>
    <xf numFmtId="3" fontId="15" fillId="4" borderId="2" xfId="0" applyNumberFormat="1" applyFont="1" applyFill="1" applyBorder="1"/>
    <xf numFmtId="3" fontId="16" fillId="5" borderId="2" xfId="0" applyNumberFormat="1" applyFont="1" applyFill="1" applyBorder="1"/>
    <xf numFmtId="169" fontId="16" fillId="5" borderId="2" xfId="0" applyNumberFormat="1" applyFont="1" applyFill="1" applyBorder="1"/>
    <xf numFmtId="169" fontId="15" fillId="4" borderId="2" xfId="0" applyNumberFormat="1" applyFont="1" applyFill="1" applyBorder="1"/>
    <xf numFmtId="3" fontId="17" fillId="4" borderId="2" xfId="0" applyNumberFormat="1" applyFont="1" applyFill="1" applyBorder="1"/>
    <xf numFmtId="0" fontId="13" fillId="0" borderId="2" xfId="0" applyFont="1" applyBorder="1" applyAlignment="1">
      <alignment vertical="top" wrapText="1"/>
    </xf>
    <xf numFmtId="3" fontId="0" fillId="0" borderId="0" xfId="0" applyNumberFormat="1"/>
    <xf numFmtId="2" fontId="15" fillId="4" borderId="2" xfId="0" applyNumberFormat="1" applyFont="1" applyFill="1" applyBorder="1"/>
    <xf numFmtId="9" fontId="15" fillId="4" borderId="2" xfId="0" applyNumberFormat="1" applyFont="1" applyFill="1" applyBorder="1"/>
    <xf numFmtId="9" fontId="16" fillId="5" borderId="2" xfId="0" applyNumberFormat="1" applyFont="1" applyFill="1" applyBorder="1"/>
    <xf numFmtId="0" fontId="5" fillId="0" borderId="0" xfId="0" applyFont="1" applyAlignment="1">
      <alignment vertical="top" wrapText="1"/>
    </xf>
    <xf numFmtId="0" fontId="12" fillId="0" borderId="0" xfId="0" applyFont="1" applyAlignment="1">
      <alignment vertical="top" wrapText="1"/>
    </xf>
    <xf numFmtId="3" fontId="12" fillId="0" borderId="0" xfId="0" applyNumberFormat="1" applyFont="1"/>
    <xf numFmtId="166" fontId="15" fillId="4" borderId="2" xfId="0" applyNumberFormat="1" applyFont="1" applyFill="1" applyBorder="1"/>
    <xf numFmtId="0" fontId="16" fillId="5" borderId="2" xfId="0" applyFont="1" applyFill="1" applyBorder="1"/>
    <xf numFmtId="170" fontId="16" fillId="5" borderId="2" xfId="0" applyNumberFormat="1" applyFont="1" applyFill="1" applyBorder="1"/>
    <xf numFmtId="0" fontId="3" fillId="0" borderId="0" xfId="0" applyFont="1" applyAlignment="1">
      <alignment wrapText="1"/>
    </xf>
    <xf numFmtId="0" fontId="19" fillId="0" borderId="0" xfId="0" applyFont="1"/>
    <xf numFmtId="0" fontId="22" fillId="0" borderId="5" xfId="0" applyFont="1" applyBorder="1"/>
    <xf numFmtId="0" fontId="19" fillId="0" borderId="6" xfId="0" applyFont="1" applyBorder="1"/>
    <xf numFmtId="0" fontId="22" fillId="0" borderId="7" xfId="0" applyFont="1" applyBorder="1"/>
    <xf numFmtId="0" fontId="19" fillId="0" borderId="8" xfId="0" applyFont="1" applyBorder="1"/>
    <xf numFmtId="0" fontId="19" fillId="0" borderId="9" xfId="0" applyFont="1" applyBorder="1"/>
    <xf numFmtId="0" fontId="22" fillId="0" borderId="10" xfId="0" applyFont="1" applyBorder="1"/>
    <xf numFmtId="0" fontId="19" fillId="0" borderId="11" xfId="0" applyFont="1" applyBorder="1"/>
    <xf numFmtId="0" fontId="22" fillId="0" borderId="12" xfId="0" applyFont="1" applyBorder="1"/>
    <xf numFmtId="0" fontId="19" fillId="0" borderId="13" xfId="0" applyFont="1" applyBorder="1"/>
    <xf numFmtId="0" fontId="19" fillId="0" borderId="14" xfId="0" applyFont="1" applyBorder="1"/>
    <xf numFmtId="3" fontId="19" fillId="0" borderId="15" xfId="0" applyNumberFormat="1" applyFont="1" applyBorder="1"/>
    <xf numFmtId="0" fontId="22" fillId="0" borderId="16" xfId="0" applyFont="1" applyBorder="1"/>
    <xf numFmtId="0" fontId="23" fillId="0" borderId="13" xfId="0" applyFont="1" applyBorder="1"/>
    <xf numFmtId="0" fontId="19" fillId="0" borderId="17" xfId="0" applyFont="1" applyBorder="1" applyAlignment="1">
      <alignment horizontal="center"/>
    </xf>
    <xf numFmtId="0" fontId="19" fillId="0" borderId="8" xfId="0" applyFont="1" applyBorder="1" applyAlignment="1">
      <alignment wrapText="1"/>
    </xf>
    <xf numFmtId="0" fontId="19" fillId="0" borderId="18" xfId="0" applyFont="1" applyBorder="1" applyAlignment="1">
      <alignment wrapText="1"/>
    </xf>
    <xf numFmtId="0" fontId="19" fillId="0" borderId="0" xfId="0" applyFont="1" applyAlignment="1">
      <alignment wrapText="1"/>
    </xf>
    <xf numFmtId="1" fontId="19" fillId="0" borderId="19" xfId="0" applyNumberFormat="1" applyFont="1" applyBorder="1"/>
    <xf numFmtId="0" fontId="19" fillId="0" borderId="20" xfId="0" applyFont="1" applyBorder="1"/>
    <xf numFmtId="0" fontId="19" fillId="0" borderId="13" xfId="0" applyFont="1" applyBorder="1" applyAlignment="1">
      <alignment wrapText="1"/>
    </xf>
    <xf numFmtId="0" fontId="19" fillId="0" borderId="19" xfId="0" applyFont="1" applyBorder="1" applyAlignment="1">
      <alignment wrapText="1"/>
    </xf>
    <xf numFmtId="1" fontId="19" fillId="0" borderId="21" xfId="0" applyNumberFormat="1" applyFont="1" applyBorder="1"/>
    <xf numFmtId="1" fontId="19" fillId="0" borderId="22" xfId="0" applyNumberFormat="1" applyFont="1" applyBorder="1"/>
    <xf numFmtId="0" fontId="19" fillId="0" borderId="24" xfId="0" applyFont="1" applyBorder="1"/>
    <xf numFmtId="0" fontId="22" fillId="0" borderId="25" xfId="0" applyFont="1" applyBorder="1"/>
    <xf numFmtId="0" fontId="19" fillId="0" borderId="25" xfId="0" applyFont="1" applyBorder="1"/>
    <xf numFmtId="0" fontId="19" fillId="0" borderId="26" xfId="0" applyFont="1" applyBorder="1"/>
    <xf numFmtId="0" fontId="19" fillId="0" borderId="10" xfId="0" applyFont="1" applyBorder="1" applyAlignment="1">
      <alignment wrapText="1"/>
    </xf>
    <xf numFmtId="0" fontId="19" fillId="0" borderId="27" xfId="0" applyFont="1" applyBorder="1" applyAlignment="1">
      <alignment wrapText="1"/>
    </xf>
    <xf numFmtId="0" fontId="19" fillId="0" borderId="28" xfId="0" applyFont="1" applyBorder="1" applyAlignment="1">
      <alignment wrapText="1"/>
    </xf>
    <xf numFmtId="0" fontId="19" fillId="0" borderId="10" xfId="0" applyFont="1" applyBorder="1"/>
    <xf numFmtId="0" fontId="19" fillId="0" borderId="19" xfId="0" applyFont="1" applyBorder="1"/>
    <xf numFmtId="0" fontId="19" fillId="0" borderId="12" xfId="0" applyFont="1" applyBorder="1"/>
    <xf numFmtId="0" fontId="19" fillId="0" borderId="21" xfId="0" applyFont="1" applyBorder="1"/>
    <xf numFmtId="0" fontId="19" fillId="0" borderId="22" xfId="0" applyFont="1" applyBorder="1"/>
    <xf numFmtId="0" fontId="22" fillId="0" borderId="29" xfId="0" applyFont="1" applyBorder="1"/>
    <xf numFmtId="0" fontId="19" fillId="0" borderId="30" xfId="0" applyFont="1" applyBorder="1"/>
    <xf numFmtId="0" fontId="19" fillId="0" borderId="5" xfId="0" applyFont="1" applyBorder="1"/>
    <xf numFmtId="0" fontId="24" fillId="4" borderId="31" xfId="0" applyFont="1" applyFill="1" applyBorder="1"/>
    <xf numFmtId="9" fontId="24" fillId="4" borderId="31" xfId="0" applyNumberFormat="1" applyFont="1" applyFill="1" applyBorder="1"/>
    <xf numFmtId="0" fontId="25" fillId="5" borderId="34" xfId="0" applyFont="1" applyFill="1" applyBorder="1"/>
    <xf numFmtId="0" fontId="22" fillId="0" borderId="0" xfId="0" applyFont="1"/>
    <xf numFmtId="0" fontId="19" fillId="0" borderId="35" xfId="0" applyFont="1" applyBorder="1"/>
    <xf numFmtId="0" fontId="19" fillId="0" borderId="36" xfId="0" applyFont="1" applyBorder="1"/>
    <xf numFmtId="0" fontId="19" fillId="0" borderId="16" xfId="0" applyFont="1" applyBorder="1"/>
    <xf numFmtId="0" fontId="19" fillId="0" borderId="37" xfId="0" applyFont="1" applyBorder="1"/>
    <xf numFmtId="0" fontId="19" fillId="0" borderId="27" xfId="0" applyFont="1" applyBorder="1"/>
    <xf numFmtId="0" fontId="19" fillId="0" borderId="28" xfId="0" applyFont="1" applyBorder="1"/>
    <xf numFmtId="0" fontId="19" fillId="0" borderId="7" xfId="0" applyFont="1" applyBorder="1"/>
    <xf numFmtId="0" fontId="19" fillId="0" borderId="18" xfId="0" applyFont="1" applyBorder="1"/>
    <xf numFmtId="0" fontId="22" fillId="0" borderId="4" xfId="0" applyFont="1" applyBorder="1"/>
    <xf numFmtId="0" fontId="19" fillId="0" borderId="29" xfId="0" applyFont="1" applyBorder="1"/>
    <xf numFmtId="0" fontId="22" fillId="0" borderId="23" xfId="0" applyFont="1" applyBorder="1"/>
    <xf numFmtId="0" fontId="22" fillId="0" borderId="14" xfId="0" applyFont="1" applyBorder="1"/>
    <xf numFmtId="0" fontId="19" fillId="0" borderId="23" xfId="0" applyFont="1" applyBorder="1"/>
    <xf numFmtId="9" fontId="19" fillId="0" borderId="12" xfId="0" applyNumberFormat="1" applyFont="1" applyBorder="1"/>
    <xf numFmtId="9" fontId="19" fillId="0" borderId="19" xfId="0" applyNumberFormat="1" applyFont="1" applyBorder="1"/>
    <xf numFmtId="9" fontId="19" fillId="0" borderId="13" xfId="0" applyNumberFormat="1" applyFont="1" applyBorder="1"/>
    <xf numFmtId="9" fontId="19" fillId="0" borderId="10" xfId="0" applyNumberFormat="1" applyFont="1" applyBorder="1"/>
    <xf numFmtId="9" fontId="19" fillId="0" borderId="14" xfId="0" applyNumberFormat="1" applyFont="1" applyBorder="1"/>
    <xf numFmtId="0" fontId="22" fillId="0" borderId="38" xfId="0" applyFont="1" applyBorder="1"/>
    <xf numFmtId="0" fontId="22" fillId="0" borderId="20" xfId="0" applyFont="1" applyBorder="1"/>
    <xf numFmtId="0" fontId="22" fillId="0" borderId="17" xfId="0" applyFont="1" applyBorder="1"/>
    <xf numFmtId="0" fontId="19" fillId="0" borderId="16" xfId="0" applyFont="1" applyBorder="1" applyAlignment="1">
      <alignment wrapText="1"/>
    </xf>
    <xf numFmtId="2" fontId="19" fillId="0" borderId="21" xfId="0" applyNumberFormat="1" applyFont="1" applyBorder="1"/>
    <xf numFmtId="0" fontId="19" fillId="0" borderId="5" xfId="0" applyFont="1" applyBorder="1" applyAlignment="1">
      <alignment wrapText="1"/>
    </xf>
    <xf numFmtId="3" fontId="19" fillId="0" borderId="8" xfId="0" applyNumberFormat="1" applyFont="1" applyBorder="1"/>
    <xf numFmtId="0" fontId="22" fillId="0" borderId="10" xfId="0" applyFont="1" applyBorder="1" applyAlignment="1">
      <alignment wrapText="1"/>
    </xf>
    <xf numFmtId="2" fontId="22" fillId="0" borderId="13" xfId="0" applyNumberFormat="1" applyFont="1" applyBorder="1"/>
    <xf numFmtId="0" fontId="19" fillId="0" borderId="39" xfId="0" applyFont="1" applyBorder="1" applyAlignment="1">
      <alignment wrapText="1"/>
    </xf>
    <xf numFmtId="0" fontId="22" fillId="0" borderId="37" xfId="0" applyFont="1" applyBorder="1"/>
    <xf numFmtId="0" fontId="26" fillId="7" borderId="41" xfId="0" applyFont="1" applyFill="1" applyBorder="1"/>
    <xf numFmtId="0" fontId="26" fillId="7" borderId="42" xfId="0" applyFont="1" applyFill="1" applyBorder="1"/>
    <xf numFmtId="0" fontId="26" fillId="8" borderId="41" xfId="0" applyFont="1" applyFill="1" applyBorder="1"/>
    <xf numFmtId="0" fontId="26" fillId="8" borderId="42" xfId="0" applyFont="1" applyFill="1" applyBorder="1"/>
    <xf numFmtId="0" fontId="26" fillId="8" borderId="43" xfId="0" applyFont="1" applyFill="1" applyBorder="1"/>
    <xf numFmtId="0" fontId="26" fillId="7" borderId="10" xfId="0" applyFont="1" applyFill="1" applyBorder="1"/>
    <xf numFmtId="0" fontId="26" fillId="7" borderId="44" xfId="0" applyFont="1" applyFill="1" applyBorder="1"/>
    <xf numFmtId="0" fontId="26" fillId="8" borderId="10" xfId="0" applyFont="1" applyFill="1" applyBorder="1"/>
    <xf numFmtId="0" fontId="26" fillId="8" borderId="0" xfId="0" applyFont="1" applyFill="1"/>
    <xf numFmtId="0" fontId="26" fillId="8" borderId="28" xfId="0" applyFont="1" applyFill="1" applyBorder="1"/>
    <xf numFmtId="0" fontId="26" fillId="7" borderId="11" xfId="0" applyFont="1" applyFill="1" applyBorder="1"/>
    <xf numFmtId="0" fontId="26" fillId="8" borderId="19" xfId="0" applyFont="1" applyFill="1" applyBorder="1"/>
    <xf numFmtId="0" fontId="26" fillId="7" borderId="20" xfId="0" applyFont="1" applyFill="1" applyBorder="1"/>
    <xf numFmtId="0" fontId="26" fillId="8" borderId="20" xfId="0" applyFont="1" applyFill="1" applyBorder="1"/>
    <xf numFmtId="0" fontId="26" fillId="8" borderId="45" xfId="0" applyFont="1" applyFill="1" applyBorder="1"/>
    <xf numFmtId="0" fontId="26" fillId="8" borderId="17" xfId="0" applyFont="1" applyFill="1" applyBorder="1"/>
    <xf numFmtId="0" fontId="19" fillId="0" borderId="32" xfId="0" applyFont="1" applyBorder="1"/>
    <xf numFmtId="0" fontId="19" fillId="0" borderId="46" xfId="0" applyFont="1" applyBorder="1"/>
    <xf numFmtId="0" fontId="22" fillId="0" borderId="47" xfId="0" applyFont="1" applyBorder="1"/>
    <xf numFmtId="0" fontId="19" fillId="0" borderId="12" xfId="0" applyFont="1" applyBorder="1" applyAlignment="1">
      <alignment wrapText="1"/>
    </xf>
    <xf numFmtId="1" fontId="19" fillId="0" borderId="13" xfId="0" applyNumberFormat="1" applyFont="1" applyBorder="1"/>
    <xf numFmtId="0" fontId="19" fillId="0" borderId="48" xfId="0" applyFont="1" applyBorder="1"/>
    <xf numFmtId="0" fontId="19" fillId="0" borderId="49" xfId="0" applyFont="1" applyBorder="1"/>
    <xf numFmtId="0" fontId="19" fillId="0" borderId="45" xfId="0" applyFont="1" applyBorder="1"/>
    <xf numFmtId="0" fontId="19" fillId="0" borderId="17" xfId="0" applyFont="1" applyBorder="1"/>
    <xf numFmtId="0" fontId="22" fillId="0" borderId="48" xfId="0" applyFont="1" applyBorder="1" applyAlignment="1">
      <alignment wrapText="1"/>
    </xf>
    <xf numFmtId="0" fontId="22" fillId="0" borderId="30" xfId="0" applyFont="1" applyBorder="1" applyAlignment="1">
      <alignment wrapText="1"/>
    </xf>
    <xf numFmtId="0" fontId="22" fillId="0" borderId="25" xfId="0" applyFont="1" applyBorder="1" applyAlignment="1">
      <alignment wrapText="1"/>
    </xf>
    <xf numFmtId="0" fontId="22" fillId="0" borderId="13" xfId="0" applyFont="1" applyBorder="1"/>
    <xf numFmtId="2" fontId="16" fillId="5" borderId="2" xfId="0" applyNumberFormat="1" applyFont="1" applyFill="1" applyBorder="1"/>
    <xf numFmtId="49" fontId="16" fillId="5" borderId="2" xfId="0" applyNumberFormat="1" applyFont="1" applyFill="1" applyBorder="1"/>
    <xf numFmtId="0" fontId="12" fillId="5" borderId="2" xfId="0" applyFont="1" applyFill="1" applyBorder="1"/>
    <xf numFmtId="0" fontId="16" fillId="5" borderId="2" xfId="0" applyFont="1" applyFill="1" applyBorder="1" applyAlignment="1">
      <alignment vertical="top" wrapText="1"/>
    </xf>
    <xf numFmtId="0" fontId="27" fillId="0" borderId="5" xfId="0" applyFont="1" applyBorder="1"/>
    <xf numFmtId="0" fontId="0" fillId="0" borderId="50" xfId="0" applyBorder="1"/>
    <xf numFmtId="0" fontId="0" fillId="0" borderId="9" xfId="0" applyBorder="1"/>
    <xf numFmtId="0" fontId="0" fillId="0" borderId="10" xfId="0" applyBorder="1"/>
    <xf numFmtId="0" fontId="0" fillId="0" borderId="14" xfId="0" applyBorder="1"/>
    <xf numFmtId="0" fontId="0" fillId="0" borderId="20" xfId="0" applyBorder="1"/>
    <xf numFmtId="2" fontId="0" fillId="0" borderId="45" xfId="0" applyNumberFormat="1" applyBorder="1"/>
    <xf numFmtId="0" fontId="0" fillId="0" borderId="45" xfId="0" applyBorder="1"/>
    <xf numFmtId="0" fontId="0" fillId="0" borderId="17" xfId="0" applyBorder="1"/>
    <xf numFmtId="2" fontId="0" fillId="0" borderId="0" xfId="0" applyNumberFormat="1"/>
    <xf numFmtId="2" fontId="0" fillId="0" borderId="50" xfId="0" applyNumberFormat="1" applyBorder="1"/>
    <xf numFmtId="9" fontId="0" fillId="0" borderId="0" xfId="0" applyNumberFormat="1"/>
    <xf numFmtId="0" fontId="27" fillId="0" borderId="20" xfId="0" applyFont="1" applyBorder="1"/>
    <xf numFmtId="166" fontId="27" fillId="0" borderId="45" xfId="0" applyNumberFormat="1" applyFont="1" applyBorder="1"/>
    <xf numFmtId="1" fontId="0" fillId="0" borderId="45" xfId="0" applyNumberFormat="1" applyBorder="1"/>
    <xf numFmtId="9" fontId="0" fillId="0" borderId="0" xfId="0" applyNumberFormat="1" applyProtection="1">
      <protection hidden="1"/>
    </xf>
    <xf numFmtId="166" fontId="0" fillId="0" borderId="0" xfId="0" applyNumberFormat="1"/>
    <xf numFmtId="0" fontId="27" fillId="0" borderId="51" xfId="0" applyFont="1" applyBorder="1"/>
    <xf numFmtId="0" fontId="28" fillId="0" borderId="0" xfId="0" applyFont="1"/>
    <xf numFmtId="0" fontId="27" fillId="0" borderId="25" xfId="0" applyFont="1" applyBorder="1"/>
    <xf numFmtId="0" fontId="29" fillId="0" borderId="0" xfId="0" applyFont="1"/>
    <xf numFmtId="0" fontId="0" fillId="0" borderId="27" xfId="0" applyBorder="1"/>
    <xf numFmtId="169" fontId="0" fillId="0" borderId="13" xfId="0" applyNumberFormat="1" applyBorder="1"/>
    <xf numFmtId="9" fontId="0" fillId="0" borderId="13" xfId="0" applyNumberFormat="1" applyBorder="1"/>
    <xf numFmtId="0" fontId="30" fillId="9" borderId="0" xfId="0" applyFont="1" applyFill="1" applyProtection="1">
      <protection locked="0"/>
    </xf>
    <xf numFmtId="0" fontId="31" fillId="10" borderId="0" xfId="0" applyFont="1" applyFill="1"/>
    <xf numFmtId="0" fontId="0" fillId="10" borderId="0" xfId="0" applyFill="1"/>
    <xf numFmtId="0" fontId="10" fillId="11" borderId="0" xfId="0" applyFont="1" applyFill="1" applyProtection="1">
      <protection locked="0"/>
    </xf>
    <xf numFmtId="0" fontId="32" fillId="12" borderId="0" xfId="0" applyFont="1" applyFill="1" applyAlignment="1">
      <alignment horizontal="center"/>
    </xf>
    <xf numFmtId="0" fontId="31" fillId="14" borderId="0" xfId="0" applyFont="1" applyFill="1"/>
    <xf numFmtId="0" fontId="32" fillId="0" borderId="0" xfId="0" applyFont="1"/>
    <xf numFmtId="0" fontId="31" fillId="14" borderId="39" xfId="0" applyFont="1" applyFill="1" applyBorder="1" applyAlignment="1">
      <alignment horizontal="center"/>
    </xf>
    <xf numFmtId="0" fontId="31" fillId="14" borderId="52" xfId="0" applyFont="1" applyFill="1" applyBorder="1" applyAlignment="1">
      <alignment horizontal="center"/>
    </xf>
    <xf numFmtId="1" fontId="0" fillId="13" borderId="3" xfId="0" applyNumberFormat="1" applyFill="1" applyBorder="1" applyAlignment="1" applyProtection="1">
      <alignment horizontal="center"/>
      <protection locked="0"/>
    </xf>
    <xf numFmtId="169" fontId="1" fillId="13" borderId="3" xfId="0" applyNumberFormat="1" applyFont="1" applyFill="1" applyBorder="1" applyAlignment="1" applyProtection="1">
      <alignment horizontal="center"/>
      <protection locked="0"/>
    </xf>
    <xf numFmtId="0" fontId="1" fillId="13" borderId="3" xfId="0" applyFont="1" applyFill="1" applyBorder="1" applyAlignment="1">
      <alignment horizontal="center"/>
    </xf>
    <xf numFmtId="169" fontId="0" fillId="10" borderId="3" xfId="0" applyNumberFormat="1" applyFill="1" applyBorder="1" applyAlignment="1" applyProtection="1">
      <alignment horizontal="center"/>
      <protection locked="0"/>
    </xf>
    <xf numFmtId="3" fontId="31" fillId="10" borderId="3" xfId="0" applyNumberFormat="1" applyFont="1" applyFill="1" applyBorder="1" applyAlignment="1">
      <alignment horizontal="left"/>
    </xf>
    <xf numFmtId="0" fontId="0" fillId="13" borderId="38" xfId="0" applyFill="1" applyBorder="1" applyAlignment="1" applyProtection="1">
      <alignment horizontal="center"/>
      <protection locked="0"/>
    </xf>
    <xf numFmtId="171" fontId="0" fillId="15" borderId="3" xfId="0" applyNumberFormat="1" applyFill="1" applyBorder="1" applyAlignment="1">
      <alignment horizontal="center"/>
    </xf>
    <xf numFmtId="0" fontId="31" fillId="16" borderId="0" xfId="0" applyFont="1" applyFill="1"/>
    <xf numFmtId="0" fontId="1" fillId="0" borderId="38" xfId="0" applyFont="1" applyBorder="1" applyAlignment="1" applyProtection="1">
      <alignment horizontal="center"/>
      <protection locked="0"/>
    </xf>
    <xf numFmtId="0" fontId="0" fillId="0" borderId="0" xfId="0" applyAlignment="1">
      <alignment horizontal="center"/>
    </xf>
    <xf numFmtId="0" fontId="0" fillId="0" borderId="0" xfId="0" applyAlignment="1">
      <alignment horizontal="right"/>
    </xf>
    <xf numFmtId="0" fontId="31" fillId="17" borderId="4" xfId="0" applyFont="1" applyFill="1" applyBorder="1"/>
    <xf numFmtId="0" fontId="1" fillId="13" borderId="38" xfId="0" applyFont="1" applyFill="1" applyBorder="1" applyAlignment="1" applyProtection="1">
      <alignment horizontal="center"/>
      <protection locked="0"/>
    </xf>
    <xf numFmtId="0" fontId="31" fillId="17" borderId="23" xfId="0" applyFont="1" applyFill="1" applyBorder="1"/>
    <xf numFmtId="2" fontId="1" fillId="13" borderId="3" xfId="0" applyNumberFormat="1" applyFont="1" applyFill="1" applyBorder="1" applyAlignment="1" applyProtection="1">
      <alignment horizontal="center"/>
      <protection locked="0"/>
    </xf>
    <xf numFmtId="2" fontId="1" fillId="0" borderId="3" xfId="0" applyNumberFormat="1" applyFont="1" applyBorder="1" applyAlignment="1" applyProtection="1">
      <alignment horizontal="center"/>
      <protection locked="0"/>
    </xf>
    <xf numFmtId="0" fontId="31" fillId="17" borderId="38" xfId="0" applyFont="1" applyFill="1" applyBorder="1"/>
    <xf numFmtId="169" fontId="0" fillId="13" borderId="3" xfId="0" applyNumberFormat="1" applyFill="1" applyBorder="1" applyAlignment="1" applyProtection="1">
      <alignment horizontal="center"/>
      <protection locked="0"/>
    </xf>
    <xf numFmtId="0" fontId="1" fillId="0" borderId="3" xfId="0" applyFont="1" applyBorder="1" applyAlignment="1">
      <alignment horizontal="center"/>
    </xf>
    <xf numFmtId="0" fontId="29" fillId="0" borderId="51" xfId="0" applyFont="1" applyBorder="1"/>
    <xf numFmtId="0" fontId="0" fillId="0" borderId="51" xfId="0" applyBorder="1"/>
    <xf numFmtId="0" fontId="0" fillId="0" borderId="0" xfId="0" applyAlignment="1">
      <alignment horizontal="left"/>
    </xf>
    <xf numFmtId="0" fontId="31" fillId="0" borderId="0" xfId="0" applyFont="1"/>
    <xf numFmtId="0" fontId="27" fillId="0" borderId="0" xfId="0" applyFont="1"/>
    <xf numFmtId="3" fontId="31" fillId="13" borderId="3" xfId="0" applyNumberFormat="1" applyFont="1" applyFill="1" applyBorder="1" applyAlignment="1" applyProtection="1">
      <alignment horizontal="center"/>
      <protection locked="0"/>
    </xf>
    <xf numFmtId="0" fontId="31" fillId="13" borderId="52" xfId="0" applyFont="1" applyFill="1" applyBorder="1" applyAlignment="1" applyProtection="1">
      <alignment horizontal="center"/>
      <protection locked="0"/>
    </xf>
    <xf numFmtId="0" fontId="31" fillId="18" borderId="0" xfId="0" applyFont="1" applyFill="1"/>
    <xf numFmtId="3" fontId="0" fillId="13" borderId="3" xfId="0" applyNumberFormat="1" applyFill="1" applyBorder="1" applyProtection="1">
      <protection locked="0"/>
    </xf>
    <xf numFmtId="3" fontId="0" fillId="15" borderId="3" xfId="0" applyNumberFormat="1" applyFill="1" applyBorder="1" applyAlignment="1">
      <alignment horizontal="center"/>
    </xf>
    <xf numFmtId="3" fontId="0" fillId="0" borderId="3" xfId="0" applyNumberFormat="1" applyBorder="1" applyProtection="1">
      <protection locked="0"/>
    </xf>
    <xf numFmtId="3" fontId="0" fillId="0" borderId="0" xfId="0" applyNumberFormat="1" applyAlignment="1">
      <alignment horizontal="center"/>
    </xf>
    <xf numFmtId="3" fontId="31" fillId="0" borderId="0" xfId="0" applyNumberFormat="1" applyFont="1" applyAlignment="1">
      <alignment horizontal="left"/>
    </xf>
    <xf numFmtId="3" fontId="0" fillId="13" borderId="3" xfId="0" applyNumberFormat="1" applyFill="1" applyBorder="1"/>
    <xf numFmtId="3" fontId="0" fillId="0" borderId="0" xfId="0" applyNumberFormat="1" applyAlignment="1">
      <alignment horizontal="right"/>
    </xf>
    <xf numFmtId="171" fontId="0" fillId="13" borderId="3" xfId="0" applyNumberFormat="1" applyFill="1" applyBorder="1" applyProtection="1">
      <protection locked="0"/>
    </xf>
    <xf numFmtId="0" fontId="31" fillId="0" borderId="23" xfId="0" applyFont="1" applyBorder="1"/>
    <xf numFmtId="3" fontId="0" fillId="19" borderId="3" xfId="0" applyNumberFormat="1" applyFill="1" applyBorder="1"/>
    <xf numFmtId="171" fontId="29" fillId="13" borderId="3" xfId="0" applyNumberFormat="1" applyFont="1" applyFill="1" applyBorder="1" applyProtection="1">
      <protection locked="0"/>
    </xf>
    <xf numFmtId="4" fontId="0" fillId="0" borderId="0" xfId="0" applyNumberFormat="1" applyAlignment="1">
      <alignment horizontal="right"/>
    </xf>
    <xf numFmtId="0" fontId="31" fillId="0" borderId="10" xfId="0" applyFont="1" applyBorder="1"/>
    <xf numFmtId="0" fontId="31" fillId="15" borderId="5" xfId="0" applyFont="1" applyFill="1" applyBorder="1"/>
    <xf numFmtId="0" fontId="0" fillId="15" borderId="50" xfId="0" applyFill="1" applyBorder="1"/>
    <xf numFmtId="3" fontId="0" fillId="15" borderId="50" xfId="0" applyNumberFormat="1" applyFill="1" applyBorder="1"/>
    <xf numFmtId="3" fontId="0" fillId="15" borderId="9" xfId="0" applyNumberFormat="1" applyFill="1" applyBorder="1"/>
    <xf numFmtId="0" fontId="31" fillId="15" borderId="20" xfId="0" applyFont="1" applyFill="1" applyBorder="1"/>
    <xf numFmtId="0" fontId="0" fillId="15" borderId="45" xfId="0" applyFill="1" applyBorder="1"/>
    <xf numFmtId="3" fontId="0" fillId="15" borderId="45" xfId="0" applyNumberFormat="1" applyFill="1" applyBorder="1"/>
    <xf numFmtId="3" fontId="0" fillId="15" borderId="17" xfId="0" applyNumberFormat="1" applyFill="1" applyBorder="1"/>
    <xf numFmtId="0" fontId="31" fillId="15" borderId="39" xfId="0" applyFont="1" applyFill="1" applyBorder="1"/>
    <xf numFmtId="0" fontId="0" fillId="15" borderId="53" xfId="0" applyFill="1" applyBorder="1"/>
    <xf numFmtId="3" fontId="0" fillId="15" borderId="53" xfId="0" applyNumberFormat="1" applyFill="1" applyBorder="1"/>
    <xf numFmtId="3" fontId="0" fillId="15" borderId="52" xfId="0" applyNumberFormat="1" applyFill="1" applyBorder="1"/>
    <xf numFmtId="0" fontId="31" fillId="15" borderId="10" xfId="0" applyFont="1" applyFill="1" applyBorder="1"/>
    <xf numFmtId="0" fontId="0" fillId="15" borderId="0" xfId="0" applyFill="1"/>
    <xf numFmtId="0" fontId="31" fillId="20" borderId="4" xfId="0" applyFont="1" applyFill="1" applyBorder="1" applyAlignment="1">
      <alignment horizontal="right"/>
    </xf>
    <xf numFmtId="172" fontId="31" fillId="20" borderId="9" xfId="0" applyNumberFormat="1" applyFont="1" applyFill="1" applyBorder="1"/>
    <xf numFmtId="0" fontId="31" fillId="20" borderId="5" xfId="0" applyFont="1" applyFill="1" applyBorder="1"/>
    <xf numFmtId="0" fontId="31" fillId="20" borderId="50" xfId="0" applyFont="1" applyFill="1" applyBorder="1"/>
    <xf numFmtId="2" fontId="31" fillId="20" borderId="4" xfId="0" applyNumberFormat="1" applyFont="1" applyFill="1" applyBorder="1"/>
    <xf numFmtId="0" fontId="31" fillId="20" borderId="9" xfId="0" applyFont="1" applyFill="1" applyBorder="1" applyAlignment="1">
      <alignment horizontal="right"/>
    </xf>
    <xf numFmtId="0" fontId="31" fillId="0" borderId="20" xfId="0" applyFont="1" applyBorder="1"/>
    <xf numFmtId="4" fontId="0" fillId="0" borderId="38" xfId="0" applyNumberFormat="1" applyBorder="1" applyAlignment="1">
      <alignment horizontal="right"/>
    </xf>
    <xf numFmtId="4" fontId="0" fillId="0" borderId="45" xfId="0" applyNumberFormat="1" applyBorder="1" applyAlignment="1">
      <alignment horizontal="right"/>
    </xf>
    <xf numFmtId="0" fontId="34" fillId="0" borderId="0" xfId="0" applyFont="1"/>
    <xf numFmtId="0" fontId="31" fillId="9" borderId="0" xfId="0" applyFont="1" applyFill="1"/>
    <xf numFmtId="0" fontId="0" fillId="9" borderId="0" xfId="0" applyFill="1"/>
    <xf numFmtId="0" fontId="1" fillId="13" borderId="3" xfId="0" applyFont="1" applyFill="1" applyBorder="1" applyAlignment="1" applyProtection="1">
      <alignment horizontal="center"/>
      <protection locked="0"/>
    </xf>
    <xf numFmtId="0" fontId="35" fillId="4" borderId="2" xfId="0" applyFont="1" applyFill="1" applyBorder="1"/>
    <xf numFmtId="0" fontId="36" fillId="5" borderId="2" xfId="0" applyFont="1" applyFill="1" applyBorder="1"/>
    <xf numFmtId="2" fontId="36" fillId="5" borderId="2" xfId="0" applyNumberFormat="1" applyFont="1" applyFill="1" applyBorder="1" applyAlignment="1">
      <alignment horizontal="left" indent="11"/>
    </xf>
    <xf numFmtId="0" fontId="35" fillId="0" borderId="0" xfId="0" applyFont="1"/>
    <xf numFmtId="0" fontId="36" fillId="0" borderId="0" xfId="0" applyFont="1"/>
    <xf numFmtId="0" fontId="29" fillId="0" borderId="0" xfId="0" applyFont="1" applyAlignment="1">
      <alignment wrapText="1"/>
    </xf>
    <xf numFmtId="166" fontId="0" fillId="0" borderId="2" xfId="0" applyNumberFormat="1" applyBorder="1"/>
    <xf numFmtId="0" fontId="0" fillId="0" borderId="2" xfId="0" applyBorder="1"/>
    <xf numFmtId="2" fontId="0" fillId="0" borderId="2" xfId="0" applyNumberFormat="1" applyBorder="1"/>
    <xf numFmtId="0" fontId="19" fillId="0" borderId="33" xfId="0" applyFont="1" applyBorder="1"/>
    <xf numFmtId="0" fontId="19" fillId="0" borderId="35" xfId="0" applyFont="1" applyBorder="1"/>
    <xf numFmtId="0" fontId="19" fillId="0" borderId="22" xfId="0" applyFont="1" applyBorder="1" applyAlignment="1">
      <alignment wrapText="1"/>
    </xf>
    <xf numFmtId="0" fontId="19" fillId="0" borderId="40" xfId="0" applyFont="1" applyBorder="1" applyAlignment="1">
      <alignment wrapText="1"/>
    </xf>
    <xf numFmtId="0" fontId="19" fillId="0" borderId="27" xfId="0" applyFont="1" applyBorder="1"/>
    <xf numFmtId="0" fontId="19" fillId="0" borderId="3" xfId="0" applyFont="1" applyBorder="1" applyAlignment="1">
      <alignment wrapText="1"/>
    </xf>
    <xf numFmtId="0" fontId="16" fillId="5" borderId="2" xfId="0" applyFont="1" applyFill="1" applyBorder="1"/>
    <xf numFmtId="0" fontId="0" fillId="0" borderId="0" xfId="0" applyAlignment="1">
      <alignment vertical="top" wrapText="1"/>
    </xf>
    <xf numFmtId="0" fontId="33" fillId="13" borderId="3" xfId="0" applyFont="1" applyFill="1" applyBorder="1" applyAlignment="1" applyProtection="1">
      <alignment horizontal="right"/>
      <protection locked="0"/>
    </xf>
    <xf numFmtId="0" fontId="27" fillId="0" borderId="51" xfId="0" applyFont="1" applyBorder="1"/>
    <xf numFmtId="0" fontId="0" fillId="0" borderId="3" xfId="0" applyBorder="1" applyAlignment="1">
      <alignment wrapText="1"/>
    </xf>
    <xf numFmtId="0" fontId="29" fillId="0" borderId="3" xfId="0" applyFont="1" applyBorder="1" applyAlignment="1">
      <alignment wrapText="1"/>
    </xf>
    <xf numFmtId="0" fontId="14" fillId="0" borderId="0" xfId="0" applyFont="1"/>
    <xf numFmtId="0" fontId="15" fillId="4" borderId="2" xfId="0" applyFont="1" applyFill="1" applyBorder="1" applyAlignment="1">
      <alignment vertical="top" wrapText="1"/>
    </xf>
  </cellXfs>
  <cellStyles count="2">
    <cellStyle name="Normal" xfId="0" builtinId="0"/>
    <cellStyle name="Procent 2" xfId="1"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F2DCDB"/>
      <rgbColor rgb="FF993366"/>
      <rgbColor rgb="FFEBF1DE"/>
      <rgbColor rgb="FFDCE6F2"/>
      <rgbColor rgb="FF660066"/>
      <rgbColor rgb="FFFCD5B5"/>
      <rgbColor rgb="FF0066CC"/>
      <rgbColor rgb="FFC6D9F1"/>
      <rgbColor rgb="FF000080"/>
      <rgbColor rgb="FFFF00FF"/>
      <rgbColor rgb="FFF2F2F2"/>
      <rgbColor rgb="FF00FFFF"/>
      <rgbColor rgb="FF800080"/>
      <rgbColor rgb="FF800000"/>
      <rgbColor rgb="FF008080"/>
      <rgbColor rgb="FF0000FF"/>
      <rgbColor rgb="FF00CCFF"/>
      <rgbColor rgb="FFDCE6F1"/>
      <rgbColor rgb="FFCCFFCC"/>
      <rgbColor rgb="FFFFFF99"/>
      <rgbColor rgb="FFC4BD97"/>
      <rgbColor rgb="FFFF99CC"/>
      <rgbColor rgb="FFCC99FF"/>
      <rgbColor rgb="FFFFCC99"/>
      <rgbColor rgb="FF3366FF"/>
      <rgbColor rgb="FF33CCCC"/>
      <rgbColor rgb="FF99CC00"/>
      <rgbColor rgb="FFFFC000"/>
      <rgbColor rgb="FFFF9900"/>
      <rgbColor rgb="FFFA7D00"/>
      <rgbColor rgb="FF595959"/>
      <rgbColor rgb="FFB0B0B0"/>
      <rgbColor rgb="FF1F4E78"/>
      <rgbColor rgb="FF339966"/>
      <rgbColor rgb="FF003300"/>
      <rgbColor rgb="FF333300"/>
      <rgbColor rgb="FF993300"/>
      <rgbColor rgb="FF993366"/>
      <rgbColor rgb="FF333399"/>
      <rgbColor rgb="FF3F3F7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596880</xdr:colOff>
      <xdr:row>2</xdr:row>
      <xdr:rowOff>87120</xdr:rowOff>
    </xdr:from>
    <xdr:to>
      <xdr:col>4</xdr:col>
      <xdr:colOff>1203480</xdr:colOff>
      <xdr:row>5</xdr:row>
      <xdr:rowOff>16920</xdr:rowOff>
    </xdr:to>
    <xdr:pic>
      <xdr:nvPicPr>
        <xdr:cNvPr id="2" name="Bildobjekt 3" descr="HSB_Farg_Sv.png">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a:stretch/>
      </xdr:blipFill>
      <xdr:spPr>
        <a:xfrm>
          <a:off x="5385240" y="649080"/>
          <a:ext cx="606600" cy="3870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237960</xdr:colOff>
      <xdr:row>0</xdr:row>
      <xdr:rowOff>0</xdr:rowOff>
    </xdr:from>
    <xdr:to>
      <xdr:col>32</xdr:col>
      <xdr:colOff>127080</xdr:colOff>
      <xdr:row>38</xdr:row>
      <xdr:rowOff>185040</xdr:rowOff>
    </xdr:to>
    <xdr:pic>
      <xdr:nvPicPr>
        <xdr:cNvPr id="2" name="Bildobjekt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a:stretch/>
      </xdr:blipFill>
      <xdr:spPr>
        <a:xfrm>
          <a:off x="15641640" y="0"/>
          <a:ext cx="11376360" cy="74527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542880</xdr:colOff>
      <xdr:row>2</xdr:row>
      <xdr:rowOff>66600</xdr:rowOff>
    </xdr:from>
    <xdr:to>
      <xdr:col>22</xdr:col>
      <xdr:colOff>299520</xdr:colOff>
      <xdr:row>26</xdr:row>
      <xdr:rowOff>23400</xdr:rowOff>
    </xdr:to>
    <xdr:pic>
      <xdr:nvPicPr>
        <xdr:cNvPr id="2" name="Bildobjekt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a:stretch/>
      </xdr:blipFill>
      <xdr:spPr>
        <a:xfrm>
          <a:off x="15946560" y="952560"/>
          <a:ext cx="4862160" cy="457632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18</xdr:col>
      <xdr:colOff>200160</xdr:colOff>
      <xdr:row>0</xdr:row>
      <xdr:rowOff>0</xdr:rowOff>
    </xdr:from>
    <xdr:to>
      <xdr:col>36</xdr:col>
      <xdr:colOff>41760</xdr:colOff>
      <xdr:row>38</xdr:row>
      <xdr:rowOff>13320</xdr:rowOff>
    </xdr:to>
    <xdr:pic>
      <xdr:nvPicPr>
        <xdr:cNvPr id="3" name="Bildobjekt 1">
          <a:extLst>
            <a:ext uri="{FF2B5EF4-FFF2-40B4-BE49-F238E27FC236}">
              <a16:creationId xmlns:a16="http://schemas.microsoft.com/office/drawing/2014/main" id="{00000000-0008-0000-1300-000003000000}"/>
            </a:ext>
          </a:extLst>
        </xdr:cNvPr>
        <xdr:cNvPicPr/>
      </xdr:nvPicPr>
      <xdr:blipFill>
        <a:blip xmlns:r="http://schemas.openxmlformats.org/officeDocument/2006/relationships" r:embed="rId1"/>
        <a:stretch/>
      </xdr:blipFill>
      <xdr:spPr>
        <a:xfrm>
          <a:off x="18156600" y="0"/>
          <a:ext cx="11328840" cy="7881120"/>
        </a:xfrm>
        <a:prstGeom prst="rect">
          <a:avLst/>
        </a:prstGeom>
        <a:ln w="0">
          <a:noFill/>
        </a:ln>
      </xdr:spPr>
    </xdr:pic>
    <xdr:clientData/>
  </xdr:twoCellAnchor>
</xdr:wsDr>
</file>

<file path=xl/theme/theme1.xml><?xml version="1.0" encoding="utf-8"?>
<a:theme xmlns:a="http://schemas.openxmlformats.org/drawingml/2006/main" name="Office-tema">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1000"/>
              </a:schemeClr>
            </a:gs>
            <a:gs pos="68000">
              <a:schemeClr val="phClr">
                <a:tint val="77000"/>
              </a:schemeClr>
            </a:gs>
            <a:gs pos="81000">
              <a:schemeClr val="phClr">
                <a:tint val="79000"/>
              </a:schemeClr>
            </a:gs>
            <a:gs pos="86000">
              <a:schemeClr val="phClr">
                <a:tint val="73000"/>
              </a:schemeClr>
            </a:gs>
            <a:gs pos="100000">
              <a:schemeClr val="phClr">
                <a:tint val="35000"/>
              </a:schemeClr>
            </a:gs>
          </a:gsLst>
          <a:lin ang="5400000" scaled="1"/>
          <a:tileRect/>
        </a:gradFill>
        <a:gradFill>
          <a:gsLst>
            <a:gs pos="0">
              <a:schemeClr val="phClr">
                <a:tint val="73000"/>
              </a:schemeClr>
            </a:gs>
            <a:gs pos="25000">
              <a:schemeClr val="phClr">
                <a:tint val="96000"/>
                <a:shade val="80000"/>
              </a:schemeClr>
            </a:gs>
            <a:gs pos="38000">
              <a:schemeClr val="phClr">
                <a:tint val="96000"/>
                <a:shade val="59000"/>
              </a:schemeClr>
            </a:gs>
            <a:gs pos="55000">
              <a:schemeClr val="phClr">
                <a:shade val="57000"/>
              </a:schemeClr>
            </a:gs>
            <a:gs pos="80000">
              <a:schemeClr val="phClr">
                <a:shade val="56000"/>
              </a:schemeClr>
            </a:gs>
            <a:gs pos="88000">
              <a:schemeClr val="phClr">
                <a:shade val="63000"/>
              </a:schemeClr>
            </a:gs>
            <a:gs pos="100000">
              <a:schemeClr val="phClr">
                <a:tint val="99550"/>
              </a:schemeClr>
            </a:gs>
          </a:gsLst>
          <a:lin ang="5400000" scaled="1"/>
          <a:tileRect/>
        </a:gradFill>
      </a:fillStyleLst>
      <a:lnStyleLst>
        <a:ln w="9525" cap="flat" cmpd="sng" algn="ctr">
          <a:prstDash val="solid"/>
        </a:ln>
        <a:ln w="19050" cap="flat" cmpd="sng" algn="ctr">
          <a:prstDash val="solid"/>
        </a:ln>
        <a:ln w="1905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xml"/><Relationship Id="rId1" Type="http://schemas.openxmlformats.org/officeDocument/2006/relationships/hyperlink" Target="mailto:peter.persson@hsb.se" TargetMode="External"/><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2.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4.x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zoomScaleNormal="100" workbookViewId="0">
      <selection activeCell="E4" sqref="E4"/>
    </sheetView>
  </sheetViews>
  <sheetFormatPr defaultColWidth="8.7265625" defaultRowHeight="14.5" x14ac:dyDescent="0.7"/>
  <cols>
    <col min="1" max="1" width="6" customWidth="1"/>
    <col min="2" max="2" width="110" customWidth="1"/>
  </cols>
  <sheetData>
    <row r="1" spans="1:2" ht="21.75" customHeight="1" x14ac:dyDescent="0.95">
      <c r="A1" s="15" t="s">
        <v>0</v>
      </c>
    </row>
    <row r="3" spans="1:2" ht="39.75" customHeight="1" x14ac:dyDescent="0.7">
      <c r="A3" s="16">
        <v>1</v>
      </c>
      <c r="B3" s="17" t="s">
        <v>1</v>
      </c>
    </row>
    <row r="4" spans="1:2" ht="39.75" customHeight="1" x14ac:dyDescent="0.7">
      <c r="A4" s="16">
        <v>2</v>
      </c>
      <c r="B4" s="17" t="s">
        <v>2</v>
      </c>
    </row>
    <row r="5" spans="1:2" ht="39.75" customHeight="1" x14ac:dyDescent="0.7">
      <c r="A5" s="16">
        <v>3</v>
      </c>
      <c r="B5" s="17" t="s">
        <v>3</v>
      </c>
    </row>
    <row r="6" spans="1:2" ht="39.75" customHeight="1" x14ac:dyDescent="0.7">
      <c r="A6" s="16">
        <v>4</v>
      </c>
      <c r="B6" s="17" t="s">
        <v>4</v>
      </c>
    </row>
    <row r="7" spans="1:2" ht="39.75" customHeight="1" x14ac:dyDescent="0.7">
      <c r="A7" s="16">
        <v>5</v>
      </c>
      <c r="B7" s="17" t="s">
        <v>5</v>
      </c>
    </row>
    <row r="8" spans="1:2" ht="39.75" customHeight="1" x14ac:dyDescent="0.7">
      <c r="A8" s="16">
        <v>6</v>
      </c>
      <c r="B8" s="17" t="s">
        <v>6</v>
      </c>
    </row>
    <row r="9" spans="1:2" ht="39.75" customHeight="1" x14ac:dyDescent="0.7">
      <c r="A9" s="16">
        <v>7</v>
      </c>
      <c r="B9" s="17" t="s">
        <v>7</v>
      </c>
    </row>
    <row r="10" spans="1:2" ht="39.75" customHeight="1" x14ac:dyDescent="0.7">
      <c r="A10" s="16">
        <v>8</v>
      </c>
      <c r="B10" s="17" t="s">
        <v>8</v>
      </c>
    </row>
    <row r="11" spans="1:2" ht="39.75" customHeight="1" x14ac:dyDescent="0.7">
      <c r="A11" s="16">
        <v>9</v>
      </c>
      <c r="B11" s="17" t="s">
        <v>9</v>
      </c>
    </row>
    <row r="12" spans="1:2" ht="39.75" customHeight="1" x14ac:dyDescent="0.7">
      <c r="A12" s="16">
        <v>10</v>
      </c>
      <c r="B12" s="17" t="s">
        <v>10</v>
      </c>
    </row>
    <row r="13" spans="1:2" ht="27.75" customHeight="1" x14ac:dyDescent="0.7">
      <c r="A13" s="16"/>
      <c r="B13" s="17"/>
    </row>
    <row r="15" spans="1:2" x14ac:dyDescent="0.7">
      <c r="B15" s="18" t="s">
        <v>11</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0"/>
  <sheetViews>
    <sheetView zoomScale="160" zoomScaleNormal="160" workbookViewId="0">
      <selection activeCell="B2" sqref="B2"/>
    </sheetView>
  </sheetViews>
  <sheetFormatPr defaultColWidth="8.7265625" defaultRowHeight="14.5" x14ac:dyDescent="0.7"/>
  <cols>
    <col min="1" max="1" width="52.40625" customWidth="1"/>
    <col min="2" max="3" width="15" customWidth="1"/>
    <col min="4" max="5" width="16" customWidth="1"/>
    <col min="6" max="6" width="15" customWidth="1"/>
    <col min="7" max="7" width="14" customWidth="1"/>
    <col min="8" max="8" width="15.58984375" customWidth="1"/>
    <col min="11" max="11" width="40" hidden="1" customWidth="1"/>
    <col min="12" max="18" width="13" hidden="1" customWidth="1"/>
  </cols>
  <sheetData>
    <row r="1" spans="1:3" ht="19.5" customHeight="1" x14ac:dyDescent="0.85">
      <c r="A1" s="19" t="s">
        <v>12</v>
      </c>
    </row>
    <row r="2" spans="1:3" ht="15" customHeight="1" x14ac:dyDescent="0.7">
      <c r="A2" s="20" t="s">
        <v>13</v>
      </c>
      <c r="B2" t="str">
        <f>IF(Besiktningsprotokoll!B4="","",Besiktningsprotokoll!B4)</f>
        <v/>
      </c>
    </row>
    <row r="3" spans="1:3" ht="15" customHeight="1" x14ac:dyDescent="0.7">
      <c r="A3" t="s">
        <v>14</v>
      </c>
      <c r="B3" t="str">
        <f>IF(Besiktningsprotokoll!B5="","",Besiktningsprotokoll!B5)</f>
        <v/>
      </c>
    </row>
    <row r="4" spans="1:3" ht="15" customHeight="1" x14ac:dyDescent="0.7">
      <c r="A4" t="s">
        <v>15</v>
      </c>
      <c r="B4" t="str">
        <f>Besiktningsprotokoll!D3&amp;" ("&amp;Besiktningsprotokoll!D4&amp;")"</f>
        <v>Peter Persson (HSB Värmland)</v>
      </c>
    </row>
    <row r="6" spans="1:3" ht="15.75" customHeight="1" x14ac:dyDescent="0.75">
      <c r="A6" s="21" t="s">
        <v>16</v>
      </c>
    </row>
    <row r="7" spans="1:3" ht="15" customHeight="1" x14ac:dyDescent="0.7">
      <c r="A7" s="22" t="s">
        <v>17</v>
      </c>
      <c r="B7" s="22" t="s">
        <v>18</v>
      </c>
      <c r="C7" s="22" t="s">
        <v>19</v>
      </c>
    </row>
    <row r="8" spans="1:3" ht="15" customHeight="1" x14ac:dyDescent="0.7">
      <c r="A8" s="23" t="s">
        <v>20</v>
      </c>
      <c r="B8" s="24">
        <f>Normalisering!I120</f>
        <v>0</v>
      </c>
      <c r="C8" s="25">
        <f>B8/$B$12</f>
        <v>0</v>
      </c>
    </row>
    <row r="9" spans="1:3" ht="15" customHeight="1" x14ac:dyDescent="0.7">
      <c r="A9" s="23" t="s">
        <v>21</v>
      </c>
      <c r="B9" s="24">
        <f>Normalisering!I132</f>
        <v>0</v>
      </c>
      <c r="C9" s="25">
        <f>B9/$B$12</f>
        <v>0</v>
      </c>
    </row>
    <row r="10" spans="1:3" ht="15" customHeight="1" x14ac:dyDescent="0.7">
      <c r="A10" s="23" t="s">
        <v>22</v>
      </c>
      <c r="B10" s="24">
        <f>Normalisering!I139</f>
        <v>6526.4444917300798</v>
      </c>
      <c r="C10" s="25">
        <f>B10/$B$12</f>
        <v>0.41611601522202341</v>
      </c>
    </row>
    <row r="11" spans="1:3" ht="15" customHeight="1" x14ac:dyDescent="0.7">
      <c r="A11" s="23" t="s">
        <v>23</v>
      </c>
      <c r="B11" s="24">
        <f>Normalisering!I144</f>
        <v>9157.7499468036585</v>
      </c>
      <c r="C11" s="25">
        <f>B11/$B$12</f>
        <v>0.58388398477797665</v>
      </c>
    </row>
    <row r="12" spans="1:3" ht="15" customHeight="1" x14ac:dyDescent="0.7">
      <c r="A12" s="26" t="s">
        <v>24</v>
      </c>
      <c r="B12" s="27">
        <f>SUM(B8:B11)</f>
        <v>15684.194438533737</v>
      </c>
      <c r="C12" s="28">
        <v>1</v>
      </c>
    </row>
    <row r="13" spans="1:3" ht="15" customHeight="1" x14ac:dyDescent="0.7">
      <c r="A13" s="29" t="s">
        <v>25</v>
      </c>
    </row>
    <row r="14" spans="1:3" ht="15" customHeight="1" x14ac:dyDescent="0.7">
      <c r="A14" s="20" t="s">
        <v>26</v>
      </c>
      <c r="B14" s="30" t="str">
        <f>Resultat!I13</f>
        <v/>
      </c>
    </row>
    <row r="15" spans="1:3" ht="15" customHeight="1" x14ac:dyDescent="0.7">
      <c r="A15" s="20" t="s">
        <v>27</v>
      </c>
      <c r="B15" t="str">
        <f>Resultat!I24</f>
        <v/>
      </c>
    </row>
    <row r="16" spans="1:3" ht="15.75" customHeight="1" x14ac:dyDescent="0.75">
      <c r="A16" s="21" t="s">
        <v>28</v>
      </c>
    </row>
    <row r="17" spans="1:18" ht="15" customHeight="1" x14ac:dyDescent="0.7">
      <c r="A17" s="29" t="s">
        <v>29</v>
      </c>
      <c r="K17" s="16" t="s">
        <v>30</v>
      </c>
    </row>
    <row r="18" spans="1:18" ht="30" customHeight="1" x14ac:dyDescent="0.7">
      <c r="A18" s="31" t="s">
        <v>31</v>
      </c>
      <c r="B18" s="31" t="s">
        <v>32</v>
      </c>
      <c r="C18" s="31" t="s">
        <v>33</v>
      </c>
      <c r="D18" s="31" t="s">
        <v>34</v>
      </c>
      <c r="E18" s="31" t="s">
        <v>35</v>
      </c>
      <c r="F18" s="31" t="s">
        <v>36</v>
      </c>
      <c r="G18" s="31" t="s">
        <v>37</v>
      </c>
      <c r="H18" s="31" t="s">
        <v>38</v>
      </c>
      <c r="K18" s="32" t="s">
        <v>31</v>
      </c>
      <c r="L18" s="32" t="s">
        <v>32</v>
      </c>
      <c r="M18" s="32" t="s">
        <v>33</v>
      </c>
      <c r="N18" s="32" t="s">
        <v>34</v>
      </c>
      <c r="O18" s="32" t="s">
        <v>35</v>
      </c>
      <c r="P18" s="32" t="s">
        <v>36</v>
      </c>
      <c r="Q18" s="32" t="s">
        <v>37</v>
      </c>
      <c r="R18" s="16" t="s">
        <v>39</v>
      </c>
    </row>
    <row r="19" spans="1:18" ht="33.75" customHeight="1" x14ac:dyDescent="0.7">
      <c r="A19" s="23" t="str">
        <f>IFERROR(IF(INDEX($K$19:$K$29,MATCH(SMALL($R$19:$R$29,1),$R$19:$R$29,0))="","",INDEX($K$19:$K$29,MATCH(SMALL($R$19:$R$29,1),$R$19:$R$29,0))),"")</f>
        <v>Bergvärme</v>
      </c>
      <c r="B19" s="33" t="str">
        <f>IFERROR(IF(INDEX($L$19:$L$29,MATCH(SMALL($R$19:$R$29,1),$R$19:$R$29,0))="","",INDEX($L$19:$L$29,MATCH(SMALL($R$19:$R$29,1),$R$19:$R$29,0))),"")</f>
        <v>Nej</v>
      </c>
      <c r="C19" s="34" t="str">
        <f>IFERROR(IF(INDEX($M$19:$M$29,MATCH(SMALL($R$19:$R$29,1),$R$19:$R$29,0))="","",INDEX($M$19:$M$29,MATCH(SMALL($R$19:$R$29,1),$R$19:$R$29,0))),"")</f>
        <v/>
      </c>
      <c r="D19" s="24" t="str">
        <f>IFERROR(IF(INDEX($N$19:$N$29,MATCH(SMALL($R$19:$R$29,1),$R$19:$R$29,0))="","",INDEX($N$19:$N$29,MATCH(SMALL($R$19:$R$29,1),$R$19:$R$29,0))),"")</f>
        <v/>
      </c>
      <c r="E19" s="34" t="str">
        <f>IFERROR(IF(INDEX($O$19:$O$29,MATCH(SMALL($R$19:$R$29,1),$R$19:$R$29,0))="","",INDEX($O$19:$O$29,MATCH(SMALL($R$19:$R$29,1),$R$19:$R$29,0))),"")</f>
        <v/>
      </c>
      <c r="F19" s="35" t="str">
        <f>IFERROR(IF(INDEX($P$19:$P$29,MATCH(SMALL($R$19:$R$29,1),$R$19:$R$29,0))="","",INDEX($P$19:$P$29,MATCH(SMALL($R$19:$R$29,1),$R$19:$R$29,0))),"")</f>
        <v/>
      </c>
      <c r="G19" s="33" t="str">
        <f>IFERROR(IF(INDEX($Q$19:$Q$29,MATCH(SMALL($R$19:$R$29,1),$R$19:$R$29,0))="","",INDEX($Q$19:$Q$29,MATCH(SMALL($R$19:$R$29,1),$R$19:$R$29,0))),"")</f>
        <v/>
      </c>
      <c r="H19" s="36" t="s">
        <v>40</v>
      </c>
      <c r="K19" s="37" t="str">
        <f>'Installera bergvärme'!A1</f>
        <v>Bergvärme</v>
      </c>
      <c r="L19" s="37" t="str">
        <f>'Installera bergvärme'!B2</f>
        <v>Nej</v>
      </c>
      <c r="M19" s="38" t="str">
        <f>IFERROR(IF('Installera bergvärme'!B2="Ja",'Installera bergvärme'!D20,""),"")</f>
        <v/>
      </c>
      <c r="N19" s="39" t="str">
        <f>IFERROR(IF('Installera bergvärme'!B2="Ja",'Installera bergvärme'!C35-'Installera bergvärme'!D35,""),"")</f>
        <v/>
      </c>
      <c r="O19" s="38" t="str">
        <f>IFERROR(IF('Installera bergvärme'!B2="Ja",'Installera bergvärme'!C34-'Installera bergvärme'!D34,""),"")</f>
        <v/>
      </c>
      <c r="P19" s="40" t="str">
        <f>IFERROR(IF('Installera bergvärme'!B2="Ja",'Installera bergvärme'!E6,""),"")</f>
        <v/>
      </c>
      <c r="Q19" s="41" t="str">
        <f>IFERROR(IF('Installera bergvärme'!B2="Ja",'Installera bergvärme'!D43,""),"")</f>
        <v/>
      </c>
      <c r="R19" s="42">
        <f t="shared" ref="R19:R29" si="0">IF(L19="Ja",IF(AND(ISNUMBER(P19),N(P19)&gt;=0),P19,1000000),2000000)+ROW()/1000000</f>
        <v>2000000.0000189999</v>
      </c>
    </row>
    <row r="20" spans="1:18" ht="69" customHeight="1" x14ac:dyDescent="0.7">
      <c r="A20" s="23" t="str">
        <f>IFERROR(IF(INDEX($K$19:$K$29,MATCH(SMALL($R$19:$R$29,2),$R$19:$R$29,0))="","",INDEX($K$19:$K$29,MATCH(SMALL($R$19:$R$29,2),$R$19:$R$29,0))),"")</f>
        <v>Injustering av värmesystem</v>
      </c>
      <c r="B20" s="33" t="str">
        <f>IFERROR(IF(INDEX($L$19:$L$29,MATCH(SMALL($R$19:$R$29,2),$R$19:$R$29,0))="","",INDEX($L$19:$L$29,MATCH(SMALL($R$19:$R$29,2),$R$19:$R$29,0))),"")</f>
        <v>Nej</v>
      </c>
      <c r="C20" s="34" t="str">
        <f>IFERROR(IF(INDEX($M$19:$M$29,MATCH(SMALL($R$19:$R$29,2),$R$19:$R$29,0))="","",INDEX($M$19:$M$29,MATCH(SMALL($R$19:$R$29,2),$R$19:$R$29,0))),"")</f>
        <v/>
      </c>
      <c r="D20" s="24" t="str">
        <f>IFERROR(IF(INDEX($N$19:$N$29,MATCH(SMALL($R$19:$R$29,2),$R$19:$R$29,0))="","",INDEX($N$19:$N$29,MATCH(SMALL($R$19:$R$29,2),$R$19:$R$29,0))),"")</f>
        <v/>
      </c>
      <c r="E20" s="34" t="str">
        <f>IFERROR(IF(INDEX($O$19:$O$29,MATCH(SMALL($R$19:$R$29,2),$R$19:$R$29,0))="","",INDEX($O$19:$O$29,MATCH(SMALL($R$19:$R$29,2),$R$19:$R$29,0))),"")</f>
        <v/>
      </c>
      <c r="F20" s="35" t="str">
        <f>IFERROR(IF(INDEX($P$19:$P$29,MATCH(SMALL($R$19:$R$29,2),$R$19:$R$29,0))="","",INDEX($P$19:$P$29,MATCH(SMALL($R$19:$R$29,2),$R$19:$R$29,0))),"")</f>
        <v/>
      </c>
      <c r="G20" s="33" t="str">
        <f>IFERROR(IF(INDEX($Q$19:$Q$29,MATCH(SMALL($R$19:$R$29,2),$R$19:$R$29,0))="","",INDEX($Q$19:$Q$29,MATCH(SMALL($R$19:$R$29,2),$R$19:$R$29,0))),"")</f>
        <v/>
      </c>
      <c r="H20" s="36" t="s">
        <v>41</v>
      </c>
      <c r="K20" s="37" t="str">
        <f>'Injustering av värmesystem'!A1</f>
        <v>Injustering av värmesystem</v>
      </c>
      <c r="L20" s="37" t="str">
        <f>'Injustering av värmesystem'!B2</f>
        <v>Nej</v>
      </c>
      <c r="M20" s="38" t="str">
        <f>IFERROR(IF('Injustering av värmesystem'!B2="Ja",'Injustering av värmesystem'!D20,""),"")</f>
        <v/>
      </c>
      <c r="N20" s="39" t="str">
        <f>IFERROR(IF('Injustering av värmesystem'!B2="Ja",'Injustering av värmesystem'!C35-'Injustering av värmesystem'!D35,""),"")</f>
        <v/>
      </c>
      <c r="O20" s="38" t="str">
        <f>IFERROR(IF('Injustering av värmesystem'!B2="Ja",'Injustering av värmesystem'!C34-'Injustering av värmesystem'!D34,""),"")</f>
        <v/>
      </c>
      <c r="P20" s="40" t="str">
        <f>IFERROR(IF('Injustering av värmesystem'!B2="Ja",'Injustering av värmesystem'!E6,""),"")</f>
        <v/>
      </c>
      <c r="Q20" s="41" t="str">
        <f>IFERROR(IF('Injustering av värmesystem'!B2="Ja",'Injustering av värmesystem'!D43,""),"")</f>
        <v/>
      </c>
      <c r="R20" s="42">
        <f t="shared" si="0"/>
        <v>2000000.0000199999</v>
      </c>
    </row>
    <row r="21" spans="1:18" ht="15" customHeight="1" x14ac:dyDescent="0.7">
      <c r="A21" s="23" t="str">
        <f>IFERROR(IF(INDEX($K$19:$K$29,MATCH(SMALL($R$19:$R$29,3),$R$19:$R$29,0))="","",INDEX($K$19:$K$29,MATCH(SMALL($R$19:$R$29,3),$R$19:$R$29,0))),"")</f>
        <v>Byte styrsystem för värme</v>
      </c>
      <c r="B21" s="33" t="str">
        <f>IFERROR(IF(INDEX($L$19:$L$29,MATCH(SMALL($R$19:$R$29,3),$R$19:$R$29,0))="","",INDEX($L$19:$L$29,MATCH(SMALL($R$19:$R$29,3),$R$19:$R$29,0))),"")</f>
        <v>Nej</v>
      </c>
      <c r="C21" s="34" t="str">
        <f>IFERROR(IF(INDEX($M$19:$M$29,MATCH(SMALL($R$19:$R$29,3),$R$19:$R$29,0))="","",INDEX($M$19:$M$29,MATCH(SMALL($R$19:$R$29,3),$R$19:$R$29,0))),"")</f>
        <v/>
      </c>
      <c r="D21" s="24" t="str">
        <f>IFERROR(IF(INDEX($N$19:$N$29,MATCH(SMALL($R$19:$R$29,3),$R$19:$R$29,0))="","",INDEX($N$19:$N$29,MATCH(SMALL($R$19:$R$29,3),$R$19:$R$29,0))),"")</f>
        <v/>
      </c>
      <c r="E21" s="34" t="str">
        <f>IFERROR(IF(INDEX($O$19:$O$29,MATCH(SMALL($R$19:$R$29,3),$R$19:$R$29,0))="","",INDEX($O$19:$O$29,MATCH(SMALL($R$19:$R$29,3),$R$19:$R$29,0))),"")</f>
        <v/>
      </c>
      <c r="F21" s="35" t="str">
        <f>IFERROR(IF(INDEX($P$19:$P$29,MATCH(SMALL($R$19:$R$29,3),$R$19:$R$29,0))="","",INDEX($P$19:$P$29,MATCH(SMALL($R$19:$R$29,3),$R$19:$R$29,0))),"")</f>
        <v/>
      </c>
      <c r="G21" s="33" t="str">
        <f>IFERROR(IF(INDEX($Q$19:$Q$29,MATCH(SMALL($R$19:$R$29,3),$R$19:$R$29,0))="","",INDEX($Q$19:$Q$29,MATCH(SMALL($R$19:$R$29,3),$R$19:$R$29,0))),"")</f>
        <v/>
      </c>
      <c r="K21" s="37" t="str">
        <f>'Styrsystem för värme'!A1</f>
        <v>Byte styrsystem för värme</v>
      </c>
      <c r="L21" s="37" t="str">
        <f>'Styrsystem för värme'!B2</f>
        <v>Nej</v>
      </c>
      <c r="M21" s="38" t="str">
        <f>IFERROR(IF('Styrsystem för värme'!B2="Ja",'Styrsystem för värme'!D20,""),"")</f>
        <v/>
      </c>
      <c r="N21" s="39" t="str">
        <f>IFERROR(IF('Styrsystem för värme'!B2="Ja",'Styrsystem för värme'!C35-'Styrsystem för värme'!D35,""),"")</f>
        <v/>
      </c>
      <c r="O21" s="38" t="str">
        <f>IFERROR(IF('Styrsystem för värme'!B2="Ja",'Styrsystem för värme'!C34-'Styrsystem för värme'!D34,""),"")</f>
        <v/>
      </c>
      <c r="P21" s="40" t="str">
        <f>IFERROR(IF('Styrsystem för värme'!B2="Ja",'Styrsystem för värme'!E6,""),"")</f>
        <v/>
      </c>
      <c r="Q21" s="41" t="str">
        <f>IFERROR(IF('Styrsystem för värme'!B2="Ja",'Styrsystem för värme'!D43,""),"")</f>
        <v/>
      </c>
      <c r="R21" s="42">
        <f t="shared" si="0"/>
        <v>2000000.0000209999</v>
      </c>
    </row>
    <row r="22" spans="1:18" ht="15" customHeight="1" x14ac:dyDescent="0.7">
      <c r="A22" s="23" t="str">
        <f>IFERROR(IF(INDEX($K$19:$K$29,MATCH(SMALL($R$19:$R$29,4),$R$19:$R$29,0))="","",INDEX($K$19:$K$29,MATCH(SMALL($R$19:$R$29,4),$R$19:$R$29,0))),"")</f>
        <v>Tilläggisolering av vindbjälklaget</v>
      </c>
      <c r="B22" s="33" t="str">
        <f>IFERROR(IF(INDEX($L$19:$L$29,MATCH(SMALL($R$19:$R$29,4),$R$19:$R$29,0))="","",INDEX($L$19:$L$29,MATCH(SMALL($R$19:$R$29,4),$R$19:$R$29,0))),"")</f>
        <v>Nej</v>
      </c>
      <c r="C22" s="34" t="str">
        <f>IFERROR(IF(INDEX($M$19:$M$29,MATCH(SMALL($R$19:$R$29,4),$R$19:$R$29,0))="","",INDEX($M$19:$M$29,MATCH(SMALL($R$19:$R$29,4),$R$19:$R$29,0))),"")</f>
        <v/>
      </c>
      <c r="D22" s="24" t="str">
        <f>IFERROR(IF(INDEX($N$19:$N$29,MATCH(SMALL($R$19:$R$29,4),$R$19:$R$29,0))="","",INDEX($N$19:$N$29,MATCH(SMALL($R$19:$R$29,4),$R$19:$R$29,0))),"")</f>
        <v/>
      </c>
      <c r="E22" s="34" t="str">
        <f>IFERROR(IF(INDEX($O$19:$O$29,MATCH(SMALL($R$19:$R$29,4),$R$19:$R$29,0))="","",INDEX($O$19:$O$29,MATCH(SMALL($R$19:$R$29,4),$R$19:$R$29,0))),"")</f>
        <v/>
      </c>
      <c r="F22" s="35" t="str">
        <f>IFERROR(IF(INDEX($P$19:$P$29,MATCH(SMALL($R$19:$R$29,4),$R$19:$R$29,0))="","",INDEX($P$19:$P$29,MATCH(SMALL($R$19:$R$29,4),$R$19:$R$29,0))),"")</f>
        <v/>
      </c>
      <c r="G22" s="33" t="str">
        <f>IFERROR(IF(INDEX($Q$19:$Q$29,MATCH(SMALL($R$19:$R$29,4),$R$19:$R$29,0))="","",INDEX($Q$19:$Q$29,MATCH(SMALL($R$19:$R$29,4),$R$19:$R$29,0))),"")</f>
        <v/>
      </c>
      <c r="K22" s="37" t="str">
        <f>'Tilläggisolering av vindsbjälk'!A1</f>
        <v>Tilläggisolering av vindbjälklaget</v>
      </c>
      <c r="L22" s="37" t="str">
        <f>'Tilläggisolering av vindsbjälk'!B2</f>
        <v>Nej</v>
      </c>
      <c r="M22" s="38" t="str">
        <f>IFERROR(IF('Tilläggisolering av vindsbjälk'!B2="Ja",'Tilläggisolering av vindsbjälk'!D20,""),"")</f>
        <v/>
      </c>
      <c r="N22" s="39" t="str">
        <f>IFERROR(IF('Tilläggisolering av vindsbjälk'!B2="Ja",'Tilläggisolering av vindsbjälk'!C35-'Tilläggisolering av vindsbjälk'!D35,""),"")</f>
        <v/>
      </c>
      <c r="O22" s="38" t="str">
        <f>IFERROR(IF('Tilläggisolering av vindsbjälk'!B2="Ja",'Tilläggisolering av vindsbjälk'!C34-'Tilläggisolering av vindsbjälk'!D34,""),"")</f>
        <v/>
      </c>
      <c r="P22" s="40" t="str">
        <f>IFERROR(IF('Tilläggisolering av vindsbjälk'!B2="Ja",'Tilläggisolering av vindsbjälk'!E6,""),"")</f>
        <v/>
      </c>
      <c r="Q22" s="41" t="str">
        <f>IFERROR(IF('Tilläggisolering av vindsbjälk'!B2="Ja",'Tilläggisolering av vindsbjälk'!D43,""),"")</f>
        <v/>
      </c>
      <c r="R22" s="42">
        <f t="shared" si="0"/>
        <v>2000000.0000219999</v>
      </c>
    </row>
    <row r="23" spans="1:18" ht="15" customHeight="1" x14ac:dyDescent="0.7">
      <c r="A23" s="23" t="str">
        <f>IFERROR(IF(INDEX($K$19:$K$29,MATCH(SMALL($R$19:$R$29,5),$R$19:$R$29,0))="","",INDEX($K$19:$K$29,MATCH(SMALL($R$19:$R$29,5),$R$19:$R$29,0))),"")</f>
        <v>Byte av fönster</v>
      </c>
      <c r="B23" s="33" t="str">
        <f>IFERROR(IF(INDEX($L$19:$L$29,MATCH(SMALL($R$19:$R$29,5),$R$19:$R$29,0))="","",INDEX($L$19:$L$29,MATCH(SMALL($R$19:$R$29,5),$R$19:$R$29,0))),"")</f>
        <v>Nej</v>
      </c>
      <c r="C23" s="34" t="str">
        <f>IFERROR(IF(INDEX($M$19:$M$29,MATCH(SMALL($R$19:$R$29,5),$R$19:$R$29,0))="","",INDEX($M$19:$M$29,MATCH(SMALL($R$19:$R$29,5),$R$19:$R$29,0))),"")</f>
        <v/>
      </c>
      <c r="D23" s="24" t="str">
        <f>IFERROR(IF(INDEX($N$19:$N$29,MATCH(SMALL($R$19:$R$29,5),$R$19:$R$29,0))="","",INDEX($N$19:$N$29,MATCH(SMALL($R$19:$R$29,5),$R$19:$R$29,0))),"")</f>
        <v/>
      </c>
      <c r="E23" s="34" t="str">
        <f>IFERROR(IF(INDEX($O$19:$O$29,MATCH(SMALL($R$19:$R$29,5),$R$19:$R$29,0))="","",INDEX($O$19:$O$29,MATCH(SMALL($R$19:$R$29,5),$R$19:$R$29,0))),"")</f>
        <v/>
      </c>
      <c r="F23" s="35" t="str">
        <f>IFERROR(IF(INDEX($P$19:$P$29,MATCH(SMALL($R$19:$R$29,5),$R$19:$R$29,0))="","",INDEX($P$19:$P$29,MATCH(SMALL($R$19:$R$29,5),$R$19:$R$29,0))),"")</f>
        <v/>
      </c>
      <c r="G23" s="33" t="str">
        <f>IFERROR(IF(INDEX($Q$19:$Q$29,MATCH(SMALL($R$19:$R$29,5),$R$19:$R$29,0))="","",INDEX($Q$19:$Q$29,MATCH(SMALL($R$19:$R$29,5),$R$19:$R$29,0))),"")</f>
        <v/>
      </c>
      <c r="K23" s="37" t="str">
        <f>'Byte fönster'!A1</f>
        <v>Byte av fönster</v>
      </c>
      <c r="L23" s="37" t="str">
        <f>'Byte fönster'!B2</f>
        <v>Nej</v>
      </c>
      <c r="M23" s="38" t="str">
        <f>IFERROR(IF('Byte fönster'!B2="Ja",'Byte fönster'!D20,""),"")</f>
        <v/>
      </c>
      <c r="N23" s="39" t="str">
        <f>IFERROR(IF('Byte fönster'!B2="Ja",'Byte fönster'!C35-'Byte fönster'!D35,""),"")</f>
        <v/>
      </c>
      <c r="O23" s="38" t="str">
        <f>IFERROR(IF('Byte fönster'!B2="Ja",'Byte fönster'!C34-'Byte fönster'!D34,""),"")</f>
        <v/>
      </c>
      <c r="P23" s="40" t="str">
        <f>IFERROR(IF('Byte fönster'!B2="Ja",'Byte fönster'!E6,""),"")</f>
        <v/>
      </c>
      <c r="Q23" s="41" t="str">
        <f>IFERROR(IF('Byte fönster'!B2="Ja",'Byte fönster'!D43,""),"")</f>
        <v/>
      </c>
      <c r="R23" s="42">
        <f t="shared" si="0"/>
        <v>2000000.0000229999</v>
      </c>
    </row>
    <row r="24" spans="1:18" ht="15" customHeight="1" x14ac:dyDescent="0.7">
      <c r="A24" s="23" t="str">
        <f>IFERROR(IF(INDEX($K$19:$K$29,MATCH(SMALL($R$19:$R$29,6),$R$19:$R$29,0))="","",INDEX($K$19:$K$29,MATCH(SMALL($R$19:$R$29,6),$R$19:$R$29,0))),"")</f>
        <v>Tilläggisolering av fasader</v>
      </c>
      <c r="B24" s="33" t="str">
        <f>IFERROR(IF(INDEX($L$19:$L$29,MATCH(SMALL($R$19:$R$29,6),$R$19:$R$29,0))="","",INDEX($L$19:$L$29,MATCH(SMALL($R$19:$R$29,6),$R$19:$R$29,0))),"")</f>
        <v>Nej</v>
      </c>
      <c r="C24" s="34" t="str">
        <f>IFERROR(IF(INDEX($M$19:$M$29,MATCH(SMALL($R$19:$R$29,6),$R$19:$R$29,0))="","",INDEX($M$19:$M$29,MATCH(SMALL($R$19:$R$29,6),$R$19:$R$29,0))),"")</f>
        <v/>
      </c>
      <c r="D24" s="24" t="str">
        <f>IFERROR(IF(INDEX($N$19:$N$29,MATCH(SMALL($R$19:$R$29,6),$R$19:$R$29,0))="","",INDEX($N$19:$N$29,MATCH(SMALL($R$19:$R$29,6),$R$19:$R$29,0))),"")</f>
        <v/>
      </c>
      <c r="E24" s="34" t="str">
        <f>IFERROR(IF(INDEX($O$19:$O$29,MATCH(SMALL($R$19:$R$29,6),$R$19:$R$29,0))="","",INDEX($O$19:$O$29,MATCH(SMALL($R$19:$R$29,6),$R$19:$R$29,0))),"")</f>
        <v/>
      </c>
      <c r="F24" s="35" t="str">
        <f>IFERROR(IF(INDEX($P$19:$P$29,MATCH(SMALL($R$19:$R$29,6),$R$19:$R$29,0))="","",INDEX($P$19:$P$29,MATCH(SMALL($R$19:$R$29,6),$R$19:$R$29,0))),"")</f>
        <v/>
      </c>
      <c r="G24" s="33" t="str">
        <f>IFERROR(IF(INDEX($Q$19:$Q$29,MATCH(SMALL($R$19:$R$29,6),$R$19:$R$29,0))="","",INDEX($Q$19:$Q$29,MATCH(SMALL($R$19:$R$29,6),$R$19:$R$29,0))),"")</f>
        <v/>
      </c>
      <c r="K24" s="37" t="str">
        <f>'Tilläggisol fasad'!A1</f>
        <v>Tilläggisolering av fasader</v>
      </c>
      <c r="L24" s="37" t="str">
        <f>'Tilläggisol fasad'!B2</f>
        <v>Nej</v>
      </c>
      <c r="M24" s="38" t="str">
        <f>IFERROR(IF('Tilläggisol fasad'!B2="Ja",'Tilläggisol fasad'!D20,""),"")</f>
        <v/>
      </c>
      <c r="N24" s="39" t="str">
        <f>IFERROR(IF('Tilläggisol fasad'!B2="Ja",'Tilläggisol fasad'!C35-'Tilläggisol fasad'!D35,""),"")</f>
        <v/>
      </c>
      <c r="O24" s="38" t="str">
        <f>IFERROR(IF('Tilläggisol fasad'!B2="Ja",'Tilläggisol fasad'!C34-'Tilläggisol fasad'!D34,""),"")</f>
        <v/>
      </c>
      <c r="P24" s="40" t="str">
        <f>IFERROR(IF('Tilläggisol fasad'!B2="Ja",'Tilläggisol fasad'!E6,""),"")</f>
        <v/>
      </c>
      <c r="Q24" s="41" t="str">
        <f>IFERROR(IF('Tilläggisol fasad'!B2="Ja",'Tilläggisol fasad'!D43,""),"")</f>
        <v/>
      </c>
      <c r="R24" s="42">
        <f t="shared" si="0"/>
        <v>2000000.0000239999</v>
      </c>
    </row>
    <row r="25" spans="1:18" ht="15" customHeight="1" x14ac:dyDescent="0.7">
      <c r="A25" s="23" t="str">
        <f>IFERROR(IF(INDEX($K$19:$K$29,MATCH(SMALL($R$19:$R$29,7),$R$19:$R$29,0))="","",INDEX($K$19:$K$29,MATCH(SMALL($R$19:$R$29,7),$R$19:$R$29,0))),"")</f>
        <v>Installation av frånluftsåtervinning</v>
      </c>
      <c r="B25" s="33" t="str">
        <f>IFERROR(IF(INDEX($L$19:$L$29,MATCH(SMALL($R$19:$R$29,7),$R$19:$R$29,0))="","",INDEX($L$19:$L$29,MATCH(SMALL($R$19:$R$29,7),$R$19:$R$29,0))),"")</f>
        <v>Nej</v>
      </c>
      <c r="C25" s="34" t="str">
        <f>IFERROR(IF(INDEX($M$19:$M$29,MATCH(SMALL($R$19:$R$29,7),$R$19:$R$29,0))="","",INDEX($M$19:$M$29,MATCH(SMALL($R$19:$R$29,7),$R$19:$R$29,0))),"")</f>
        <v/>
      </c>
      <c r="D25" s="24" t="str">
        <f>IFERROR(IF(INDEX($N$19:$N$29,MATCH(SMALL($R$19:$R$29,7),$R$19:$R$29,0))="","",INDEX($N$19:$N$29,MATCH(SMALL($R$19:$R$29,7),$R$19:$R$29,0))),"")</f>
        <v/>
      </c>
      <c r="E25" s="34" t="str">
        <f>IFERROR(IF(INDEX($O$19:$O$29,MATCH(SMALL($R$19:$R$29,7),$R$19:$R$29,0))="","",INDEX($O$19:$O$29,MATCH(SMALL($R$19:$R$29,7),$R$19:$R$29,0))),"")</f>
        <v/>
      </c>
      <c r="F25" s="35" t="str">
        <f>IFERROR(IF(INDEX($P$19:$P$29,MATCH(SMALL($R$19:$R$29,7),$R$19:$R$29,0))="","",INDEX($P$19:$P$29,MATCH(SMALL($R$19:$R$29,7),$R$19:$R$29,0))),"")</f>
        <v/>
      </c>
      <c r="G25" s="33" t="str">
        <f>IFERROR(IF(INDEX($Q$19:$Q$29,MATCH(SMALL($R$19:$R$29,7),$R$19:$R$29,0))="","",INDEX($Q$19:$Q$29,MATCH(SMALL($R$19:$R$29,7),$R$19:$R$29,0))),"")</f>
        <v/>
      </c>
      <c r="K25" s="37" t="str">
        <f>'Installation F-återvinning'!A1</f>
        <v>Installation av frånluftsåtervinning</v>
      </c>
      <c r="L25" s="37" t="str">
        <f>'Installation F-återvinning'!B2</f>
        <v>Nej</v>
      </c>
      <c r="M25" s="38" t="str">
        <f>IFERROR(IF('Installation F-återvinning'!B2="Ja",'Installation F-återvinning'!D20,""),"")</f>
        <v/>
      </c>
      <c r="N25" s="39" t="str">
        <f>IFERROR(IF('Installation F-återvinning'!B2="Ja",'Installation F-återvinning'!C35-'Installation F-återvinning'!D35,""),"")</f>
        <v/>
      </c>
      <c r="O25" s="38" t="str">
        <f>IFERROR(IF('Installation F-återvinning'!B2="Ja",'Installation F-återvinning'!C34-'Installation F-återvinning'!D34,""),"")</f>
        <v/>
      </c>
      <c r="P25" s="40" t="str">
        <f>IFERROR(IF('Installation F-återvinning'!B2="Ja",'Installation F-återvinning'!E6,""),"")</f>
        <v/>
      </c>
      <c r="Q25" s="41" t="str">
        <f>IFERROR(IF('Installation F-återvinning'!B2="Ja",'Installation F-återvinning'!D43,""),"")</f>
        <v/>
      </c>
      <c r="R25" s="42">
        <f t="shared" si="0"/>
        <v>2000000.000025</v>
      </c>
    </row>
    <row r="26" spans="1:18" ht="15" customHeight="1" x14ac:dyDescent="0.7">
      <c r="A26" s="23" t="str">
        <f>IFERROR(IF(INDEX($K$19:$K$29,MATCH(SMALL($R$19:$R$29,8),$R$19:$R$29,0))="","",INDEX($K$19:$K$29,MATCH(SMALL($R$19:$R$29,8),$R$19:$R$29,0))),"")</f>
        <v>Installation av solceller på taket</v>
      </c>
      <c r="B26" s="33" t="str">
        <f>IFERROR(IF(INDEX($L$19:$L$29,MATCH(SMALL($R$19:$R$29,8),$R$19:$R$29,0))="","",INDEX($L$19:$L$29,MATCH(SMALL($R$19:$R$29,8),$R$19:$R$29,0))),"")</f>
        <v>Nej</v>
      </c>
      <c r="C26" s="34" t="str">
        <f>IFERROR(IF(INDEX($M$19:$M$29,MATCH(SMALL($R$19:$R$29,8),$R$19:$R$29,0))="","",INDEX($M$19:$M$29,MATCH(SMALL($R$19:$R$29,8),$R$19:$R$29,0))),"")</f>
        <v/>
      </c>
      <c r="D26" s="24" t="str">
        <f>IFERROR(IF(INDEX($N$19:$N$29,MATCH(SMALL($R$19:$R$29,8),$R$19:$R$29,0))="","",INDEX($N$19:$N$29,MATCH(SMALL($R$19:$R$29,8),$R$19:$R$29,0))),"")</f>
        <v/>
      </c>
      <c r="E26" s="34" t="str">
        <f>IFERROR(IF(INDEX($O$19:$O$29,MATCH(SMALL($R$19:$R$29,8),$R$19:$R$29,0))="","",INDEX($O$19:$O$29,MATCH(SMALL($R$19:$R$29,8),$R$19:$R$29,0))),"")</f>
        <v/>
      </c>
      <c r="F26" s="35" t="str">
        <f>IFERROR(IF(INDEX($P$19:$P$29,MATCH(SMALL($R$19:$R$29,8),$R$19:$R$29,0))="","",INDEX($P$19:$P$29,MATCH(SMALL($R$19:$R$29,8),$R$19:$R$29,0))),"")</f>
        <v/>
      </c>
      <c r="G26" s="33" t="str">
        <f>IFERROR(IF(INDEX($Q$19:$Q$29,MATCH(SMALL($R$19:$R$29,8),$R$19:$R$29,0))="","",INDEX($Q$19:$Q$29,MATCH(SMALL($R$19:$R$29,8),$R$19:$R$29,0))),"")</f>
        <v/>
      </c>
      <c r="K26" s="37" t="str">
        <f>'Installation av solceller'!A1</f>
        <v>Installation av solceller på taket</v>
      </c>
      <c r="L26" s="37" t="str">
        <f>'Installation av solceller'!B2</f>
        <v>Nej</v>
      </c>
      <c r="M26" s="38" t="str">
        <f>IFERROR(IF('Installation av solceller'!B2="Ja",'Installation av solceller'!D20,""),"")</f>
        <v/>
      </c>
      <c r="N26" s="39" t="str">
        <f>IFERROR(IF('Installation av solceller'!B2="Ja",'Installation av solceller'!C35-'Installation av solceller'!D35,""),"")</f>
        <v/>
      </c>
      <c r="O26" s="38" t="str">
        <f>IFERROR(IF('Installation av solceller'!B2="Ja",'Installation av solceller'!C34-'Installation av solceller'!D34,""),"")</f>
        <v/>
      </c>
      <c r="P26" s="40" t="str">
        <f>IFERROR(IF('Installation av solceller'!B2="Ja",'Installation av solceller'!E6,""),"")</f>
        <v/>
      </c>
      <c r="Q26" s="41" t="str">
        <f>IFERROR(IF('Installation av solceller'!B2="Ja",'Installation av solceller'!D43,""),"")</f>
        <v/>
      </c>
      <c r="R26" s="42">
        <f t="shared" si="0"/>
        <v>2000000.000026</v>
      </c>
    </row>
    <row r="27" spans="1:18" ht="15" customHeight="1" x14ac:dyDescent="0.7">
      <c r="A27" s="23" t="str">
        <f>IFERROR(IF(INDEX($K$19:$K$29,MATCH(SMALL($R$19:$R$29,9),$R$19:$R$29,0))="","",INDEX($K$19:$K$29,MATCH(SMALL($R$19:$R$29,9),$R$19:$R$29,0))),"")</f>
        <v>Byte av pump till tryckstyrd med bättre effektivitet</v>
      </c>
      <c r="B27" s="33" t="str">
        <f>IFERROR(IF(INDEX($L$19:$L$29,MATCH(SMALL($R$19:$R$29,9),$R$19:$R$29,0))="","",INDEX($L$19:$L$29,MATCH(SMALL($R$19:$R$29,9),$R$19:$R$29,0))),"")</f>
        <v>Nej</v>
      </c>
      <c r="C27" s="34" t="str">
        <f>IFERROR(IF(INDEX($M$19:$M$29,MATCH(SMALL($R$19:$R$29,9),$R$19:$R$29,0))="","",INDEX($M$19:$M$29,MATCH(SMALL($R$19:$R$29,9),$R$19:$R$29,0))),"")</f>
        <v/>
      </c>
      <c r="D27" s="24" t="str">
        <f>IFERROR(IF(INDEX($N$19:$N$29,MATCH(SMALL($R$19:$R$29,9),$R$19:$R$29,0))="","",INDEX($N$19:$N$29,MATCH(SMALL($R$19:$R$29,9),$R$19:$R$29,0))),"")</f>
        <v/>
      </c>
      <c r="E27" s="34" t="str">
        <f>IFERROR(IF(INDEX($O$19:$O$29,MATCH(SMALL($R$19:$R$29,9),$R$19:$R$29,0))="","",INDEX($O$19:$O$29,MATCH(SMALL($R$19:$R$29,9),$R$19:$R$29,0))),"")</f>
        <v/>
      </c>
      <c r="F27" s="35" t="str">
        <f>IFERROR(IF(INDEX($P$19:$P$29,MATCH(SMALL($R$19:$R$29,9),$R$19:$R$29,0))="","",INDEX($P$19:$P$29,MATCH(SMALL($R$19:$R$29,9),$R$19:$R$29,0))),"")</f>
        <v/>
      </c>
      <c r="G27" s="33" t="str">
        <f>IFERROR(IF(INDEX($Q$19:$Q$29,MATCH(SMALL($R$19:$R$29,9),$R$19:$R$29,0))="","",INDEX($Q$19:$Q$29,MATCH(SMALL($R$19:$R$29,9),$R$19:$R$29,0))),"")</f>
        <v/>
      </c>
      <c r="K27" s="37" t="str">
        <f>'Byte av pump'!A1</f>
        <v>Byte av pump till tryckstyrd med bättre effektivitet</v>
      </c>
      <c r="L27" s="37" t="str">
        <f>'Byte av pump'!B2</f>
        <v>Nej</v>
      </c>
      <c r="M27" s="38" t="str">
        <f>IFERROR(IF('Byte av pump'!B2="Ja",'Byte av pump'!D20,""),"")</f>
        <v/>
      </c>
      <c r="N27" s="39" t="str">
        <f>IFERROR(IF('Byte av pump'!B2="Ja",'Byte av pump'!C35-'Byte av pump'!D35,""),"")</f>
        <v/>
      </c>
      <c r="O27" s="38" t="str">
        <f>IFERROR(IF('Byte av pump'!B2="Ja",'Byte av pump'!C34-'Byte av pump'!D34,""),"")</f>
        <v/>
      </c>
      <c r="P27" s="40" t="str">
        <f>IFERROR(IF('Byte av pump'!B2="Ja",'Byte av pump'!E6,""),"")</f>
        <v/>
      </c>
      <c r="Q27" s="41" t="str">
        <f>IFERROR(IF('Byte av pump'!B2="Ja",'Byte av pump'!D43,""),"")</f>
        <v/>
      </c>
      <c r="R27" s="42">
        <f t="shared" si="0"/>
        <v>2000000.000027</v>
      </c>
    </row>
    <row r="28" spans="1:18" ht="15" customHeight="1" x14ac:dyDescent="0.7">
      <c r="A28" s="23" t="str">
        <f>IFERROR(IF(INDEX($K$19:$K$29,MATCH(SMALL($R$19:$R$29,10),$R$19:$R$29,0))="","",INDEX($K$19:$K$29,MATCH(SMALL($R$19:$R$29,10),$R$19:$R$29,0))),"")</f>
        <v>Byte av fläktar till tryckstyrd med bättre effektivitet</v>
      </c>
      <c r="B28" s="33" t="str">
        <f>IFERROR(IF(INDEX($L$19:$L$29,MATCH(SMALL($R$19:$R$29,10),$R$19:$R$29,0))="","",INDEX($L$19:$L$29,MATCH(SMALL($R$19:$R$29,10),$R$19:$R$29,0))),"")</f>
        <v>Nej</v>
      </c>
      <c r="C28" s="34" t="str">
        <f>IFERROR(IF(INDEX($M$19:$M$29,MATCH(SMALL($R$19:$R$29,10),$R$19:$R$29,0))="","",INDEX($M$19:$M$29,MATCH(SMALL($R$19:$R$29,10),$R$19:$R$29,0))),"")</f>
        <v/>
      </c>
      <c r="D28" s="24" t="str">
        <f>IFERROR(IF(INDEX($N$19:$N$29,MATCH(SMALL($R$19:$R$29,10),$R$19:$R$29,0))="","",INDEX($N$19:$N$29,MATCH(SMALL($R$19:$R$29,10),$R$19:$R$29,0))),"")</f>
        <v/>
      </c>
      <c r="E28" s="34" t="str">
        <f>IFERROR(IF(INDEX($O$19:$O$29,MATCH(SMALL($R$19:$R$29,10),$R$19:$R$29,0))="","",INDEX($O$19:$O$29,MATCH(SMALL($R$19:$R$29,10),$R$19:$R$29,0))),"")</f>
        <v/>
      </c>
      <c r="F28" s="35" t="str">
        <f>IFERROR(IF(INDEX($P$19:$P$29,MATCH(SMALL($R$19:$R$29,10),$R$19:$R$29,0))="","",INDEX($P$19:$P$29,MATCH(SMALL($R$19:$R$29,10),$R$19:$R$29,0))),"")</f>
        <v/>
      </c>
      <c r="G28" s="33" t="str">
        <f>IFERROR(IF(INDEX($Q$19:$Q$29,MATCH(SMALL($R$19:$R$29,10),$R$19:$R$29,0))="","",INDEX($Q$19:$Q$29,MATCH(SMALL($R$19:$R$29,10),$R$19:$R$29,0))),"")</f>
        <v/>
      </c>
      <c r="K28" s="37" t="str">
        <f>'Byte av fläkt'!A1</f>
        <v>Byte av fläktar till tryckstyrd med bättre effektivitet</v>
      </c>
      <c r="L28" s="37" t="str">
        <f>'Byte av fläkt'!B2</f>
        <v>Nej</v>
      </c>
      <c r="M28" s="38" t="str">
        <f>IFERROR(IF('Byte av fläkt'!B2="Ja",'Byte av fläkt'!D20,""),"")</f>
        <v/>
      </c>
      <c r="N28" s="39" t="str">
        <f>IFERROR(IF('Byte av fläkt'!B2="Ja",'Byte av fläkt'!C35-'Byte av fläkt'!D35,""),"")</f>
        <v/>
      </c>
      <c r="O28" s="38" t="str">
        <f>IFERROR(IF('Byte av fläkt'!B2="Ja",'Byte av fläkt'!C34-'Byte av fläkt'!D34,""),"")</f>
        <v/>
      </c>
      <c r="P28" s="40" t="str">
        <f>IFERROR(IF('Byte av fläkt'!B2="Ja",'Byte av fläkt'!E6,""),"")</f>
        <v/>
      </c>
      <c r="Q28" s="41" t="str">
        <f>IFERROR(IF('Byte av fläkt'!B2="Ja",'Byte av fläkt'!D43,""),"")</f>
        <v/>
      </c>
      <c r="R28" s="42">
        <f t="shared" si="0"/>
        <v>2000000.000028</v>
      </c>
    </row>
    <row r="29" spans="1:18" ht="15" customHeight="1" x14ac:dyDescent="0.7">
      <c r="A29" s="23" t="str">
        <f>IFERROR(IF(INDEX($K$19:$K$29,MATCH(SMALL($R$19:$R$29,11),$R$19:$R$29,0))="","",INDEX($K$19:$K$29,MATCH(SMALL($R$19:$R$29,11),$R$19:$R$29,0))),"")</f>
        <v>Övrig åtgärd</v>
      </c>
      <c r="B29" s="33" t="str">
        <f>IFERROR(IF(INDEX($L$19:$L$29,MATCH(SMALL($R$19:$R$29,11),$R$19:$R$29,0))="","",INDEX($L$19:$L$29,MATCH(SMALL($R$19:$R$29,11),$R$19:$R$29,0))),"")</f>
        <v>Nej</v>
      </c>
      <c r="C29" s="34" t="str">
        <f>IFERROR(IF(INDEX($M$19:$M$29,MATCH(SMALL($R$19:$R$29,11),$R$19:$R$29,0))="","",INDEX($M$19:$M$29,MATCH(SMALL($R$19:$R$29,11),$R$19:$R$29,0))),"")</f>
        <v/>
      </c>
      <c r="D29" s="24" t="str">
        <f>IFERROR(IF(INDEX($N$19:$N$29,MATCH(SMALL($R$19:$R$29,11),$R$19:$R$29,0))="","",INDEX($N$19:$N$29,MATCH(SMALL($R$19:$R$29,11),$R$19:$R$29,0))),"")</f>
        <v/>
      </c>
      <c r="E29" s="34" t="str">
        <f>IFERROR(IF(INDEX($O$19:$O$29,MATCH(SMALL($R$19:$R$29,11),$R$19:$R$29,0))="","",INDEX($O$19:$O$29,MATCH(SMALL($R$19:$R$29,11),$R$19:$R$29,0))),"")</f>
        <v/>
      </c>
      <c r="F29" s="35" t="str">
        <f>IFERROR(IF(INDEX($P$19:$P$29,MATCH(SMALL($R$19:$R$29,11),$R$19:$R$29,0))="","",INDEX($P$19:$P$29,MATCH(SMALL($R$19:$R$29,11),$R$19:$R$29,0))),"")</f>
        <v/>
      </c>
      <c r="G29" s="33" t="str">
        <f>IFERROR(IF(INDEX($Q$19:$Q$29,MATCH(SMALL($R$19:$R$29,11),$R$19:$R$29,0))="","",INDEX($Q$19:$Q$29,MATCH(SMALL($R$19:$R$29,11),$R$19:$R$29,0))),"")</f>
        <v/>
      </c>
      <c r="K29" s="37" t="str">
        <f>'Övrig åtgärd'!A1</f>
        <v>Övrig åtgärd</v>
      </c>
      <c r="L29" s="37" t="str">
        <f>'Övrig åtgärd'!B2</f>
        <v>Nej</v>
      </c>
      <c r="M29" s="38" t="str">
        <f>IFERROR(IF('Övrig åtgärd'!B2="Ja",'Övrig åtgärd'!D20,""),"")</f>
        <v/>
      </c>
      <c r="N29" s="39" t="str">
        <f>IFERROR(IF('Övrig åtgärd'!B2="Ja",'Övrig åtgärd'!C35-'Övrig åtgärd'!D35,""),"")</f>
        <v/>
      </c>
      <c r="O29" s="38" t="str">
        <f>IFERROR(IF('Övrig åtgärd'!B2="Ja",'Övrig åtgärd'!C34-'Övrig åtgärd'!D34,""),"")</f>
        <v/>
      </c>
      <c r="P29" s="40" t="str">
        <f>IFERROR(IF('Övrig åtgärd'!B2="Ja",'Övrig åtgärd'!E6,""),"")</f>
        <v/>
      </c>
      <c r="Q29" s="41" t="str">
        <f>IFERROR(IF('Övrig åtgärd'!B2="Ja",'Övrig åtgärd'!D43,""),"")</f>
        <v/>
      </c>
      <c r="R29" s="42">
        <f t="shared" si="0"/>
        <v>2000000.000029</v>
      </c>
    </row>
    <row r="30" spans="1:18" ht="15" customHeight="1" x14ac:dyDescent="0.7">
      <c r="A30" s="26" t="s">
        <v>42</v>
      </c>
      <c r="B30" s="43"/>
      <c r="C30" s="44">
        <f>SUM(C19:C29)</f>
        <v>0</v>
      </c>
      <c r="D30" s="27">
        <f>SUM(D19:D29)</f>
        <v>0</v>
      </c>
      <c r="E30" s="44">
        <f>SUM(E19:E29)</f>
        <v>0</v>
      </c>
      <c r="F30" s="43"/>
      <c r="G30" s="43"/>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3"/>
  <sheetViews>
    <sheetView zoomScaleNormal="100" workbookViewId="0">
      <pane xSplit="2" ySplit="12" topLeftCell="C13" activePane="bottomRight" state="frozen"/>
      <selection pane="topRight" activeCell="C1" sqref="C1"/>
      <selection pane="bottomLeft" activeCell="A28" sqref="A28"/>
      <selection pane="bottomRight" activeCell="D48" sqref="D48"/>
    </sheetView>
  </sheetViews>
  <sheetFormatPr defaultColWidth="8.7265625" defaultRowHeight="14.5" x14ac:dyDescent="0.7"/>
  <cols>
    <col min="1" max="1" width="46" customWidth="1"/>
    <col min="2" max="2" width="4" customWidth="1"/>
    <col min="3" max="9" width="14" customWidth="1"/>
  </cols>
  <sheetData>
    <row r="1" spans="1:9" ht="21.75" customHeight="1" x14ac:dyDescent="0.95">
      <c r="A1" s="15" t="s">
        <v>43</v>
      </c>
    </row>
    <row r="2" spans="1:9" ht="15" customHeight="1" x14ac:dyDescent="0.7">
      <c r="A2" s="18" t="s">
        <v>44</v>
      </c>
    </row>
    <row r="4" spans="1:9" ht="15" customHeight="1" x14ac:dyDescent="0.7">
      <c r="A4" s="45" t="s">
        <v>45</v>
      </c>
    </row>
    <row r="5" spans="1:9" ht="15" customHeight="1" x14ac:dyDescent="0.7">
      <c r="A5" s="37" t="s">
        <v>46</v>
      </c>
      <c r="C5" s="14"/>
      <c r="D5" s="14"/>
      <c r="E5" s="14"/>
    </row>
    <row r="6" spans="1:9" ht="15" customHeight="1" x14ac:dyDescent="0.7">
      <c r="A6" s="37" t="s">
        <v>47</v>
      </c>
      <c r="C6" s="46" t="s">
        <v>48</v>
      </c>
    </row>
    <row r="7" spans="1:9" ht="15" customHeight="1" x14ac:dyDescent="0.7">
      <c r="A7" s="37" t="s">
        <v>49</v>
      </c>
      <c r="C7" s="47">
        <f>IFERROR(INDEX('Regler BFS 2026'!$B$30:$B$319,MATCH(C6,'Regler BFS 2026'!$A$30:$A$319,0)),"Välj kommun")</f>
        <v>1</v>
      </c>
    </row>
    <row r="8" spans="1:9" ht="15" customHeight="1" x14ac:dyDescent="0.7">
      <c r="A8" s="37" t="s">
        <v>50</v>
      </c>
      <c r="C8" s="48"/>
    </row>
    <row r="9" spans="1:9" ht="15" customHeight="1" x14ac:dyDescent="0.7">
      <c r="A9" s="37" t="s">
        <v>51</v>
      </c>
      <c r="C9" s="48"/>
    </row>
    <row r="10" spans="1:9" ht="15" customHeight="1" x14ac:dyDescent="0.7">
      <c r="A10" s="37" t="s">
        <v>52</v>
      </c>
      <c r="C10" s="49">
        <v>1</v>
      </c>
    </row>
    <row r="12" spans="1:9" ht="15.75" customHeight="1" x14ac:dyDescent="0.7">
      <c r="A12" s="50" t="s">
        <v>13</v>
      </c>
      <c r="B12" s="50"/>
      <c r="C12" s="51" t="s">
        <v>53</v>
      </c>
      <c r="D12" s="51" t="s">
        <v>54</v>
      </c>
      <c r="E12" s="51" t="s">
        <v>55</v>
      </c>
      <c r="F12" s="51" t="s">
        <v>56</v>
      </c>
      <c r="G12" s="51" t="s">
        <v>57</v>
      </c>
      <c r="H12" s="51" t="s">
        <v>58</v>
      </c>
      <c r="I12" s="51" t="s">
        <v>24</v>
      </c>
    </row>
    <row r="13" spans="1:9" ht="15" customHeight="1" x14ac:dyDescent="0.7">
      <c r="A13" s="37" t="s">
        <v>59</v>
      </c>
      <c r="C13" s="46"/>
      <c r="D13" s="46"/>
      <c r="E13" s="46"/>
      <c r="F13" s="46"/>
      <c r="G13" s="46"/>
      <c r="H13" s="46"/>
    </row>
    <row r="14" spans="1:9" ht="15" customHeight="1" x14ac:dyDescent="0.7">
      <c r="A14" s="37" t="s">
        <v>14</v>
      </c>
      <c r="C14" s="46"/>
      <c r="D14" s="46"/>
      <c r="E14" s="46"/>
      <c r="F14" s="46"/>
      <c r="G14" s="46"/>
      <c r="H14" s="46"/>
    </row>
    <row r="15" spans="1:9" ht="15" customHeight="1" x14ac:dyDescent="0.7">
      <c r="A15" s="37" t="s">
        <v>60</v>
      </c>
      <c r="C15" s="46"/>
      <c r="D15" s="46"/>
      <c r="E15" s="46"/>
      <c r="F15" s="46"/>
      <c r="G15" s="46"/>
      <c r="H15" s="46"/>
    </row>
    <row r="16" spans="1:9" ht="15" customHeight="1" x14ac:dyDescent="0.7">
      <c r="A16" s="37" t="s">
        <v>61</v>
      </c>
      <c r="C16" s="46" t="s">
        <v>62</v>
      </c>
      <c r="D16" s="46" t="s">
        <v>62</v>
      </c>
      <c r="E16" s="46" t="s">
        <v>62</v>
      </c>
      <c r="F16" s="46" t="s">
        <v>62</v>
      </c>
      <c r="G16" s="46" t="s">
        <v>62</v>
      </c>
      <c r="H16" s="46" t="s">
        <v>62</v>
      </c>
    </row>
    <row r="17" spans="1:9" ht="15" customHeight="1" x14ac:dyDescent="0.7">
      <c r="A17" s="37" t="s">
        <v>63</v>
      </c>
      <c r="C17" s="52"/>
      <c r="D17" s="52"/>
      <c r="E17" s="52"/>
      <c r="F17" s="52"/>
      <c r="G17" s="52"/>
      <c r="H17" s="52"/>
    </row>
    <row r="18" spans="1:9" ht="15" customHeight="1" x14ac:dyDescent="0.7">
      <c r="A18" s="37" t="s">
        <v>64</v>
      </c>
      <c r="C18" s="52"/>
      <c r="D18" s="52"/>
      <c r="E18" s="52"/>
      <c r="F18" s="52"/>
      <c r="G18" s="52"/>
      <c r="H18" s="52"/>
      <c r="I18" s="53">
        <f>SUM(C18:H18)</f>
        <v>0</v>
      </c>
    </row>
    <row r="20" spans="1:9" ht="15" customHeight="1" x14ac:dyDescent="0.7">
      <c r="A20" s="45" t="s">
        <v>65</v>
      </c>
    </row>
    <row r="21" spans="1:9" ht="15" customHeight="1" x14ac:dyDescent="0.7">
      <c r="A21" s="16" t="s">
        <v>66</v>
      </c>
      <c r="C21" s="54"/>
      <c r="D21" s="54"/>
      <c r="E21" s="54"/>
      <c r="F21" s="54"/>
      <c r="G21" s="54"/>
      <c r="H21" s="54"/>
      <c r="I21" s="55">
        <f>SUM(C21:H21)</f>
        <v>0</v>
      </c>
    </row>
    <row r="23" spans="1:9" ht="15" customHeight="1" x14ac:dyDescent="0.7">
      <c r="A23" s="45" t="s">
        <v>67</v>
      </c>
    </row>
    <row r="24" spans="1:9" ht="15" customHeight="1" x14ac:dyDescent="0.7">
      <c r="A24" s="37" t="s">
        <v>68</v>
      </c>
      <c r="C24" s="54"/>
      <c r="D24" s="54"/>
      <c r="E24" s="54"/>
      <c r="F24" s="54"/>
      <c r="G24" s="54"/>
      <c r="H24" s="54"/>
      <c r="I24" s="55">
        <f t="shared" ref="I24:I31" si="0">SUM(C24:H24)</f>
        <v>0</v>
      </c>
    </row>
    <row r="25" spans="1:9" ht="15" customHeight="1" x14ac:dyDescent="0.7">
      <c r="A25" s="37" t="s">
        <v>69</v>
      </c>
      <c r="C25" s="54"/>
      <c r="D25" s="54"/>
      <c r="E25" s="54"/>
      <c r="F25" s="54"/>
      <c r="G25" s="54"/>
      <c r="H25" s="54"/>
      <c r="I25" s="55">
        <f t="shared" si="0"/>
        <v>0</v>
      </c>
    </row>
    <row r="26" spans="1:9" ht="15" customHeight="1" x14ac:dyDescent="0.7">
      <c r="A26" s="37" t="s">
        <v>70</v>
      </c>
      <c r="C26" s="54"/>
      <c r="D26" s="54"/>
      <c r="E26" s="54"/>
      <c r="F26" s="54"/>
      <c r="G26" s="54"/>
      <c r="H26" s="54"/>
      <c r="I26" s="55">
        <f t="shared" si="0"/>
        <v>0</v>
      </c>
    </row>
    <row r="27" spans="1:9" ht="15" customHeight="1" x14ac:dyDescent="0.7">
      <c r="A27" s="37" t="s">
        <v>71</v>
      </c>
      <c r="C27" s="54"/>
      <c r="D27" s="54"/>
      <c r="E27" s="54"/>
      <c r="F27" s="54"/>
      <c r="G27" s="54"/>
      <c r="H27" s="54"/>
      <c r="I27" s="55">
        <f t="shared" si="0"/>
        <v>0</v>
      </c>
    </row>
    <row r="28" spans="1:9" ht="15" customHeight="1" x14ac:dyDescent="0.7">
      <c r="A28" s="37" t="s">
        <v>72</v>
      </c>
      <c r="C28" s="54"/>
      <c r="D28" s="54"/>
      <c r="E28" s="54"/>
      <c r="F28" s="54"/>
      <c r="G28" s="54"/>
      <c r="H28" s="54"/>
      <c r="I28" s="55">
        <f t="shared" si="0"/>
        <v>0</v>
      </c>
    </row>
    <row r="29" spans="1:9" ht="15" customHeight="1" x14ac:dyDescent="0.7">
      <c r="A29" s="37" t="s">
        <v>73</v>
      </c>
      <c r="C29" s="54"/>
      <c r="D29" s="54"/>
      <c r="E29" s="54"/>
      <c r="F29" s="54"/>
      <c r="G29" s="54"/>
      <c r="H29" s="54"/>
      <c r="I29" s="55">
        <f t="shared" si="0"/>
        <v>0</v>
      </c>
    </row>
    <row r="30" spans="1:9" ht="15" customHeight="1" x14ac:dyDescent="0.7">
      <c r="A30" s="37" t="s">
        <v>74</v>
      </c>
      <c r="C30" s="54"/>
      <c r="D30" s="54"/>
      <c r="E30" s="54"/>
      <c r="F30" s="54"/>
      <c r="G30" s="54"/>
      <c r="H30" s="54"/>
      <c r="I30" s="55">
        <f t="shared" si="0"/>
        <v>0</v>
      </c>
    </row>
    <row r="31" spans="1:9" ht="15" customHeight="1" x14ac:dyDescent="0.7">
      <c r="A31" s="37" t="s">
        <v>75</v>
      </c>
      <c r="C31" s="54"/>
      <c r="D31" s="54"/>
      <c r="E31" s="54"/>
      <c r="F31" s="54"/>
      <c r="G31" s="54"/>
      <c r="H31" s="54"/>
      <c r="I31" s="55">
        <f t="shared" si="0"/>
        <v>0</v>
      </c>
    </row>
    <row r="32" spans="1:9" ht="15" customHeight="1" x14ac:dyDescent="0.7">
      <c r="A32" s="16" t="s">
        <v>76</v>
      </c>
      <c r="C32" s="55">
        <f t="shared" ref="C32:I32" si="1">C21+SUM(C24:C31)</f>
        <v>0</v>
      </c>
      <c r="D32" s="55">
        <f t="shared" si="1"/>
        <v>0</v>
      </c>
      <c r="E32" s="55">
        <f t="shared" si="1"/>
        <v>0</v>
      </c>
      <c r="F32" s="55">
        <f t="shared" si="1"/>
        <v>0</v>
      </c>
      <c r="G32" s="55">
        <f t="shared" si="1"/>
        <v>0</v>
      </c>
      <c r="H32" s="55">
        <f t="shared" si="1"/>
        <v>0</v>
      </c>
      <c r="I32" s="55">
        <f t="shared" si="1"/>
        <v>0</v>
      </c>
    </row>
    <row r="33" spans="1:9" ht="15" customHeight="1" x14ac:dyDescent="0.7">
      <c r="A33" s="37" t="s">
        <v>77</v>
      </c>
      <c r="C33" s="56">
        <f t="shared" ref="C33:I33" si="2">IFERROR(C32/$I$32,0)</f>
        <v>0</v>
      </c>
      <c r="D33" s="56">
        <f t="shared" si="2"/>
        <v>0</v>
      </c>
      <c r="E33" s="56">
        <f t="shared" si="2"/>
        <v>0</v>
      </c>
      <c r="F33" s="56">
        <f t="shared" si="2"/>
        <v>0</v>
      </c>
      <c r="G33" s="56">
        <f t="shared" si="2"/>
        <v>0</v>
      </c>
      <c r="H33" s="56">
        <f t="shared" si="2"/>
        <v>0</v>
      </c>
      <c r="I33" s="56">
        <f t="shared" si="2"/>
        <v>0</v>
      </c>
    </row>
    <row r="35" spans="1:9" ht="15" customHeight="1" x14ac:dyDescent="0.7">
      <c r="A35" s="45" t="s">
        <v>78</v>
      </c>
    </row>
    <row r="36" spans="1:9" ht="15" customHeight="1" x14ac:dyDescent="0.7">
      <c r="A36" s="18" t="s">
        <v>79</v>
      </c>
    </row>
    <row r="37" spans="1:9" ht="15" customHeight="1" x14ac:dyDescent="0.7">
      <c r="A37" s="37" t="s">
        <v>80</v>
      </c>
      <c r="C37" s="56">
        <f t="shared" ref="C37:H37" si="3">IFERROR(C32/$I$32,0)</f>
        <v>0</v>
      </c>
      <c r="D37" s="56">
        <f t="shared" si="3"/>
        <v>0</v>
      </c>
      <c r="E37" s="56">
        <f t="shared" si="3"/>
        <v>0</v>
      </c>
      <c r="F37" s="56">
        <f t="shared" si="3"/>
        <v>0</v>
      </c>
      <c r="G37" s="56">
        <f t="shared" si="3"/>
        <v>0</v>
      </c>
      <c r="H37" s="56">
        <f t="shared" si="3"/>
        <v>0</v>
      </c>
      <c r="I37" s="56">
        <f t="shared" ref="I37:I44" si="4">SUM(C37:H37)</f>
        <v>0</v>
      </c>
    </row>
    <row r="38" spans="1:9" ht="15" customHeight="1" x14ac:dyDescent="0.7">
      <c r="A38" s="37" t="s">
        <v>81</v>
      </c>
      <c r="C38" s="57"/>
      <c r="D38" s="57"/>
      <c r="E38" s="57"/>
      <c r="F38" s="57"/>
      <c r="G38" s="57"/>
      <c r="H38" s="57"/>
      <c r="I38" s="56">
        <f t="shared" si="4"/>
        <v>0</v>
      </c>
    </row>
    <row r="39" spans="1:9" ht="15" customHeight="1" x14ac:dyDescent="0.7">
      <c r="A39" s="37" t="s">
        <v>82</v>
      </c>
      <c r="C39" s="56">
        <f t="shared" ref="C39:H39" si="5">IF(C38="",C37,C38)</f>
        <v>0</v>
      </c>
      <c r="D39" s="56">
        <f t="shared" si="5"/>
        <v>0</v>
      </c>
      <c r="E39" s="56">
        <f t="shared" si="5"/>
        <v>0</v>
      </c>
      <c r="F39" s="56">
        <f t="shared" si="5"/>
        <v>0</v>
      </c>
      <c r="G39" s="56">
        <f t="shared" si="5"/>
        <v>0</v>
      </c>
      <c r="H39" s="56">
        <f t="shared" si="5"/>
        <v>0</v>
      </c>
      <c r="I39" s="56">
        <f t="shared" si="4"/>
        <v>0</v>
      </c>
    </row>
    <row r="40" spans="1:9" ht="15" customHeight="1" x14ac:dyDescent="0.7">
      <c r="A40" s="37" t="s">
        <v>83</v>
      </c>
      <c r="C40" s="56">
        <f t="shared" ref="C40:H40" si="6">IF($I$18&gt;0,IFERROR(C18/$I$18,0),IFERROR(C32/$I$32,0))</f>
        <v>0</v>
      </c>
      <c r="D40" s="56">
        <f t="shared" si="6"/>
        <v>0</v>
      </c>
      <c r="E40" s="56">
        <f t="shared" si="6"/>
        <v>0</v>
      </c>
      <c r="F40" s="56">
        <f t="shared" si="6"/>
        <v>0</v>
      </c>
      <c r="G40" s="56">
        <f t="shared" si="6"/>
        <v>0</v>
      </c>
      <c r="H40" s="56">
        <f t="shared" si="6"/>
        <v>0</v>
      </c>
      <c r="I40" s="56">
        <f t="shared" si="4"/>
        <v>0</v>
      </c>
    </row>
    <row r="41" spans="1:9" ht="15" customHeight="1" x14ac:dyDescent="0.7">
      <c r="A41" s="37" t="s">
        <v>84</v>
      </c>
      <c r="C41" s="57"/>
      <c r="D41" s="57"/>
      <c r="E41" s="57"/>
      <c r="F41" s="57"/>
      <c r="G41" s="57"/>
      <c r="H41" s="57"/>
      <c r="I41" s="56">
        <f t="shared" si="4"/>
        <v>0</v>
      </c>
    </row>
    <row r="42" spans="1:9" ht="15" customHeight="1" x14ac:dyDescent="0.7">
      <c r="A42" s="37" t="s">
        <v>85</v>
      </c>
      <c r="C42" s="56">
        <f t="shared" ref="C42:H42" si="7">IF(C41="",C40,C41)</f>
        <v>0</v>
      </c>
      <c r="D42" s="56">
        <f t="shared" si="7"/>
        <v>0</v>
      </c>
      <c r="E42" s="56">
        <f t="shared" si="7"/>
        <v>0</v>
      </c>
      <c r="F42" s="56">
        <f t="shared" si="7"/>
        <v>0</v>
      </c>
      <c r="G42" s="56">
        <f t="shared" si="7"/>
        <v>0</v>
      </c>
      <c r="H42" s="56">
        <f t="shared" si="7"/>
        <v>0</v>
      </c>
      <c r="I42" s="56">
        <f t="shared" si="4"/>
        <v>0</v>
      </c>
    </row>
    <row r="43" spans="1:9" ht="15" customHeight="1" x14ac:dyDescent="0.7">
      <c r="A43" s="37" t="s">
        <v>86</v>
      </c>
      <c r="C43" s="56">
        <f t="shared" ref="C43:H43" si="8">IFERROR(C32/$I$32,0)</f>
        <v>0</v>
      </c>
      <c r="D43" s="56">
        <f t="shared" si="8"/>
        <v>0</v>
      </c>
      <c r="E43" s="56">
        <f t="shared" si="8"/>
        <v>0</v>
      </c>
      <c r="F43" s="56">
        <f t="shared" si="8"/>
        <v>0</v>
      </c>
      <c r="G43" s="56">
        <f t="shared" si="8"/>
        <v>0</v>
      </c>
      <c r="H43" s="56">
        <f t="shared" si="8"/>
        <v>0</v>
      </c>
      <c r="I43" s="56">
        <f t="shared" si="4"/>
        <v>0</v>
      </c>
    </row>
    <row r="44" spans="1:9" ht="15" customHeight="1" x14ac:dyDescent="0.7">
      <c r="A44" s="37" t="s">
        <v>87</v>
      </c>
      <c r="C44" s="56">
        <f t="shared" ref="C44:H44" si="9">IF($I$21&gt;0,IFERROR(C21/$I$21,0),C43)</f>
        <v>0</v>
      </c>
      <c r="D44" s="56">
        <f t="shared" si="9"/>
        <v>0</v>
      </c>
      <c r="E44" s="56">
        <f t="shared" si="9"/>
        <v>0</v>
      </c>
      <c r="F44" s="56">
        <f t="shared" si="9"/>
        <v>0</v>
      </c>
      <c r="G44" s="56">
        <f t="shared" si="9"/>
        <v>0</v>
      </c>
      <c r="H44" s="56">
        <f t="shared" si="9"/>
        <v>0</v>
      </c>
      <c r="I44" s="56">
        <f t="shared" si="4"/>
        <v>0</v>
      </c>
    </row>
    <row r="46" spans="1:9" ht="15" customHeight="1" x14ac:dyDescent="0.7">
      <c r="A46" s="45" t="s">
        <v>88</v>
      </c>
    </row>
    <row r="47" spans="1:9" ht="15" customHeight="1" x14ac:dyDescent="0.7">
      <c r="A47" s="37" t="s">
        <v>89</v>
      </c>
      <c r="C47" s="58">
        <f>El!C128</f>
        <v>815.80556146625997</v>
      </c>
      <c r="D47" s="58">
        <f>El!D128</f>
        <v>0</v>
      </c>
      <c r="E47" s="58">
        <f>El!E128</f>
        <v>0</v>
      </c>
      <c r="F47" s="58">
        <f>El!F128</f>
        <v>0</v>
      </c>
      <c r="G47" s="58">
        <f>El!G128</f>
        <v>0</v>
      </c>
      <c r="H47" s="58">
        <f>El!H128</f>
        <v>0</v>
      </c>
      <c r="I47" s="55">
        <f>SUM(C47:H47)</f>
        <v>815.80556146625997</v>
      </c>
    </row>
    <row r="48" spans="1:9" ht="15" customHeight="1" x14ac:dyDescent="0.7">
      <c r="A48" s="37" t="s">
        <v>90</v>
      </c>
      <c r="C48" s="58">
        <f>El!C132</f>
        <v>0</v>
      </c>
      <c r="D48" s="58">
        <f>El!D132</f>
        <v>0</v>
      </c>
      <c r="E48" s="58">
        <f>El!E132</f>
        <v>0</v>
      </c>
      <c r="F48" s="58">
        <f>El!F132</f>
        <v>0</v>
      </c>
      <c r="G48" s="58">
        <f>El!G132</f>
        <v>0</v>
      </c>
      <c r="H48" s="58">
        <f>El!H132</f>
        <v>0</v>
      </c>
      <c r="I48" s="55">
        <f>SUM(C48:H48)</f>
        <v>0</v>
      </c>
    </row>
    <row r="50" spans="1:8" ht="15" customHeight="1" x14ac:dyDescent="0.7">
      <c r="A50" s="45" t="s">
        <v>91</v>
      </c>
    </row>
    <row r="51" spans="1:8" ht="15" customHeight="1" x14ac:dyDescent="0.7">
      <c r="A51" s="37" t="s">
        <v>92</v>
      </c>
      <c r="C51" s="52"/>
      <c r="D51" s="52"/>
      <c r="E51" s="52"/>
      <c r="F51" s="52"/>
      <c r="G51" s="52"/>
      <c r="H51" s="52"/>
    </row>
    <row r="52" spans="1:8" ht="15" customHeight="1" x14ac:dyDescent="0.7">
      <c r="A52" s="37" t="s">
        <v>93</v>
      </c>
      <c r="C52" s="46"/>
      <c r="D52" s="46"/>
      <c r="E52" s="46"/>
      <c r="F52" s="46"/>
      <c r="G52" s="46"/>
      <c r="H52" s="46"/>
    </row>
    <row r="61" spans="1:8" ht="15" customHeight="1" x14ac:dyDescent="0.7"/>
    <row r="62" spans="1:8" ht="15" customHeight="1" x14ac:dyDescent="0.7"/>
    <row r="63" spans="1:8" ht="15" customHeight="1" x14ac:dyDescent="0.7"/>
  </sheetData>
  <mergeCells count="1">
    <mergeCell ref="C5:E5"/>
  </mergeCell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2">
        <x14:dataValidation type="list" xr:uid="{00000000-0002-0000-0200-000000000000}">
          <x14:formula1>
            <xm:f>'Regler BFS 2026'!$A$30:$A$319</xm:f>
          </x14:formula1>
          <x14:formula2>
            <xm:f>0</xm:f>
          </x14:formula2>
          <xm:sqref>C6</xm:sqref>
        </x14:dataValidation>
        <x14:dataValidation type="list" allowBlank="1" xr:uid="{00000000-0002-0000-0200-000001000000}">
          <x14:formula1>
            <xm:f>'Regler BFS 2026'!$A$25:$A$26</xm:f>
          </x14:formula1>
          <x14:formula2>
            <xm:f>0</xm:f>
          </x14:formula2>
          <xm:sqref>C16:H16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1"/>
  <sheetViews>
    <sheetView tabSelected="1" zoomScale="55" zoomScaleNormal="55" workbookViewId="0">
      <pane xSplit="2" ySplit="4" topLeftCell="C5" activePane="bottomRight" state="frozen"/>
      <selection pane="topRight" activeCell="C1" sqref="C1"/>
      <selection pane="bottomLeft" activeCell="A5" sqref="A5"/>
      <selection pane="bottomRight"/>
    </sheetView>
  </sheetViews>
  <sheetFormatPr defaultColWidth="8.6796875" defaultRowHeight="14.5" x14ac:dyDescent="0.7"/>
  <cols>
    <col min="1" max="1" width="44" customWidth="1"/>
    <col min="2" max="2" width="3" customWidth="1"/>
    <col min="3" max="8" width="24" customWidth="1"/>
  </cols>
  <sheetData>
    <row r="1" spans="1:8" ht="21.75" customHeight="1" x14ac:dyDescent="0.95">
      <c r="A1" s="15" t="s">
        <v>94</v>
      </c>
    </row>
    <row r="2" spans="1:8" ht="15" customHeight="1" x14ac:dyDescent="0.7">
      <c r="A2" s="18" t="s">
        <v>95</v>
      </c>
    </row>
    <row r="4" spans="1:8" ht="15" customHeight="1" x14ac:dyDescent="0.7">
      <c r="A4" s="16" t="s">
        <v>13</v>
      </c>
      <c r="C4" s="16" t="str">
        <f>Byggnader!C12</f>
        <v>Byggnad 1</v>
      </c>
      <c r="D4" s="16" t="str">
        <f>Byggnader!D12</f>
        <v>Byggnad 2</v>
      </c>
      <c r="E4" s="16" t="str">
        <f>Byggnader!E12</f>
        <v>Byggnad 3</v>
      </c>
      <c r="F4" s="16" t="str">
        <f>Byggnader!F12</f>
        <v>Byggnad 4</v>
      </c>
      <c r="G4" s="16" t="str">
        <f>Byggnader!G12</f>
        <v>Byggnad 5</v>
      </c>
      <c r="H4" s="16" t="str">
        <f>Byggnader!H12</f>
        <v>Byggnad 6</v>
      </c>
    </row>
    <row r="5" spans="1:8" ht="15" customHeight="1" x14ac:dyDescent="0.7">
      <c r="A5" s="37" t="s">
        <v>96</v>
      </c>
      <c r="C5" s="59"/>
      <c r="D5" s="59"/>
      <c r="E5" s="59"/>
      <c r="F5" s="59"/>
      <c r="G5" s="59"/>
      <c r="H5" s="59"/>
    </row>
    <row r="6" spans="1:8" ht="15" customHeight="1" x14ac:dyDescent="0.7">
      <c r="A6" s="37" t="s">
        <v>97</v>
      </c>
      <c r="C6" s="59"/>
      <c r="D6" s="59"/>
      <c r="E6" s="59"/>
      <c r="F6" s="59"/>
      <c r="G6" s="59"/>
      <c r="H6" s="59"/>
    </row>
    <row r="7" spans="1:8" ht="15" customHeight="1" x14ac:dyDescent="0.7">
      <c r="A7" s="37" t="s">
        <v>98</v>
      </c>
      <c r="C7" s="59"/>
      <c r="D7" s="59"/>
      <c r="E7" s="59"/>
      <c r="F7" s="59"/>
      <c r="G7" s="59"/>
      <c r="H7" s="59"/>
    </row>
    <row r="8" spans="1:8" ht="15" customHeight="1" x14ac:dyDescent="0.7">
      <c r="A8" s="37" t="s">
        <v>99</v>
      </c>
      <c r="C8" s="59"/>
      <c r="D8" s="59"/>
      <c r="E8" s="59"/>
      <c r="F8" s="59"/>
      <c r="G8" s="59"/>
      <c r="H8" s="59"/>
    </row>
    <row r="9" spans="1:8" ht="15" customHeight="1" x14ac:dyDescent="0.7">
      <c r="A9" s="37" t="s">
        <v>47</v>
      </c>
      <c r="C9" s="59"/>
      <c r="D9" s="59"/>
      <c r="E9" s="59"/>
      <c r="F9" s="59"/>
      <c r="G9" s="59"/>
      <c r="H9" s="59"/>
    </row>
    <row r="10" spans="1:8" ht="15" customHeight="1" x14ac:dyDescent="0.7">
      <c r="A10" s="37" t="s">
        <v>46</v>
      </c>
      <c r="C10" s="59"/>
      <c r="D10" s="59"/>
      <c r="E10" s="59"/>
      <c r="F10" s="59"/>
      <c r="G10" s="59"/>
      <c r="H10" s="59"/>
    </row>
    <row r="11" spans="1:8" ht="15" customHeight="1" x14ac:dyDescent="0.7">
      <c r="A11" s="37" t="s">
        <v>59</v>
      </c>
      <c r="C11" s="59"/>
      <c r="D11" s="59"/>
      <c r="E11" s="59"/>
      <c r="F11" s="59"/>
      <c r="G11" s="59"/>
      <c r="H11" s="59"/>
    </row>
    <row r="12" spans="1:8" ht="15" customHeight="1" x14ac:dyDescent="0.7">
      <c r="A12" s="37" t="s">
        <v>100</v>
      </c>
      <c r="C12" s="59"/>
      <c r="D12" s="59"/>
      <c r="E12" s="59"/>
      <c r="F12" s="59"/>
      <c r="G12" s="59"/>
      <c r="H12" s="59"/>
    </row>
    <row r="13" spans="1:8" ht="15" customHeight="1" x14ac:dyDescent="0.7">
      <c r="A13" s="37" t="s">
        <v>101</v>
      </c>
      <c r="C13" s="59"/>
      <c r="D13" s="59"/>
      <c r="E13" s="59"/>
      <c r="F13" s="59"/>
      <c r="G13" s="59"/>
      <c r="H13" s="59"/>
    </row>
    <row r="14" spans="1:8" ht="15" customHeight="1" x14ac:dyDescent="0.7">
      <c r="A14" s="37" t="s">
        <v>102</v>
      </c>
      <c r="C14" s="59"/>
      <c r="D14" s="59"/>
      <c r="E14" s="59"/>
      <c r="F14" s="59"/>
      <c r="G14" s="59"/>
      <c r="H14" s="59"/>
    </row>
    <row r="15" spans="1:8" ht="15" customHeight="1" x14ac:dyDescent="0.7">
      <c r="A15" s="37" t="s">
        <v>103</v>
      </c>
      <c r="C15" s="59"/>
      <c r="D15" s="59"/>
      <c r="E15" s="59"/>
      <c r="F15" s="59"/>
      <c r="G15" s="59"/>
      <c r="H15" s="59"/>
    </row>
    <row r="16" spans="1:8" ht="15" customHeight="1" x14ac:dyDescent="0.7">
      <c r="A16" s="37" t="s">
        <v>104</v>
      </c>
      <c r="C16" s="59"/>
      <c r="D16" s="59"/>
      <c r="E16" s="59"/>
      <c r="F16" s="59"/>
      <c r="G16" s="59"/>
      <c r="H16" s="59"/>
    </row>
    <row r="17" spans="1:8" ht="15" customHeight="1" x14ac:dyDescent="0.7">
      <c r="A17" s="37" t="s">
        <v>105</v>
      </c>
      <c r="C17" s="59"/>
      <c r="D17" s="59"/>
      <c r="E17" s="59"/>
      <c r="F17" s="59"/>
      <c r="G17" s="59"/>
      <c r="H17" s="59"/>
    </row>
    <row r="18" spans="1:8" ht="15" customHeight="1" x14ac:dyDescent="0.7">
      <c r="A18" s="37" t="s">
        <v>106</v>
      </c>
      <c r="C18" s="59"/>
      <c r="D18" s="59"/>
      <c r="E18" s="59"/>
      <c r="F18" s="59"/>
      <c r="G18" s="59"/>
      <c r="H18" s="59"/>
    </row>
    <row r="19" spans="1:8" ht="15" customHeight="1" x14ac:dyDescent="0.7">
      <c r="A19" s="37" t="s">
        <v>63</v>
      </c>
      <c r="C19" s="59"/>
      <c r="D19" s="59"/>
      <c r="E19" s="59"/>
      <c r="F19" s="59"/>
      <c r="G19" s="59"/>
      <c r="H19" s="59"/>
    </row>
    <row r="20" spans="1:8" ht="15" customHeight="1" x14ac:dyDescent="0.7">
      <c r="A20" s="37" t="s">
        <v>107</v>
      </c>
      <c r="C20" s="59"/>
      <c r="D20" s="59"/>
      <c r="E20" s="59"/>
      <c r="F20" s="59"/>
      <c r="G20" s="59"/>
      <c r="H20" s="59"/>
    </row>
    <row r="21" spans="1:8" ht="15" customHeight="1" x14ac:dyDescent="0.7">
      <c r="A21" s="37" t="s">
        <v>108</v>
      </c>
      <c r="C21" s="59"/>
      <c r="D21" s="59"/>
      <c r="E21" s="59"/>
      <c r="F21" s="59"/>
      <c r="G21" s="59"/>
      <c r="H21" s="59"/>
    </row>
    <row r="22" spans="1:8" ht="15" customHeight="1" x14ac:dyDescent="0.7">
      <c r="A22" s="37" t="s">
        <v>109</v>
      </c>
      <c r="C22" s="59"/>
      <c r="D22" s="59"/>
      <c r="E22" s="59"/>
      <c r="F22" s="59"/>
      <c r="G22" s="59"/>
      <c r="H22" s="59"/>
    </row>
    <row r="23" spans="1:8" ht="15" customHeight="1" x14ac:dyDescent="0.7">
      <c r="A23" s="37" t="s">
        <v>110</v>
      </c>
      <c r="C23" s="59"/>
      <c r="D23" s="59"/>
      <c r="E23" s="59"/>
      <c r="F23" s="59"/>
      <c r="G23" s="59"/>
      <c r="H23" s="59"/>
    </row>
    <row r="24" spans="1:8" ht="15" customHeight="1" x14ac:dyDescent="0.7">
      <c r="A24" s="37" t="s">
        <v>111</v>
      </c>
      <c r="C24" s="59"/>
      <c r="D24" s="59"/>
      <c r="E24" s="59"/>
      <c r="F24" s="59"/>
      <c r="G24" s="59"/>
      <c r="H24" s="59"/>
    </row>
    <row r="25" spans="1:8" ht="15" customHeight="1" x14ac:dyDescent="0.7">
      <c r="A25" s="37" t="s">
        <v>64</v>
      </c>
      <c r="C25" s="59"/>
      <c r="D25" s="59"/>
      <c r="E25" s="59"/>
      <c r="F25" s="59"/>
      <c r="G25" s="59"/>
      <c r="H25" s="59"/>
    </row>
    <row r="26" spans="1:8" ht="15" customHeight="1" x14ac:dyDescent="0.7">
      <c r="A26" s="37" t="s">
        <v>112</v>
      </c>
      <c r="C26" s="59"/>
      <c r="D26" s="59"/>
      <c r="E26" s="59"/>
      <c r="F26" s="59"/>
      <c r="G26" s="59"/>
      <c r="H26" s="59"/>
    </row>
    <row r="27" spans="1:8" ht="15" customHeight="1" x14ac:dyDescent="0.7">
      <c r="A27" s="37" t="s">
        <v>113</v>
      </c>
      <c r="C27" s="59"/>
      <c r="D27" s="59"/>
      <c r="E27" s="59"/>
      <c r="F27" s="59"/>
      <c r="G27" s="59"/>
      <c r="H27" s="59"/>
    </row>
    <row r="28" spans="1:8" ht="15" customHeight="1" x14ac:dyDescent="0.7">
      <c r="A28" s="37" t="s">
        <v>114</v>
      </c>
      <c r="C28" s="59"/>
      <c r="D28" s="59"/>
      <c r="E28" s="59"/>
      <c r="F28" s="59"/>
      <c r="G28" s="59"/>
      <c r="H28" s="59"/>
    </row>
    <row r="29" spans="1:8" ht="15" customHeight="1" x14ac:dyDescent="0.7">
      <c r="A29" s="37" t="s">
        <v>115</v>
      </c>
      <c r="C29" s="59"/>
      <c r="D29" s="59"/>
      <c r="E29" s="59"/>
      <c r="F29" s="59"/>
      <c r="G29" s="59"/>
      <c r="H29" s="59"/>
    </row>
    <row r="30" spans="1:8" ht="15" customHeight="1" x14ac:dyDescent="0.7">
      <c r="A30" s="37" t="s">
        <v>116</v>
      </c>
      <c r="C30" s="59"/>
      <c r="D30" s="59"/>
      <c r="E30" s="59"/>
      <c r="F30" s="59"/>
      <c r="G30" s="59"/>
      <c r="H30" s="59"/>
    </row>
    <row r="31" spans="1:8" ht="15" customHeight="1" x14ac:dyDescent="0.7">
      <c r="A31" s="37" t="s">
        <v>117</v>
      </c>
      <c r="C31" s="59"/>
      <c r="D31" s="59"/>
      <c r="E31" s="59"/>
      <c r="F31" s="59"/>
      <c r="G31" s="59"/>
      <c r="H31" s="59"/>
    </row>
    <row r="32" spans="1:8" ht="15" customHeight="1" x14ac:dyDescent="0.7">
      <c r="A32" s="37" t="s">
        <v>118</v>
      </c>
      <c r="C32" s="59"/>
      <c r="D32" s="59"/>
      <c r="E32" s="59"/>
      <c r="F32" s="59"/>
      <c r="G32" s="59"/>
      <c r="H32" s="59"/>
    </row>
    <row r="33" spans="1:8" ht="15" customHeight="1" x14ac:dyDescent="0.7">
      <c r="A33" s="37" t="s">
        <v>119</v>
      </c>
      <c r="C33" s="59"/>
      <c r="D33" s="59"/>
      <c r="E33" s="59"/>
      <c r="F33" s="59"/>
      <c r="G33" s="59"/>
      <c r="H33" s="59"/>
    </row>
    <row r="34" spans="1:8" ht="15" customHeight="1" x14ac:dyDescent="0.7">
      <c r="A34" s="37" t="s">
        <v>120</v>
      </c>
      <c r="C34" s="59"/>
      <c r="D34" s="59"/>
      <c r="E34" s="59"/>
      <c r="F34" s="59"/>
      <c r="G34" s="59"/>
      <c r="H34" s="59"/>
    </row>
    <row r="35" spans="1:8" ht="15" customHeight="1" x14ac:dyDescent="0.7">
      <c r="A35" s="37" t="s">
        <v>121</v>
      </c>
      <c r="C35" s="59"/>
      <c r="D35" s="59"/>
      <c r="E35" s="59"/>
      <c r="F35" s="59"/>
      <c r="G35" s="59"/>
      <c r="H35" s="59"/>
    </row>
    <row r="36" spans="1:8" ht="15" customHeight="1" x14ac:dyDescent="0.7">
      <c r="A36" s="37" t="s">
        <v>122</v>
      </c>
      <c r="C36" s="59"/>
      <c r="D36" s="59"/>
      <c r="E36" s="59"/>
      <c r="F36" s="59"/>
      <c r="G36" s="59"/>
      <c r="H36" s="59"/>
    </row>
    <row r="37" spans="1:8" ht="15" customHeight="1" x14ac:dyDescent="0.7">
      <c r="A37" s="37" t="s">
        <v>123</v>
      </c>
      <c r="C37" s="59"/>
      <c r="D37" s="59"/>
      <c r="E37" s="59"/>
      <c r="F37" s="59"/>
      <c r="G37" s="59"/>
      <c r="H37" s="59"/>
    </row>
    <row r="38" spans="1:8" ht="15" customHeight="1" x14ac:dyDescent="0.7">
      <c r="A38" s="37" t="s">
        <v>124</v>
      </c>
      <c r="C38" s="59"/>
      <c r="D38" s="59"/>
      <c r="E38" s="59"/>
      <c r="F38" s="59"/>
      <c r="G38" s="59"/>
      <c r="H38" s="59"/>
    </row>
    <row r="39" spans="1:8" ht="15" customHeight="1" x14ac:dyDescent="0.7">
      <c r="A39" s="37" t="s">
        <v>125</v>
      </c>
      <c r="C39" s="59"/>
      <c r="D39" s="59"/>
      <c r="E39" s="59"/>
      <c r="F39" s="59"/>
      <c r="G39" s="59"/>
      <c r="H39" s="59"/>
    </row>
    <row r="40" spans="1:8" ht="15" customHeight="1" x14ac:dyDescent="0.7">
      <c r="A40" s="37" t="s">
        <v>126</v>
      </c>
      <c r="C40" s="59"/>
      <c r="D40" s="59"/>
      <c r="E40" s="59"/>
      <c r="F40" s="59"/>
      <c r="G40" s="59"/>
      <c r="H40" s="59"/>
    </row>
    <row r="41" spans="1:8" ht="15" customHeight="1" x14ac:dyDescent="0.7">
      <c r="A41" s="37" t="s">
        <v>127</v>
      </c>
      <c r="C41" s="59"/>
      <c r="D41" s="59"/>
      <c r="E41" s="59"/>
      <c r="F41" s="59"/>
      <c r="G41" s="59"/>
      <c r="H41" s="59"/>
    </row>
    <row r="42" spans="1:8" ht="15" customHeight="1" x14ac:dyDescent="0.7">
      <c r="A42" s="37" t="s">
        <v>93</v>
      </c>
      <c r="C42" s="59"/>
      <c r="D42" s="59"/>
      <c r="E42" s="59"/>
      <c r="F42" s="59"/>
      <c r="G42" s="59"/>
      <c r="H42" s="59"/>
    </row>
    <row r="43" spans="1:8" ht="15" customHeight="1" x14ac:dyDescent="0.7">
      <c r="A43" s="37" t="s">
        <v>128</v>
      </c>
      <c r="C43" s="59"/>
      <c r="D43" s="59"/>
      <c r="E43" s="59"/>
      <c r="F43" s="59"/>
      <c r="G43" s="59"/>
      <c r="H43" s="59"/>
    </row>
    <row r="44" spans="1:8" ht="15" customHeight="1" x14ac:dyDescent="0.7">
      <c r="A44" s="37" t="s">
        <v>129</v>
      </c>
      <c r="C44" s="59"/>
      <c r="D44" s="59"/>
      <c r="E44" s="59"/>
      <c r="F44" s="59"/>
      <c r="G44" s="59"/>
      <c r="H44" s="59"/>
    </row>
    <row r="45" spans="1:8" ht="15" customHeight="1" x14ac:dyDescent="0.7">
      <c r="A45" s="37" t="s">
        <v>130</v>
      </c>
      <c r="C45" s="59"/>
      <c r="D45" s="59"/>
      <c r="E45" s="59"/>
      <c r="F45" s="59"/>
      <c r="G45" s="59"/>
      <c r="H45" s="59"/>
    </row>
    <row r="46" spans="1:8" ht="15" customHeight="1" x14ac:dyDescent="0.7">
      <c r="A46" s="37" t="s">
        <v>131</v>
      </c>
      <c r="C46" s="59"/>
      <c r="D46" s="59"/>
      <c r="E46" s="59"/>
      <c r="F46" s="59"/>
      <c r="G46" s="59"/>
      <c r="H46" s="59"/>
    </row>
    <row r="47" spans="1:8" ht="15" customHeight="1" x14ac:dyDescent="0.7">
      <c r="A47" s="37" t="s">
        <v>132</v>
      </c>
      <c r="C47" s="59"/>
      <c r="D47" s="59"/>
      <c r="E47" s="59"/>
      <c r="F47" s="59"/>
      <c r="G47" s="59"/>
      <c r="H47" s="59"/>
    </row>
    <row r="48" spans="1:8" ht="15" customHeight="1" x14ac:dyDescent="0.7">
      <c r="A48" s="37" t="s">
        <v>133</v>
      </c>
      <c r="C48" s="59"/>
      <c r="D48" s="59"/>
      <c r="E48" s="59"/>
      <c r="F48" s="59"/>
      <c r="G48" s="59"/>
      <c r="H48" s="59"/>
    </row>
    <row r="49" spans="1:8" ht="15" customHeight="1" x14ac:dyDescent="0.7">
      <c r="A49" s="37" t="s">
        <v>134</v>
      </c>
      <c r="C49" s="59"/>
      <c r="D49" s="59"/>
      <c r="E49" s="59"/>
      <c r="F49" s="59"/>
      <c r="G49" s="59"/>
      <c r="H49" s="59"/>
    </row>
    <row r="50" spans="1:8" ht="15" customHeight="1" x14ac:dyDescent="0.7">
      <c r="A50" s="37" t="s">
        <v>38</v>
      </c>
      <c r="C50" s="59"/>
      <c r="D50" s="59"/>
      <c r="E50" s="59"/>
      <c r="F50" s="59"/>
      <c r="G50" s="59"/>
      <c r="H50" s="59"/>
    </row>
    <row r="51" spans="1:8" ht="15" customHeight="1" x14ac:dyDescent="0.7">
      <c r="A51" s="37" t="s">
        <v>135</v>
      </c>
      <c r="C51" s="59"/>
      <c r="D51" s="59"/>
      <c r="E51" s="59"/>
      <c r="F51" s="59"/>
      <c r="G51" s="59"/>
      <c r="H51" s="59"/>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70"/>
  <sheetViews>
    <sheetView zoomScale="85" zoomScaleNormal="85" workbookViewId="0">
      <pane ySplit="5" topLeftCell="A6" activePane="bottomLeft" state="frozen"/>
      <selection pane="bottomLeft" activeCell="H2" sqref="H2:U21"/>
    </sheetView>
  </sheetViews>
  <sheetFormatPr defaultColWidth="8.7265625" defaultRowHeight="14.5" x14ac:dyDescent="0.7"/>
  <cols>
    <col min="1" max="1" width="46" customWidth="1"/>
    <col min="2" max="2" width="24" customWidth="1"/>
    <col min="3" max="3" width="30" customWidth="1"/>
    <col min="4" max="5" width="14" customWidth="1"/>
    <col min="6" max="6" width="40" customWidth="1"/>
    <col min="9" max="9" width="10.40625" customWidth="1"/>
    <col min="12" max="12" width="12.40625" customWidth="1"/>
  </cols>
  <sheetData>
    <row r="1" spans="1:6" ht="21.75" customHeight="1" x14ac:dyDescent="0.95">
      <c r="A1" s="15" t="s">
        <v>136</v>
      </c>
    </row>
    <row r="2" spans="1:6" ht="15" customHeight="1" x14ac:dyDescent="0.7">
      <c r="A2" s="18" t="s">
        <v>137</v>
      </c>
    </row>
    <row r="4" spans="1:6" ht="15" customHeight="1" x14ac:dyDescent="0.7">
      <c r="A4" s="45" t="s">
        <v>138</v>
      </c>
    </row>
    <row r="5" spans="1:6" ht="25.5" customHeight="1" x14ac:dyDescent="0.7">
      <c r="A5" s="50" t="s">
        <v>139</v>
      </c>
      <c r="B5" s="50" t="s">
        <v>140</v>
      </c>
      <c r="C5" s="50" t="s">
        <v>141</v>
      </c>
      <c r="D5" s="50" t="s">
        <v>142</v>
      </c>
      <c r="E5" s="50" t="s">
        <v>143</v>
      </c>
      <c r="F5" s="50" t="s">
        <v>38</v>
      </c>
    </row>
    <row r="6" spans="1:6" ht="15" customHeight="1" x14ac:dyDescent="0.7">
      <c r="A6" s="46"/>
      <c r="B6" s="46"/>
      <c r="C6" s="46"/>
      <c r="D6" s="46"/>
      <c r="E6" s="54"/>
      <c r="F6" s="46"/>
    </row>
    <row r="7" spans="1:6" ht="15" customHeight="1" x14ac:dyDescent="0.7">
      <c r="A7" s="46"/>
      <c r="B7" s="46"/>
      <c r="C7" s="46"/>
      <c r="D7" s="46"/>
      <c r="E7" s="54"/>
      <c r="F7" s="46"/>
    </row>
    <row r="8" spans="1:6" ht="15" customHeight="1" x14ac:dyDescent="0.7">
      <c r="A8" s="46"/>
      <c r="B8" s="46"/>
      <c r="C8" s="46"/>
      <c r="D8" s="46"/>
      <c r="E8" s="54"/>
      <c r="F8" s="46"/>
    </row>
    <row r="9" spans="1:6" ht="15" customHeight="1" x14ac:dyDescent="0.7">
      <c r="A9" s="46"/>
      <c r="B9" s="46"/>
      <c r="C9" s="46"/>
      <c r="D9" s="46"/>
      <c r="E9" s="54"/>
      <c r="F9" s="46"/>
    </row>
    <row r="10" spans="1:6" ht="15" customHeight="1" x14ac:dyDescent="0.7">
      <c r="A10" s="46"/>
      <c r="B10" s="46"/>
      <c r="C10" s="46"/>
      <c r="D10" s="46"/>
      <c r="E10" s="54"/>
      <c r="F10" s="46"/>
    </row>
    <row r="11" spans="1:6" ht="15" customHeight="1" x14ac:dyDescent="0.7">
      <c r="A11" s="46"/>
      <c r="B11" s="46"/>
      <c r="C11" s="46"/>
      <c r="D11" s="46"/>
      <c r="E11" s="54"/>
      <c r="F11" s="46"/>
    </row>
    <row r="12" spans="1:6" ht="15" customHeight="1" x14ac:dyDescent="0.7">
      <c r="A12" s="46"/>
      <c r="B12" s="46"/>
      <c r="C12" s="46"/>
      <c r="D12" s="46"/>
      <c r="E12" s="54"/>
      <c r="F12" s="46"/>
    </row>
    <row r="13" spans="1:6" ht="15" customHeight="1" x14ac:dyDescent="0.7">
      <c r="A13" s="46"/>
      <c r="B13" s="46"/>
      <c r="C13" s="46"/>
      <c r="D13" s="46"/>
      <c r="E13" s="54"/>
      <c r="F13" s="46"/>
    </row>
    <row r="14" spans="1:6" ht="15" customHeight="1" x14ac:dyDescent="0.7">
      <c r="A14" s="46"/>
      <c r="B14" s="46"/>
      <c r="C14" s="46"/>
      <c r="D14" s="46"/>
      <c r="E14" s="54"/>
      <c r="F14" s="46"/>
    </row>
    <row r="15" spans="1:6" ht="15" customHeight="1" x14ac:dyDescent="0.7">
      <c r="A15" s="46"/>
      <c r="B15" s="46"/>
      <c r="C15" s="46"/>
      <c r="D15" s="46"/>
      <c r="E15" s="54"/>
      <c r="F15" s="46"/>
    </row>
    <row r="16" spans="1:6" ht="15" customHeight="1" x14ac:dyDescent="0.7">
      <c r="A16" s="46"/>
      <c r="B16" s="46"/>
      <c r="C16" s="46"/>
      <c r="D16" s="46"/>
      <c r="E16" s="54"/>
      <c r="F16" s="46"/>
    </row>
    <row r="17" spans="1:15" ht="15" customHeight="1" x14ac:dyDescent="0.7">
      <c r="A17" s="46"/>
      <c r="B17" s="46"/>
      <c r="C17" s="46"/>
      <c r="D17" s="46"/>
      <c r="E17" s="54"/>
      <c r="F17" s="46"/>
    </row>
    <row r="18" spans="1:15" ht="15" customHeight="1" x14ac:dyDescent="0.7">
      <c r="A18" s="46"/>
      <c r="B18" s="46"/>
      <c r="C18" s="46"/>
      <c r="D18" s="46"/>
      <c r="E18" s="54"/>
      <c r="F18" s="46"/>
      <c r="M18" s="60"/>
    </row>
    <row r="19" spans="1:15" ht="15" customHeight="1" x14ac:dyDescent="0.7">
      <c r="A19" s="46"/>
      <c r="B19" s="46"/>
      <c r="C19" s="46"/>
      <c r="D19" s="46"/>
      <c r="E19" s="54"/>
      <c r="F19" s="46"/>
      <c r="M19" s="60"/>
    </row>
    <row r="20" spans="1:15" ht="15" customHeight="1" x14ac:dyDescent="0.7">
      <c r="A20" s="46"/>
      <c r="B20" s="46"/>
      <c r="C20" s="46"/>
      <c r="D20" s="46"/>
      <c r="E20" s="54"/>
      <c r="F20" s="46"/>
    </row>
    <row r="21" spans="1:15" ht="15" customHeight="1" x14ac:dyDescent="0.7">
      <c r="A21" s="46"/>
      <c r="B21" s="46"/>
      <c r="C21" s="46"/>
      <c r="D21" s="46"/>
      <c r="E21" s="54"/>
      <c r="F21" s="46"/>
      <c r="M21" s="30"/>
      <c r="O21" s="60"/>
    </row>
    <row r="22" spans="1:15" ht="15" customHeight="1" x14ac:dyDescent="0.7">
      <c r="A22" s="46"/>
      <c r="B22" s="46"/>
      <c r="C22" s="46"/>
      <c r="D22" s="46"/>
      <c r="E22" s="54"/>
      <c r="F22" s="46"/>
    </row>
    <row r="23" spans="1:15" ht="15" customHeight="1" x14ac:dyDescent="0.7">
      <c r="A23" s="46"/>
      <c r="B23" s="46"/>
      <c r="C23" s="46"/>
      <c r="D23" s="46"/>
      <c r="E23" s="54"/>
      <c r="F23" s="46"/>
    </row>
    <row r="24" spans="1:15" ht="15" customHeight="1" x14ac:dyDescent="0.7">
      <c r="A24" s="46"/>
      <c r="B24" s="46"/>
      <c r="C24" s="46"/>
      <c r="D24" s="46"/>
      <c r="E24" s="54"/>
      <c r="F24" s="46"/>
    </row>
    <row r="25" spans="1:15" ht="15" customHeight="1" x14ac:dyDescent="0.7">
      <c r="A25" s="46"/>
      <c r="B25" s="46"/>
      <c r="C25" s="46"/>
      <c r="D25" s="46"/>
      <c r="E25" s="54"/>
      <c r="F25" s="46"/>
    </row>
    <row r="26" spans="1:15" ht="15" customHeight="1" x14ac:dyDescent="0.7">
      <c r="A26" s="18" t="s">
        <v>145</v>
      </c>
    </row>
    <row r="27" spans="1:15" ht="15" customHeight="1" x14ac:dyDescent="0.7">
      <c r="A27" s="45" t="s">
        <v>146</v>
      </c>
    </row>
    <row r="28" spans="1:15" ht="25.5" customHeight="1" x14ac:dyDescent="0.7">
      <c r="A28" s="50" t="s">
        <v>139</v>
      </c>
      <c r="B28" s="50" t="s">
        <v>142</v>
      </c>
      <c r="C28" s="50" t="s">
        <v>147</v>
      </c>
    </row>
    <row r="29" spans="1:15" ht="15" customHeight="1" x14ac:dyDescent="0.7">
      <c r="A29" s="46"/>
      <c r="B29" s="46"/>
      <c r="C29" s="54"/>
    </row>
    <row r="30" spans="1:15" ht="15" customHeight="1" x14ac:dyDescent="0.7">
      <c r="A30" s="46"/>
      <c r="B30" s="46"/>
      <c r="C30" s="54"/>
    </row>
    <row r="31" spans="1:15" ht="15" customHeight="1" x14ac:dyDescent="0.7">
      <c r="A31" s="46"/>
      <c r="B31" s="46"/>
      <c r="C31" s="54"/>
    </row>
    <row r="32" spans="1:15" ht="15" customHeight="1" x14ac:dyDescent="0.7">
      <c r="A32" s="46"/>
      <c r="B32" s="46"/>
      <c r="C32" s="54"/>
    </row>
    <row r="33" spans="1:6" ht="15" customHeight="1" x14ac:dyDescent="0.7">
      <c r="A33" s="46"/>
      <c r="B33" s="46"/>
      <c r="C33" s="54"/>
    </row>
    <row r="34" spans="1:6" ht="15" customHeight="1" x14ac:dyDescent="0.7">
      <c r="A34" s="46"/>
      <c r="B34" s="46"/>
      <c r="C34" s="54"/>
    </row>
    <row r="35" spans="1:6" ht="15" customHeight="1" x14ac:dyDescent="0.7">
      <c r="A35" s="46"/>
      <c r="B35" s="46"/>
      <c r="C35" s="54"/>
    </row>
    <row r="36" spans="1:6" ht="15" customHeight="1" x14ac:dyDescent="0.7">
      <c r="A36" s="46"/>
      <c r="B36" s="46"/>
      <c r="C36" s="54"/>
    </row>
    <row r="37" spans="1:6" ht="15" customHeight="1" x14ac:dyDescent="0.7">
      <c r="A37" s="16" t="s">
        <v>148</v>
      </c>
      <c r="C37" s="55">
        <f>SUM(C29:C36)</f>
        <v>0</v>
      </c>
    </row>
    <row r="39" spans="1:6" ht="15" customHeight="1" x14ac:dyDescent="0.7">
      <c r="A39" s="45" t="s">
        <v>149</v>
      </c>
    </row>
    <row r="40" spans="1:6" ht="15" customHeight="1" x14ac:dyDescent="0.7">
      <c r="A40" s="37" t="s">
        <v>150</v>
      </c>
      <c r="B40" s="61">
        <v>0.35</v>
      </c>
    </row>
    <row r="41" spans="1:6" ht="15" customHeight="1" x14ac:dyDescent="0.7">
      <c r="A41" s="37" t="s">
        <v>151</v>
      </c>
      <c r="B41" s="52">
        <v>55</v>
      </c>
    </row>
    <row r="42" spans="1:6" ht="15" customHeight="1" x14ac:dyDescent="0.7">
      <c r="A42" s="37" t="s">
        <v>152</v>
      </c>
      <c r="B42" s="61">
        <v>1</v>
      </c>
    </row>
    <row r="43" spans="1:6" ht="15" customHeight="1" x14ac:dyDescent="0.7">
      <c r="A43" s="37" t="s">
        <v>153</v>
      </c>
      <c r="B43" s="52">
        <v>25</v>
      </c>
    </row>
    <row r="45" spans="1:6" ht="15" customHeight="1" x14ac:dyDescent="0.7">
      <c r="A45" s="45" t="s">
        <v>154</v>
      </c>
    </row>
    <row r="46" spans="1:6" ht="25.5" customHeight="1" x14ac:dyDescent="0.7">
      <c r="A46" s="50" t="s">
        <v>155</v>
      </c>
      <c r="B46" s="50" t="s">
        <v>156</v>
      </c>
      <c r="C46" s="50" t="s">
        <v>157</v>
      </c>
      <c r="D46" s="50" t="s">
        <v>158</v>
      </c>
      <c r="E46" s="50" t="s">
        <v>159</v>
      </c>
      <c r="F46" s="50" t="s">
        <v>160</v>
      </c>
    </row>
    <row r="47" spans="1:6" ht="15" customHeight="1" x14ac:dyDescent="0.7">
      <c r="A47" s="37" t="s">
        <v>161</v>
      </c>
      <c r="B47" s="55">
        <f>SUMIFS($E$6:$E$25,$B$6:$B$25,"Fjärrvärme",$C$6:$C$25,"Värme och tappvarmvatten")</f>
        <v>0</v>
      </c>
      <c r="C47" s="62">
        <v>1</v>
      </c>
      <c r="D47" s="61">
        <v>1</v>
      </c>
      <c r="E47" s="47">
        <f>'Regler BFS 2026'!$B$5</f>
        <v>0.7</v>
      </c>
      <c r="F47" s="46" t="s">
        <v>161</v>
      </c>
    </row>
    <row r="48" spans="1:6" ht="15" customHeight="1" x14ac:dyDescent="0.7">
      <c r="A48" s="37" t="s">
        <v>162</v>
      </c>
      <c r="B48" s="55">
        <f>El!I129</f>
        <v>0</v>
      </c>
      <c r="C48" s="62">
        <v>0</v>
      </c>
      <c r="D48" s="61">
        <v>2.5</v>
      </c>
      <c r="E48" s="47">
        <f>'Regler BFS 2026'!$B$4</f>
        <v>1.8</v>
      </c>
      <c r="F48" s="46" t="s">
        <v>163</v>
      </c>
    </row>
    <row r="49" spans="1:6" ht="15" customHeight="1" x14ac:dyDescent="0.7">
      <c r="A49" s="37" t="s">
        <v>164</v>
      </c>
      <c r="B49" s="55">
        <f>El!I130</f>
        <v>0</v>
      </c>
      <c r="C49" s="62">
        <v>0</v>
      </c>
      <c r="D49" s="61">
        <v>1</v>
      </c>
      <c r="E49" s="47">
        <f>'Regler BFS 2026'!$B$4</f>
        <v>1.8</v>
      </c>
      <c r="F49" s="46" t="s">
        <v>165</v>
      </c>
    </row>
    <row r="50" spans="1:6" ht="15" customHeight="1" x14ac:dyDescent="0.7">
      <c r="A50" s="37" t="s">
        <v>166</v>
      </c>
      <c r="B50" s="55">
        <f>SUMIFS($E$6:$E$25,$B$6:$B$25,"Olja",$C$6:$C$25,"Värme och tappvarmvatten")</f>
        <v>0</v>
      </c>
      <c r="C50" s="62">
        <v>0</v>
      </c>
      <c r="D50" s="61">
        <v>0.85</v>
      </c>
      <c r="E50" s="47">
        <f>'Regler BFS 2026'!$B$8</f>
        <v>1.8</v>
      </c>
      <c r="F50" s="46" t="s">
        <v>166</v>
      </c>
    </row>
    <row r="51" spans="1:6" ht="15" customHeight="1" x14ac:dyDescent="0.7">
      <c r="A51" s="37" t="s">
        <v>167</v>
      </c>
      <c r="B51" s="55">
        <f>SUMIFS($E$6:$E$25,$B$6:$B$25,"Gas",$C$6:$C$25,"Värme och tappvarmvatten")</f>
        <v>0</v>
      </c>
      <c r="C51" s="62">
        <v>0</v>
      </c>
      <c r="D51" s="61">
        <v>0.9</v>
      </c>
      <c r="E51" s="47">
        <f>'Regler BFS 2026'!$B$8</f>
        <v>1.8</v>
      </c>
      <c r="F51" s="46" t="s">
        <v>167</v>
      </c>
    </row>
    <row r="52" spans="1:6" ht="15" customHeight="1" x14ac:dyDescent="0.7">
      <c r="A52" s="37" t="s">
        <v>168</v>
      </c>
      <c r="B52" s="55">
        <f>SUMIFS($E$6:$E$25,$B$6:$B$25,"Pellets/flis/briketter",$C$6:$C$25,"Värme och tappvarmvatten")</f>
        <v>0</v>
      </c>
      <c r="C52" s="62">
        <v>0</v>
      </c>
      <c r="D52" s="61">
        <v>0.85</v>
      </c>
      <c r="E52" s="47">
        <f>'Regler BFS 2026'!$B$7</f>
        <v>0.6</v>
      </c>
      <c r="F52" s="46" t="s">
        <v>169</v>
      </c>
    </row>
    <row r="53" spans="1:6" ht="15" customHeight="1" x14ac:dyDescent="0.7">
      <c r="A53" s="37" t="s">
        <v>170</v>
      </c>
      <c r="B53" s="55">
        <f>SUMIFS($E$6:$E$25,$B$6:$B$25,"Ved",$C$6:$C$25,"Värme och tappvarmvatten")</f>
        <v>0</v>
      </c>
      <c r="C53" s="62">
        <v>0</v>
      </c>
      <c r="D53" s="61">
        <v>0.75</v>
      </c>
      <c r="E53" s="47">
        <f>'Regler BFS 2026'!$B$7</f>
        <v>0.6</v>
      </c>
      <c r="F53" s="46" t="s">
        <v>170</v>
      </c>
    </row>
    <row r="54" spans="1:6" ht="15" customHeight="1" x14ac:dyDescent="0.7">
      <c r="A54" s="37" t="s">
        <v>171</v>
      </c>
      <c r="B54" s="55">
        <f>SUMIFS($E$6:$E$25,$B$6:$B$25,"Övrigt biobränsle",$C$6:$C$25,"Värme och tappvarmvatten")</f>
        <v>0</v>
      </c>
      <c r="C54" s="62">
        <v>0</v>
      </c>
      <c r="D54" s="61">
        <v>0.85</v>
      </c>
      <c r="E54" s="47">
        <f>'Regler BFS 2026'!$B$7</f>
        <v>0.6</v>
      </c>
      <c r="F54" s="46" t="s">
        <v>171</v>
      </c>
    </row>
    <row r="55" spans="1:6" ht="15" customHeight="1" x14ac:dyDescent="0.7">
      <c r="A55" s="16" t="s">
        <v>24</v>
      </c>
      <c r="B55" s="55">
        <f>SUM(B47:B54)</f>
        <v>0</v>
      </c>
      <c r="C55" s="63">
        <f>SUM(C47:C54)</f>
        <v>1</v>
      </c>
    </row>
    <row r="56" spans="1:6" ht="15" customHeight="1" x14ac:dyDescent="0.7">
      <c r="A56" s="37" t="s">
        <v>172</v>
      </c>
      <c r="B56" s="54">
        <v>0</v>
      </c>
    </row>
    <row r="57" spans="1:6" ht="15" customHeight="1" x14ac:dyDescent="0.7">
      <c r="A57" s="37" t="s">
        <v>173</v>
      </c>
      <c r="B57" s="46" t="s">
        <v>174</v>
      </c>
    </row>
    <row r="59" spans="1:6" ht="15" customHeight="1" x14ac:dyDescent="0.7">
      <c r="A59" s="45" t="s">
        <v>175</v>
      </c>
      <c r="B59" s="37"/>
      <c r="C59" s="37"/>
      <c r="D59" s="37"/>
      <c r="E59" s="37"/>
      <c r="F59" s="37"/>
    </row>
    <row r="60" spans="1:6" ht="25.5" customHeight="1" x14ac:dyDescent="0.7">
      <c r="A60" s="64" t="s">
        <v>176</v>
      </c>
      <c r="B60" s="65"/>
      <c r="C60" s="65"/>
      <c r="D60" s="65"/>
      <c r="E60" s="65"/>
      <c r="F60" s="37"/>
    </row>
    <row r="61" spans="1:6" ht="15" customHeight="1" x14ac:dyDescent="0.7">
      <c r="A61" s="37"/>
      <c r="B61" s="66"/>
      <c r="C61" s="37"/>
      <c r="D61" s="37"/>
      <c r="E61" s="37"/>
      <c r="F61" s="37"/>
    </row>
    <row r="62" spans="1:6" ht="15" customHeight="1" x14ac:dyDescent="0.7">
      <c r="A62" s="37"/>
      <c r="B62" s="66"/>
      <c r="C62" s="66"/>
      <c r="D62" s="66"/>
      <c r="E62" s="66"/>
      <c r="F62" s="37"/>
    </row>
    <row r="63" spans="1:6" ht="15" customHeight="1" x14ac:dyDescent="0.7">
      <c r="A63" s="37"/>
      <c r="B63" s="66"/>
      <c r="C63" s="66"/>
      <c r="D63" s="66"/>
      <c r="E63" s="66"/>
      <c r="F63" s="37"/>
    </row>
    <row r="64" spans="1:6" ht="15" customHeight="1" x14ac:dyDescent="0.7">
      <c r="A64" s="37"/>
      <c r="B64" s="66"/>
      <c r="C64" s="66"/>
      <c r="D64" s="66"/>
      <c r="E64" s="66"/>
      <c r="F64" s="37"/>
    </row>
    <row r="65" spans="1:6" ht="15" customHeight="1" x14ac:dyDescent="0.7">
      <c r="A65" s="37"/>
      <c r="B65" s="66"/>
      <c r="C65" s="66"/>
      <c r="D65" s="66"/>
      <c r="E65" s="66"/>
      <c r="F65" s="37"/>
    </row>
    <row r="66" spans="1:6" ht="15" customHeight="1" x14ac:dyDescent="0.7">
      <c r="A66" s="37"/>
      <c r="B66" s="66"/>
      <c r="C66" s="66"/>
      <c r="D66" s="66"/>
      <c r="E66" s="37"/>
      <c r="F66" s="37"/>
    </row>
    <row r="67" spans="1:6" ht="15" customHeight="1" x14ac:dyDescent="0.7">
      <c r="A67" s="37"/>
      <c r="B67" s="66"/>
      <c r="C67" s="66"/>
      <c r="D67" s="66"/>
      <c r="E67" s="37"/>
      <c r="F67" s="37"/>
    </row>
    <row r="68" spans="1:6" ht="15" customHeight="1" x14ac:dyDescent="0.7">
      <c r="A68" s="37"/>
      <c r="B68" s="37"/>
      <c r="C68" s="37"/>
      <c r="D68" s="66"/>
      <c r="E68" s="66"/>
      <c r="F68" s="37"/>
    </row>
    <row r="69" spans="1:6" ht="15" customHeight="1" x14ac:dyDescent="0.7">
      <c r="A69" s="37"/>
      <c r="B69" s="37"/>
      <c r="C69" s="37"/>
      <c r="D69" s="66"/>
      <c r="E69" s="37"/>
      <c r="F69" s="37"/>
    </row>
    <row r="70" spans="1:6" ht="15" customHeight="1" x14ac:dyDescent="0.7">
      <c r="A70" s="37"/>
      <c r="B70" s="37"/>
      <c r="C70" s="37"/>
      <c r="D70" s="66"/>
      <c r="E70" s="37"/>
      <c r="F70" s="37"/>
    </row>
  </sheetData>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4">
        <x14:dataValidation type="list" allowBlank="1" xr:uid="{00000000-0002-0000-0400-000000000000}">
          <x14:formula1>
            <xm:f>'Regler BFS 2026'!$U$5:$U$12</xm:f>
          </x14:formula1>
          <x14:formula2>
            <xm:f>0</xm:f>
          </x14:formula2>
          <xm:sqref>B6:B25</xm:sqref>
        </x14:dataValidation>
        <x14:dataValidation type="list" allowBlank="1" xr:uid="{00000000-0002-0000-0400-000001000000}">
          <x14:formula1>
            <xm:f>'Regler BFS 2026'!$V$5:$V$11</xm:f>
          </x14:formula1>
          <x14:formula2>
            <xm:f>0</xm:f>
          </x14:formula2>
          <xm:sqref>C6:C25</xm:sqref>
        </x14:dataValidation>
        <x14:dataValidation type="list" allowBlank="1" xr:uid="{00000000-0002-0000-0400-000002000000}">
          <x14:formula1>
            <xm:f>'Regler BFS 2026'!$W$5:$W$11</xm:f>
          </x14:formula1>
          <x14:formula2>
            <xm:f>0</xm:f>
          </x14:formula2>
          <xm:sqref>D6:D25 B29:B36</xm:sqref>
        </x14:dataValidation>
        <x14:dataValidation type="list" allowBlank="1" xr:uid="{00000000-0002-0000-0400-000003000000}">
          <x14:formula1>
            <xm:f>'Regler BFS 2026'!$Y$5:$Y$6</xm:f>
          </x14:formula1>
          <x14:formula2>
            <xm:f>0</xm:f>
          </x14:formula2>
          <xm:sqref>B57</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36"/>
  <sheetViews>
    <sheetView zoomScale="70" zoomScaleNormal="70" workbookViewId="0">
      <pane xSplit="2" ySplit="10" topLeftCell="C17" activePane="bottomRight" state="frozen"/>
      <selection pane="topRight" activeCell="C1" sqref="C1"/>
      <selection pane="bottomLeft" activeCell="A11" sqref="A11"/>
      <selection pane="bottomRight" activeCell="C12" sqref="C12"/>
    </sheetView>
  </sheetViews>
  <sheetFormatPr defaultColWidth="8.6796875" defaultRowHeight="14.5" x14ac:dyDescent="0.7"/>
  <cols>
    <col min="1" max="1" width="54" customWidth="1"/>
    <col min="2" max="9" width="13" customWidth="1"/>
  </cols>
  <sheetData>
    <row r="1" spans="1:9" ht="22.75" x14ac:dyDescent="0.95">
      <c r="A1" s="15" t="s">
        <v>177</v>
      </c>
    </row>
    <row r="2" spans="1:9" x14ac:dyDescent="0.7">
      <c r="A2" s="18" t="s">
        <v>178</v>
      </c>
    </row>
    <row r="4" spans="1:9" x14ac:dyDescent="0.7">
      <c r="A4" s="45" t="s">
        <v>179</v>
      </c>
    </row>
    <row r="5" spans="1:9" x14ac:dyDescent="0.7">
      <c r="A5" s="37" t="s">
        <v>180</v>
      </c>
      <c r="C5" s="54">
        <v>900</v>
      </c>
    </row>
    <row r="6" spans="1:9" x14ac:dyDescent="0.7">
      <c r="A6" s="37" t="s">
        <v>181</v>
      </c>
      <c r="C6" s="54"/>
    </row>
    <row r="7" spans="1:9" x14ac:dyDescent="0.7">
      <c r="A7" s="37" t="s">
        <v>182</v>
      </c>
      <c r="C7" s="54"/>
    </row>
    <row r="9" spans="1:9" x14ac:dyDescent="0.7">
      <c r="A9" s="45" t="s">
        <v>183</v>
      </c>
    </row>
    <row r="10" spans="1:9" x14ac:dyDescent="0.7">
      <c r="A10" s="16" t="s">
        <v>13</v>
      </c>
      <c r="C10" s="16" t="str">
        <f>Byggnader!C12</f>
        <v>Byggnad 1</v>
      </c>
      <c r="D10" s="16" t="str">
        <f>Byggnader!D12</f>
        <v>Byggnad 2</v>
      </c>
      <c r="E10" s="16" t="str">
        <f>Byggnader!E12</f>
        <v>Byggnad 3</v>
      </c>
      <c r="F10" s="16" t="str">
        <f>Byggnader!F12</f>
        <v>Byggnad 4</v>
      </c>
      <c r="G10" s="16" t="str">
        <f>Byggnader!G12</f>
        <v>Byggnad 5</v>
      </c>
      <c r="H10" s="16" t="str">
        <f>Byggnader!H12</f>
        <v>Byggnad 6</v>
      </c>
      <c r="I10" s="16" t="s">
        <v>24</v>
      </c>
    </row>
    <row r="11" spans="1:9" x14ac:dyDescent="0.7">
      <c r="A11" s="37" t="s">
        <v>184</v>
      </c>
      <c r="C11" s="54"/>
      <c r="D11" s="54"/>
      <c r="E11" s="54"/>
      <c r="F11" s="54"/>
      <c r="G11" s="54"/>
      <c r="H11" s="54"/>
      <c r="I11" s="55">
        <f t="shared" ref="I11:I21" si="0">SUM(C11:H11)</f>
        <v>20000</v>
      </c>
    </row>
    <row r="12" spans="1:9" x14ac:dyDescent="0.7">
      <c r="A12" s="37" t="s">
        <v>185</v>
      </c>
      <c r="C12" s="54"/>
      <c r="D12" s="54"/>
      <c r="E12" s="54"/>
      <c r="F12" s="54"/>
      <c r="G12" s="54"/>
      <c r="H12" s="54"/>
      <c r="I12" s="55">
        <f t="shared" si="0"/>
        <v>6000</v>
      </c>
    </row>
    <row r="13" spans="1:9" x14ac:dyDescent="0.7">
      <c r="A13" s="37" t="s">
        <v>186</v>
      </c>
      <c r="C13" s="54"/>
      <c r="D13" s="54"/>
      <c r="E13" s="54"/>
      <c r="F13" s="54"/>
      <c r="G13" s="54"/>
      <c r="H13" s="54"/>
      <c r="I13" s="55">
        <f t="shared" si="0"/>
        <v>0</v>
      </c>
    </row>
    <row r="14" spans="1:9" x14ac:dyDescent="0.7">
      <c r="A14" s="37" t="s">
        <v>187</v>
      </c>
      <c r="C14" s="67"/>
      <c r="D14" s="67"/>
      <c r="E14" s="67"/>
      <c r="F14" s="67"/>
      <c r="G14" s="67"/>
      <c r="H14" s="67"/>
      <c r="I14" s="47">
        <f t="shared" si="0"/>
        <v>5</v>
      </c>
    </row>
    <row r="15" spans="1:9" x14ac:dyDescent="0.7">
      <c r="A15" s="37" t="s">
        <v>188</v>
      </c>
      <c r="C15" s="54"/>
      <c r="D15" s="54"/>
      <c r="E15" s="54"/>
      <c r="F15" s="54"/>
      <c r="G15" s="54"/>
      <c r="H15" s="54"/>
      <c r="I15" s="55">
        <f t="shared" si="0"/>
        <v>3000</v>
      </c>
    </row>
    <row r="16" spans="1:9" x14ac:dyDescent="0.7">
      <c r="A16" s="37" t="s">
        <v>189</v>
      </c>
      <c r="C16" s="54"/>
      <c r="D16" s="54"/>
      <c r="E16" s="54"/>
      <c r="F16" s="54"/>
      <c r="G16" s="54"/>
      <c r="H16" s="54"/>
      <c r="I16" s="55">
        <f t="shared" si="0"/>
        <v>500</v>
      </c>
    </row>
    <row r="17" spans="1:9" x14ac:dyDescent="0.7">
      <c r="A17" s="37" t="s">
        <v>190</v>
      </c>
      <c r="C17" s="55">
        <f>IF(C15&lt;&gt;"",C15,IF($C$6&gt;0,$C$6*IF($I$14&gt;0,C14/$I$14,Byggnader!C33),C14*$C$5))</f>
        <v>3000</v>
      </c>
      <c r="D17" s="55">
        <f>IF(D15&lt;&gt;"",D15,IF($C$6&gt;0,$C$6*IF($I$14&gt;0,D14/$I$14,Byggnader!D33),D14*$C$5))</f>
        <v>0</v>
      </c>
      <c r="E17" s="55">
        <f>IF(E15&lt;&gt;"",E15,IF($C$6&gt;0,$C$6*IF($I$14&gt;0,E14/$I$14,Byggnader!E33),E14*$C$5))</f>
        <v>0</v>
      </c>
      <c r="F17" s="55">
        <f>IF(F15&lt;&gt;"",F15,IF($C$6&gt;0,$C$6*IF($I$14&gt;0,F14/$I$14,Byggnader!F33),F14*$C$5))</f>
        <v>0</v>
      </c>
      <c r="G17" s="55">
        <f>IF(G15&lt;&gt;"",G15,IF($C$6&gt;0,$C$6*IF($I$14&gt;0,G14/$I$14,Byggnader!G33),G14*$C$5))</f>
        <v>0</v>
      </c>
      <c r="H17" s="55">
        <f>IF(H15&lt;&gt;"",H15,IF($C$6&gt;0,$C$6*IF($I$14&gt;0,H14/$I$14,Byggnader!H33),H14*$C$5))</f>
        <v>0</v>
      </c>
      <c r="I17" s="55">
        <f t="shared" si="0"/>
        <v>3000</v>
      </c>
    </row>
    <row r="18" spans="1:9" x14ac:dyDescent="0.7">
      <c r="A18" s="37" t="s">
        <v>191</v>
      </c>
      <c r="C18" s="55">
        <f t="shared" ref="C18:H18" si="1">IF(C16&lt;&gt;"",C16,N($C$7)*IFERROR(C17/$I$17,0))</f>
        <v>500</v>
      </c>
      <c r="D18" s="55">
        <f t="shared" si="1"/>
        <v>0</v>
      </c>
      <c r="E18" s="55">
        <f t="shared" si="1"/>
        <v>0</v>
      </c>
      <c r="F18" s="55">
        <f t="shared" si="1"/>
        <v>0</v>
      </c>
      <c r="G18" s="55">
        <f t="shared" si="1"/>
        <v>0</v>
      </c>
      <c r="H18" s="55">
        <f t="shared" si="1"/>
        <v>0</v>
      </c>
      <c r="I18" s="55">
        <f t="shared" si="0"/>
        <v>500</v>
      </c>
    </row>
    <row r="19" spans="1:9" x14ac:dyDescent="0.7">
      <c r="A19" s="16" t="s">
        <v>192</v>
      </c>
      <c r="C19" s="55">
        <f t="shared" ref="C19:H19" si="2">MAX(0,C17-C18)</f>
        <v>2500</v>
      </c>
      <c r="D19" s="55">
        <f t="shared" si="2"/>
        <v>0</v>
      </c>
      <c r="E19" s="55">
        <f t="shared" si="2"/>
        <v>0</v>
      </c>
      <c r="F19" s="55">
        <f t="shared" si="2"/>
        <v>0</v>
      </c>
      <c r="G19" s="55">
        <f t="shared" si="2"/>
        <v>0</v>
      </c>
      <c r="H19" s="55">
        <f t="shared" si="2"/>
        <v>0</v>
      </c>
      <c r="I19" s="55">
        <f t="shared" si="0"/>
        <v>2500</v>
      </c>
    </row>
    <row r="20" spans="1:9" x14ac:dyDescent="0.7">
      <c r="A20" s="37" t="s">
        <v>193</v>
      </c>
      <c r="C20" s="55">
        <f t="shared" ref="C20:H20" si="3">C11+C19</f>
        <v>22500</v>
      </c>
      <c r="D20" s="55">
        <f t="shared" si="3"/>
        <v>0</v>
      </c>
      <c r="E20" s="55">
        <f t="shared" si="3"/>
        <v>0</v>
      </c>
      <c r="F20" s="55">
        <f t="shared" si="3"/>
        <v>0</v>
      </c>
      <c r="G20" s="55">
        <f t="shared" si="3"/>
        <v>0</v>
      </c>
      <c r="H20" s="55">
        <f t="shared" si="3"/>
        <v>0</v>
      </c>
      <c r="I20" s="55">
        <f t="shared" si="0"/>
        <v>22500</v>
      </c>
    </row>
    <row r="21" spans="1:9" x14ac:dyDescent="0.7">
      <c r="A21" s="16" t="s">
        <v>194</v>
      </c>
      <c r="C21" s="55">
        <f t="shared" ref="C21:H21" si="4">MAX(0,C20-C12)</f>
        <v>16500</v>
      </c>
      <c r="D21" s="55">
        <f t="shared" si="4"/>
        <v>0</v>
      </c>
      <c r="E21" s="55">
        <f t="shared" si="4"/>
        <v>0</v>
      </c>
      <c r="F21" s="55">
        <f t="shared" si="4"/>
        <v>0</v>
      </c>
      <c r="G21" s="55">
        <f t="shared" si="4"/>
        <v>0</v>
      </c>
      <c r="H21" s="55">
        <f t="shared" si="4"/>
        <v>0</v>
      </c>
      <c r="I21" s="55">
        <f t="shared" si="0"/>
        <v>16500</v>
      </c>
    </row>
    <row r="23" spans="1:9" x14ac:dyDescent="0.7">
      <c r="A23" s="45" t="s">
        <v>195</v>
      </c>
    </row>
    <row r="24" spans="1:9" ht="25.5" customHeight="1" x14ac:dyDescent="0.7">
      <c r="A24" s="50" t="s">
        <v>196</v>
      </c>
      <c r="B24" s="50" t="s">
        <v>197</v>
      </c>
      <c r="C24" s="50" t="s">
        <v>198</v>
      </c>
      <c r="D24" s="50" t="s">
        <v>19</v>
      </c>
    </row>
    <row r="25" spans="1:9" x14ac:dyDescent="0.7">
      <c r="A25" s="37" t="s">
        <v>199</v>
      </c>
      <c r="B25" s="68" t="s">
        <v>200</v>
      </c>
      <c r="C25" s="54">
        <f>Besiktningsprotokoll!D125</f>
        <v>6587.4000000000005</v>
      </c>
      <c r="D25" s="56">
        <f t="shared" ref="D25:D30" si="5">IFERROR(C25/SUM($C$25:$C$30),0)</f>
        <v>0.44498485170886909</v>
      </c>
    </row>
    <row r="26" spans="1:9" x14ac:dyDescent="0.7">
      <c r="A26" s="37" t="s">
        <v>201</v>
      </c>
      <c r="B26" s="68" t="s">
        <v>200</v>
      </c>
      <c r="C26" s="54">
        <f>Besiktningsprotokoll!G88</f>
        <v>0</v>
      </c>
      <c r="D26" s="56">
        <f t="shared" si="5"/>
        <v>0</v>
      </c>
    </row>
    <row r="27" spans="1:9" x14ac:dyDescent="0.7">
      <c r="A27" s="37" t="s">
        <v>164</v>
      </c>
      <c r="B27" s="68" t="s">
        <v>200</v>
      </c>
      <c r="C27" s="54">
        <f>Besiktningsprotokoll!D130</f>
        <v>0</v>
      </c>
      <c r="D27" s="56">
        <f t="shared" si="5"/>
        <v>0</v>
      </c>
    </row>
    <row r="28" spans="1:9" x14ac:dyDescent="0.7">
      <c r="A28" s="37" t="s">
        <v>202</v>
      </c>
      <c r="B28" s="68" t="s">
        <v>200</v>
      </c>
      <c r="C28" s="54">
        <f>Besiktningsprotokoll!J88</f>
        <v>0</v>
      </c>
      <c r="D28" s="56">
        <f t="shared" si="5"/>
        <v>0</v>
      </c>
    </row>
    <row r="29" spans="1:9" x14ac:dyDescent="0.7">
      <c r="A29" s="37" t="s">
        <v>203</v>
      </c>
      <c r="B29" s="68" t="s">
        <v>204</v>
      </c>
      <c r="C29" s="54">
        <f>Besiktningsprotokoll!E8</f>
        <v>8216.25</v>
      </c>
      <c r="D29" s="56">
        <f t="shared" si="5"/>
        <v>0.55501514829113086</v>
      </c>
    </row>
    <row r="30" spans="1:9" x14ac:dyDescent="0.7">
      <c r="A30" s="37" t="s">
        <v>205</v>
      </c>
      <c r="B30" s="68" t="s">
        <v>204</v>
      </c>
      <c r="C30" s="54">
        <v>0</v>
      </c>
      <c r="D30" s="56">
        <f t="shared" si="5"/>
        <v>0</v>
      </c>
    </row>
    <row r="31" spans="1:9" x14ac:dyDescent="0.7">
      <c r="A31" s="16" t="s">
        <v>24</v>
      </c>
      <c r="C31" s="55">
        <f>SUM(C25:C30)</f>
        <v>14803.650000000001</v>
      </c>
      <c r="D31" s="56">
        <f>SUM(D25:D30)</f>
        <v>1</v>
      </c>
    </row>
    <row r="32" spans="1:9" x14ac:dyDescent="0.7">
      <c r="A32" s="37" t="s">
        <v>206</v>
      </c>
      <c r="C32" s="69">
        <f>IFERROR(C31/$I$21-1,0)</f>
        <v>-0.10280909090909085</v>
      </c>
    </row>
    <row r="34" spans="1:9" x14ac:dyDescent="0.7">
      <c r="A34" s="45" t="s">
        <v>207</v>
      </c>
    </row>
    <row r="35" spans="1:9" x14ac:dyDescent="0.7">
      <c r="A35" s="16" t="s">
        <v>13</v>
      </c>
      <c r="C35" s="16" t="str">
        <f>Byggnader!C12</f>
        <v>Byggnad 1</v>
      </c>
      <c r="D35" s="16" t="str">
        <f>Byggnader!D12</f>
        <v>Byggnad 2</v>
      </c>
      <c r="E35" s="16" t="str">
        <f>Byggnader!E12</f>
        <v>Byggnad 3</v>
      </c>
      <c r="F35" s="16" t="str">
        <f>Byggnader!F12</f>
        <v>Byggnad 4</v>
      </c>
      <c r="G35" s="16" t="str">
        <f>Byggnader!G12</f>
        <v>Byggnad 5</v>
      </c>
      <c r="H35" s="16" t="str">
        <f>Byggnader!H12</f>
        <v>Byggnad 6</v>
      </c>
      <c r="I35" s="16" t="s">
        <v>24</v>
      </c>
    </row>
    <row r="36" spans="1:9" x14ac:dyDescent="0.7">
      <c r="A36" s="37" t="s">
        <v>199</v>
      </c>
      <c r="C36" s="57"/>
      <c r="D36" s="57"/>
      <c r="E36" s="57"/>
      <c r="F36" s="57"/>
      <c r="G36" s="57"/>
      <c r="H36" s="57"/>
    </row>
    <row r="37" spans="1:9" x14ac:dyDescent="0.7">
      <c r="A37" s="37" t="s">
        <v>201</v>
      </c>
      <c r="C37" s="57"/>
      <c r="D37" s="57"/>
      <c r="E37" s="57"/>
      <c r="F37" s="57"/>
      <c r="G37" s="57"/>
      <c r="H37" s="57"/>
    </row>
    <row r="38" spans="1:9" x14ac:dyDescent="0.7">
      <c r="A38" s="37" t="s">
        <v>164</v>
      </c>
      <c r="C38" s="57"/>
      <c r="D38" s="57"/>
      <c r="E38" s="57"/>
      <c r="F38" s="57"/>
      <c r="G38" s="57"/>
      <c r="H38" s="57"/>
    </row>
    <row r="39" spans="1:9" x14ac:dyDescent="0.7">
      <c r="A39" s="37" t="s">
        <v>202</v>
      </c>
      <c r="C39" s="57"/>
      <c r="D39" s="57"/>
      <c r="E39" s="57"/>
      <c r="F39" s="57"/>
      <c r="G39" s="57"/>
      <c r="H39" s="57"/>
    </row>
    <row r="40" spans="1:9" x14ac:dyDescent="0.7">
      <c r="A40" s="37" t="s">
        <v>203</v>
      </c>
      <c r="C40" s="57"/>
      <c r="D40" s="57"/>
      <c r="E40" s="57"/>
      <c r="F40" s="57"/>
      <c r="G40" s="57"/>
      <c r="H40" s="57"/>
    </row>
    <row r="41" spans="1:9" x14ac:dyDescent="0.7">
      <c r="A41" s="37" t="s">
        <v>205</v>
      </c>
      <c r="C41" s="57"/>
      <c r="D41" s="57"/>
      <c r="E41" s="57"/>
      <c r="F41" s="57"/>
      <c r="G41" s="57"/>
      <c r="H41" s="57"/>
    </row>
    <row r="43" spans="1:9" x14ac:dyDescent="0.7">
      <c r="A43" s="45" t="s">
        <v>208</v>
      </c>
    </row>
    <row r="44" spans="1:9" x14ac:dyDescent="0.7">
      <c r="A44" s="16" t="s">
        <v>13</v>
      </c>
      <c r="C44" s="16" t="str">
        <f>Byggnader!C12</f>
        <v>Byggnad 1</v>
      </c>
      <c r="D44" s="16" t="str">
        <f>Byggnader!D12</f>
        <v>Byggnad 2</v>
      </c>
      <c r="E44" s="16" t="str">
        <f>Byggnader!E12</f>
        <v>Byggnad 3</v>
      </c>
      <c r="F44" s="16" t="str">
        <f>Byggnader!F12</f>
        <v>Byggnad 4</v>
      </c>
      <c r="G44" s="16" t="str">
        <f>Byggnader!G12</f>
        <v>Byggnad 5</v>
      </c>
      <c r="H44" s="16" t="str">
        <f>Byggnader!H12</f>
        <v>Byggnad 6</v>
      </c>
      <c r="I44" s="16" t="s">
        <v>24</v>
      </c>
    </row>
    <row r="45" spans="1:9" x14ac:dyDescent="0.7">
      <c r="A45" s="37" t="s">
        <v>199</v>
      </c>
      <c r="C45" s="54"/>
      <c r="D45" s="54"/>
      <c r="E45" s="54"/>
      <c r="F45" s="54"/>
      <c r="G45" s="54"/>
      <c r="H45" s="54"/>
    </row>
    <row r="46" spans="1:9" x14ac:dyDescent="0.7">
      <c r="A46" s="37" t="s">
        <v>201</v>
      </c>
      <c r="C46" s="54"/>
      <c r="D46" s="54"/>
      <c r="E46" s="54"/>
      <c r="F46" s="54"/>
      <c r="G46" s="54"/>
      <c r="H46" s="54"/>
    </row>
    <row r="47" spans="1:9" x14ac:dyDescent="0.7">
      <c r="A47" s="37" t="s">
        <v>164</v>
      </c>
      <c r="C47" s="54"/>
      <c r="D47" s="54"/>
      <c r="E47" s="54"/>
      <c r="F47" s="54"/>
      <c r="G47" s="54"/>
      <c r="H47" s="54"/>
    </row>
    <row r="48" spans="1:9" x14ac:dyDescent="0.7">
      <c r="A48" s="37" t="s">
        <v>202</v>
      </c>
      <c r="C48" s="54"/>
      <c r="D48" s="54"/>
      <c r="E48" s="54"/>
      <c r="F48" s="54"/>
      <c r="G48" s="54"/>
      <c r="H48" s="54"/>
    </row>
    <row r="49" spans="1:9" x14ac:dyDescent="0.7">
      <c r="A49" s="37" t="s">
        <v>203</v>
      </c>
      <c r="C49" s="54"/>
      <c r="D49" s="54"/>
      <c r="E49" s="54"/>
      <c r="F49" s="54"/>
      <c r="G49" s="54"/>
      <c r="H49" s="54"/>
    </row>
    <row r="50" spans="1:9" x14ac:dyDescent="0.7">
      <c r="A50" s="37" t="s">
        <v>205</v>
      </c>
      <c r="C50" s="54"/>
      <c r="D50" s="54"/>
      <c r="E50" s="54"/>
      <c r="F50" s="54"/>
      <c r="G50" s="54"/>
      <c r="H50" s="54"/>
    </row>
    <row r="52" spans="1:9" x14ac:dyDescent="0.7">
      <c r="A52" s="45" t="s">
        <v>209</v>
      </c>
    </row>
    <row r="53" spans="1:9" x14ac:dyDescent="0.7">
      <c r="A53" s="16" t="s">
        <v>13</v>
      </c>
      <c r="C53" s="16" t="str">
        <f>Byggnader!C12</f>
        <v>Byggnad 1</v>
      </c>
      <c r="D53" s="16" t="str">
        <f>Byggnader!D12</f>
        <v>Byggnad 2</v>
      </c>
      <c r="E53" s="16" t="str">
        <f>Byggnader!E12</f>
        <v>Byggnad 3</v>
      </c>
      <c r="F53" s="16" t="str">
        <f>Byggnader!F12</f>
        <v>Byggnad 4</v>
      </c>
      <c r="G53" s="16" t="str">
        <f>Byggnader!G12</f>
        <v>Byggnad 5</v>
      </c>
      <c r="H53" s="16" t="str">
        <f>Byggnader!H12</f>
        <v>Byggnad 6</v>
      </c>
      <c r="I53" s="16" t="s">
        <v>24</v>
      </c>
    </row>
    <row r="54" spans="1:9" x14ac:dyDescent="0.7">
      <c r="A54" s="37" t="s">
        <v>199</v>
      </c>
      <c r="C54" s="56">
        <f t="shared" ref="C54:H54" si="6">IF(C45&lt;&gt;"",0,IF(C36&lt;&gt;"",C36,$D$25))</f>
        <v>0.44498485170886909</v>
      </c>
      <c r="D54" s="56">
        <f t="shared" si="6"/>
        <v>0.44498485170886909</v>
      </c>
      <c r="E54" s="56">
        <f t="shared" si="6"/>
        <v>0.44498485170886909</v>
      </c>
      <c r="F54" s="56">
        <f t="shared" si="6"/>
        <v>0.44498485170886909</v>
      </c>
      <c r="G54" s="56">
        <f t="shared" si="6"/>
        <v>0.44498485170886909</v>
      </c>
      <c r="H54" s="56">
        <f t="shared" si="6"/>
        <v>0.44498485170886909</v>
      </c>
    </row>
    <row r="55" spans="1:9" x14ac:dyDescent="0.7">
      <c r="A55" s="37" t="s">
        <v>201</v>
      </c>
      <c r="C55" s="56">
        <f t="shared" ref="C55:H55" si="7">IF(C46&lt;&gt;"",0,IF(C37&lt;&gt;"",C37,$D$26))</f>
        <v>0</v>
      </c>
      <c r="D55" s="56">
        <f t="shared" si="7"/>
        <v>0</v>
      </c>
      <c r="E55" s="56">
        <f t="shared" si="7"/>
        <v>0</v>
      </c>
      <c r="F55" s="56">
        <f t="shared" si="7"/>
        <v>0</v>
      </c>
      <c r="G55" s="56">
        <f t="shared" si="7"/>
        <v>0</v>
      </c>
      <c r="H55" s="56">
        <f t="shared" si="7"/>
        <v>0</v>
      </c>
    </row>
    <row r="56" spans="1:9" x14ac:dyDescent="0.7">
      <c r="A56" s="37" t="s">
        <v>164</v>
      </c>
      <c r="C56" s="56">
        <f t="shared" ref="C56:H56" si="8">IF(C47&lt;&gt;"",0,IF(C38&lt;&gt;"",C38,$D$27))</f>
        <v>0</v>
      </c>
      <c r="D56" s="56">
        <f t="shared" si="8"/>
        <v>0</v>
      </c>
      <c r="E56" s="56">
        <f t="shared" si="8"/>
        <v>0</v>
      </c>
      <c r="F56" s="56">
        <f t="shared" si="8"/>
        <v>0</v>
      </c>
      <c r="G56" s="56">
        <f t="shared" si="8"/>
        <v>0</v>
      </c>
      <c r="H56" s="56">
        <f t="shared" si="8"/>
        <v>0</v>
      </c>
    </row>
    <row r="57" spans="1:9" x14ac:dyDescent="0.7">
      <c r="A57" s="37" t="s">
        <v>202</v>
      </c>
      <c r="C57" s="56">
        <f t="shared" ref="C57:H57" si="9">IF(C48&lt;&gt;"",0,IF(C39&lt;&gt;"",C39,$D$28))</f>
        <v>0</v>
      </c>
      <c r="D57" s="56">
        <f t="shared" si="9"/>
        <v>0</v>
      </c>
      <c r="E57" s="56">
        <f t="shared" si="9"/>
        <v>0</v>
      </c>
      <c r="F57" s="56">
        <f t="shared" si="9"/>
        <v>0</v>
      </c>
      <c r="G57" s="56">
        <f t="shared" si="9"/>
        <v>0</v>
      </c>
      <c r="H57" s="56">
        <f t="shared" si="9"/>
        <v>0</v>
      </c>
    </row>
    <row r="58" spans="1:9" x14ac:dyDescent="0.7">
      <c r="A58" s="37" t="s">
        <v>203</v>
      </c>
      <c r="C58" s="56">
        <f t="shared" ref="C58:H58" si="10">IF(C49&lt;&gt;"",0,IF(C40&lt;&gt;"",C40,$D$29))</f>
        <v>0.55501514829113086</v>
      </c>
      <c r="D58" s="56">
        <f t="shared" si="10"/>
        <v>0.55501514829113086</v>
      </c>
      <c r="E58" s="56">
        <f t="shared" si="10"/>
        <v>0.55501514829113086</v>
      </c>
      <c r="F58" s="56">
        <f t="shared" si="10"/>
        <v>0.55501514829113086</v>
      </c>
      <c r="G58" s="56">
        <f t="shared" si="10"/>
        <v>0.55501514829113086</v>
      </c>
      <c r="H58" s="56">
        <f t="shared" si="10"/>
        <v>0.55501514829113086</v>
      </c>
    </row>
    <row r="59" spans="1:9" x14ac:dyDescent="0.7">
      <c r="A59" s="37" t="s">
        <v>205</v>
      </c>
      <c r="C59" s="56">
        <f t="shared" ref="C59:H59" si="11">IF(C50&lt;&gt;"",0,IF(C41&lt;&gt;"",C41,$D$30))</f>
        <v>0</v>
      </c>
      <c r="D59" s="56">
        <f t="shared" si="11"/>
        <v>0</v>
      </c>
      <c r="E59" s="56">
        <f t="shared" si="11"/>
        <v>0</v>
      </c>
      <c r="F59" s="56">
        <f t="shared" si="11"/>
        <v>0</v>
      </c>
      <c r="G59" s="56">
        <f t="shared" si="11"/>
        <v>0</v>
      </c>
      <c r="H59" s="56">
        <f t="shared" si="11"/>
        <v>0</v>
      </c>
    </row>
    <row r="61" spans="1:9" x14ac:dyDescent="0.7">
      <c r="A61" s="45" t="s">
        <v>210</v>
      </c>
    </row>
    <row r="62" spans="1:9" x14ac:dyDescent="0.7">
      <c r="A62" s="16" t="s">
        <v>13</v>
      </c>
      <c r="C62" s="16" t="str">
        <f>Byggnader!C12</f>
        <v>Byggnad 1</v>
      </c>
      <c r="D62" s="16" t="str">
        <f>Byggnader!D12</f>
        <v>Byggnad 2</v>
      </c>
      <c r="E62" s="16" t="str">
        <f>Byggnader!E12</f>
        <v>Byggnad 3</v>
      </c>
      <c r="F62" s="16" t="str">
        <f>Byggnader!F12</f>
        <v>Byggnad 4</v>
      </c>
      <c r="G62" s="16" t="str">
        <f>Byggnader!G12</f>
        <v>Byggnad 5</v>
      </c>
      <c r="H62" s="16" t="str">
        <f>Byggnader!H12</f>
        <v>Byggnad 6</v>
      </c>
      <c r="I62" s="16" t="s">
        <v>24</v>
      </c>
    </row>
    <row r="63" spans="1:9" x14ac:dyDescent="0.7">
      <c r="A63" s="37" t="s">
        <v>199</v>
      </c>
      <c r="C63" s="55">
        <f t="shared" ref="C63:H68" si="12">IF(C45&lt;&gt;"",C45,IFERROR(MAX(0,C$21-SUM(C$45:C$50))*C54/SUM(C$54:C$59),0))</f>
        <v>7342.2500531963396</v>
      </c>
      <c r="D63" s="55">
        <f t="shared" si="12"/>
        <v>0</v>
      </c>
      <c r="E63" s="55">
        <f t="shared" si="12"/>
        <v>0</v>
      </c>
      <c r="F63" s="55">
        <f t="shared" si="12"/>
        <v>0</v>
      </c>
      <c r="G63" s="55">
        <f t="shared" si="12"/>
        <v>0</v>
      </c>
      <c r="H63" s="55">
        <f t="shared" si="12"/>
        <v>0</v>
      </c>
      <c r="I63" s="55">
        <f t="shared" ref="I63:I68" si="13">SUM(C63:H63)</f>
        <v>7342.2500531963396</v>
      </c>
    </row>
    <row r="64" spans="1:9" x14ac:dyDescent="0.7">
      <c r="A64" s="37" t="s">
        <v>201</v>
      </c>
      <c r="C64" s="55">
        <f t="shared" si="12"/>
        <v>0</v>
      </c>
      <c r="D64" s="55">
        <f t="shared" si="12"/>
        <v>0</v>
      </c>
      <c r="E64" s="55">
        <f t="shared" si="12"/>
        <v>0</v>
      </c>
      <c r="F64" s="55">
        <f t="shared" si="12"/>
        <v>0</v>
      </c>
      <c r="G64" s="55">
        <f t="shared" si="12"/>
        <v>0</v>
      </c>
      <c r="H64" s="55">
        <f t="shared" si="12"/>
        <v>0</v>
      </c>
      <c r="I64" s="55">
        <f t="shared" si="13"/>
        <v>0</v>
      </c>
    </row>
    <row r="65" spans="1:9" x14ac:dyDescent="0.7">
      <c r="A65" s="37" t="s">
        <v>164</v>
      </c>
      <c r="C65" s="55">
        <f t="shared" si="12"/>
        <v>0</v>
      </c>
      <c r="D65" s="55">
        <f t="shared" si="12"/>
        <v>0</v>
      </c>
      <c r="E65" s="55">
        <f t="shared" si="12"/>
        <v>0</v>
      </c>
      <c r="F65" s="55">
        <f t="shared" si="12"/>
        <v>0</v>
      </c>
      <c r="G65" s="55">
        <f t="shared" si="12"/>
        <v>0</v>
      </c>
      <c r="H65" s="55">
        <f t="shared" si="12"/>
        <v>0</v>
      </c>
      <c r="I65" s="55">
        <f t="shared" si="13"/>
        <v>0</v>
      </c>
    </row>
    <row r="66" spans="1:9" x14ac:dyDescent="0.7">
      <c r="A66" s="37" t="s">
        <v>202</v>
      </c>
      <c r="C66" s="55">
        <f t="shared" si="12"/>
        <v>0</v>
      </c>
      <c r="D66" s="55">
        <f t="shared" si="12"/>
        <v>0</v>
      </c>
      <c r="E66" s="55">
        <f t="shared" si="12"/>
        <v>0</v>
      </c>
      <c r="F66" s="55">
        <f t="shared" si="12"/>
        <v>0</v>
      </c>
      <c r="G66" s="55">
        <f t="shared" si="12"/>
        <v>0</v>
      </c>
      <c r="H66" s="55">
        <f t="shared" si="12"/>
        <v>0</v>
      </c>
      <c r="I66" s="55">
        <f t="shared" si="13"/>
        <v>0</v>
      </c>
    </row>
    <row r="67" spans="1:9" x14ac:dyDescent="0.7">
      <c r="A67" s="37" t="s">
        <v>203</v>
      </c>
      <c r="C67" s="55">
        <f t="shared" si="12"/>
        <v>9157.7499468036585</v>
      </c>
      <c r="D67" s="55">
        <f t="shared" si="12"/>
        <v>0</v>
      </c>
      <c r="E67" s="55">
        <f t="shared" si="12"/>
        <v>0</v>
      </c>
      <c r="F67" s="55">
        <f t="shared" si="12"/>
        <v>0</v>
      </c>
      <c r="G67" s="55">
        <f t="shared" si="12"/>
        <v>0</v>
      </c>
      <c r="H67" s="55">
        <f t="shared" si="12"/>
        <v>0</v>
      </c>
      <c r="I67" s="55">
        <f t="shared" si="13"/>
        <v>9157.7499468036585</v>
      </c>
    </row>
    <row r="68" spans="1:9" x14ac:dyDescent="0.7">
      <c r="A68" s="37" t="s">
        <v>205</v>
      </c>
      <c r="C68" s="55">
        <f t="shared" si="12"/>
        <v>0</v>
      </c>
      <c r="D68" s="55">
        <f t="shared" si="12"/>
        <v>0</v>
      </c>
      <c r="E68" s="55">
        <f t="shared" si="12"/>
        <v>0</v>
      </c>
      <c r="F68" s="55">
        <f t="shared" si="12"/>
        <v>0</v>
      </c>
      <c r="G68" s="55">
        <f t="shared" si="12"/>
        <v>0</v>
      </c>
      <c r="H68" s="55">
        <f t="shared" si="12"/>
        <v>0</v>
      </c>
      <c r="I68" s="55">
        <f t="shared" si="13"/>
        <v>0</v>
      </c>
    </row>
    <row r="69" spans="1:9" x14ac:dyDescent="0.7">
      <c r="A69" s="16" t="s">
        <v>24</v>
      </c>
      <c r="C69" s="55">
        <f t="shared" ref="C69:I69" si="14">SUM(C63:C68)</f>
        <v>16500</v>
      </c>
      <c r="D69" s="55">
        <f t="shared" si="14"/>
        <v>0</v>
      </c>
      <c r="E69" s="55">
        <f t="shared" si="14"/>
        <v>0</v>
      </c>
      <c r="F69" s="55">
        <f t="shared" si="14"/>
        <v>0</v>
      </c>
      <c r="G69" s="55">
        <f t="shared" si="14"/>
        <v>0</v>
      </c>
      <c r="H69" s="55">
        <f t="shared" si="14"/>
        <v>0</v>
      </c>
      <c r="I69" s="55">
        <f t="shared" si="14"/>
        <v>16500</v>
      </c>
    </row>
    <row r="71" spans="1:9" x14ac:dyDescent="0.7">
      <c r="A71" s="45" t="s">
        <v>211</v>
      </c>
    </row>
    <row r="72" spans="1:9" x14ac:dyDescent="0.7">
      <c r="A72" s="16" t="s">
        <v>13</v>
      </c>
      <c r="C72" s="16" t="str">
        <f>Byggnader!C12</f>
        <v>Byggnad 1</v>
      </c>
      <c r="D72" s="16" t="str">
        <f>Byggnader!D12</f>
        <v>Byggnad 2</v>
      </c>
      <c r="E72" s="16" t="str">
        <f>Byggnader!E12</f>
        <v>Byggnad 3</v>
      </c>
      <c r="F72" s="16" t="str">
        <f>Byggnader!F12</f>
        <v>Byggnad 4</v>
      </c>
      <c r="G72" s="16" t="str">
        <f>Byggnader!G12</f>
        <v>Byggnad 5</v>
      </c>
      <c r="H72" s="16" t="str">
        <f>Byggnader!H12</f>
        <v>Byggnad 6</v>
      </c>
      <c r="I72" s="16" t="s">
        <v>24</v>
      </c>
    </row>
    <row r="73" spans="1:9" x14ac:dyDescent="0.7">
      <c r="A73" s="37" t="s">
        <v>199</v>
      </c>
      <c r="C73" s="56">
        <f t="shared" ref="C73:I78" si="15">IFERROR(C63/C$21,0)</f>
        <v>0.44498485170886909</v>
      </c>
      <c r="D73" s="56">
        <f t="shared" si="15"/>
        <v>0</v>
      </c>
      <c r="E73" s="56">
        <f t="shared" si="15"/>
        <v>0</v>
      </c>
      <c r="F73" s="56">
        <f t="shared" si="15"/>
        <v>0</v>
      </c>
      <c r="G73" s="56">
        <f t="shared" si="15"/>
        <v>0</v>
      </c>
      <c r="H73" s="56">
        <f t="shared" si="15"/>
        <v>0</v>
      </c>
      <c r="I73" s="56">
        <f t="shared" si="15"/>
        <v>0.44498485170886909</v>
      </c>
    </row>
    <row r="74" spans="1:9" x14ac:dyDescent="0.7">
      <c r="A74" s="37" t="s">
        <v>201</v>
      </c>
      <c r="C74" s="56">
        <f t="shared" si="15"/>
        <v>0</v>
      </c>
      <c r="D74" s="56">
        <f t="shared" si="15"/>
        <v>0</v>
      </c>
      <c r="E74" s="56">
        <f t="shared" si="15"/>
        <v>0</v>
      </c>
      <c r="F74" s="56">
        <f t="shared" si="15"/>
        <v>0</v>
      </c>
      <c r="G74" s="56">
        <f t="shared" si="15"/>
        <v>0</v>
      </c>
      <c r="H74" s="56">
        <f t="shared" si="15"/>
        <v>0</v>
      </c>
      <c r="I74" s="56">
        <f t="shared" si="15"/>
        <v>0</v>
      </c>
    </row>
    <row r="75" spans="1:9" x14ac:dyDescent="0.7">
      <c r="A75" s="37" t="s">
        <v>164</v>
      </c>
      <c r="C75" s="56">
        <f t="shared" si="15"/>
        <v>0</v>
      </c>
      <c r="D75" s="56">
        <f t="shared" si="15"/>
        <v>0</v>
      </c>
      <c r="E75" s="56">
        <f t="shared" si="15"/>
        <v>0</v>
      </c>
      <c r="F75" s="56">
        <f t="shared" si="15"/>
        <v>0</v>
      </c>
      <c r="G75" s="56">
        <f t="shared" si="15"/>
        <v>0</v>
      </c>
      <c r="H75" s="56">
        <f t="shared" si="15"/>
        <v>0</v>
      </c>
      <c r="I75" s="56">
        <f t="shared" si="15"/>
        <v>0</v>
      </c>
    </row>
    <row r="76" spans="1:9" x14ac:dyDescent="0.7">
      <c r="A76" s="37" t="s">
        <v>202</v>
      </c>
      <c r="C76" s="56">
        <f t="shared" si="15"/>
        <v>0</v>
      </c>
      <c r="D76" s="56">
        <f t="shared" si="15"/>
        <v>0</v>
      </c>
      <c r="E76" s="56">
        <f t="shared" si="15"/>
        <v>0</v>
      </c>
      <c r="F76" s="56">
        <f t="shared" si="15"/>
        <v>0</v>
      </c>
      <c r="G76" s="56">
        <f t="shared" si="15"/>
        <v>0</v>
      </c>
      <c r="H76" s="56">
        <f t="shared" si="15"/>
        <v>0</v>
      </c>
      <c r="I76" s="56">
        <f t="shared" si="15"/>
        <v>0</v>
      </c>
    </row>
    <row r="77" spans="1:9" x14ac:dyDescent="0.7">
      <c r="A77" s="37" t="s">
        <v>203</v>
      </c>
      <c r="C77" s="56">
        <f t="shared" si="15"/>
        <v>0.55501514829113086</v>
      </c>
      <c r="D77" s="56">
        <f t="shared" si="15"/>
        <v>0</v>
      </c>
      <c r="E77" s="56">
        <f t="shared" si="15"/>
        <v>0</v>
      </c>
      <c r="F77" s="56">
        <f t="shared" si="15"/>
        <v>0</v>
      </c>
      <c r="G77" s="56">
        <f t="shared" si="15"/>
        <v>0</v>
      </c>
      <c r="H77" s="56">
        <f t="shared" si="15"/>
        <v>0</v>
      </c>
      <c r="I77" s="56">
        <f t="shared" si="15"/>
        <v>0.55501514829113086</v>
      </c>
    </row>
    <row r="78" spans="1:9" x14ac:dyDescent="0.7">
      <c r="A78" s="37" t="s">
        <v>205</v>
      </c>
      <c r="C78" s="56">
        <f t="shared" si="15"/>
        <v>0</v>
      </c>
      <c r="D78" s="56">
        <f t="shared" si="15"/>
        <v>0</v>
      </c>
      <c r="E78" s="56">
        <f t="shared" si="15"/>
        <v>0</v>
      </c>
      <c r="F78" s="56">
        <f t="shared" si="15"/>
        <v>0</v>
      </c>
      <c r="G78" s="56">
        <f t="shared" si="15"/>
        <v>0</v>
      </c>
      <c r="H78" s="56">
        <f t="shared" si="15"/>
        <v>0</v>
      </c>
      <c r="I78" s="56">
        <f t="shared" si="15"/>
        <v>0</v>
      </c>
    </row>
    <row r="79" spans="1:9" x14ac:dyDescent="0.7">
      <c r="A79" s="37" t="s">
        <v>212</v>
      </c>
      <c r="C79" s="55">
        <f t="shared" ref="C79:I79" si="16">C69-C21</f>
        <v>0</v>
      </c>
      <c r="D79" s="55">
        <f t="shared" si="16"/>
        <v>0</v>
      </c>
      <c r="E79" s="55">
        <f t="shared" si="16"/>
        <v>0</v>
      </c>
      <c r="F79" s="55">
        <f t="shared" si="16"/>
        <v>0</v>
      </c>
      <c r="G79" s="55">
        <f t="shared" si="16"/>
        <v>0</v>
      </c>
      <c r="H79" s="55">
        <f t="shared" si="16"/>
        <v>0</v>
      </c>
      <c r="I79" s="55">
        <f t="shared" si="16"/>
        <v>0</v>
      </c>
    </row>
    <row r="81" spans="1:9" x14ac:dyDescent="0.7">
      <c r="A81" s="45" t="s">
        <v>213</v>
      </c>
    </row>
    <row r="82" spans="1:9" ht="24.25" x14ac:dyDescent="0.7">
      <c r="A82" s="16" t="s">
        <v>13</v>
      </c>
      <c r="B82" s="70" t="s">
        <v>214</v>
      </c>
      <c r="C82" s="16" t="str">
        <f>Byggnader!C12</f>
        <v>Byggnad 1</v>
      </c>
      <c r="D82" s="16" t="str">
        <f>Byggnader!D12</f>
        <v>Byggnad 2</v>
      </c>
      <c r="E82" s="16" t="str">
        <f>Byggnader!E12</f>
        <v>Byggnad 3</v>
      </c>
      <c r="F82" s="16" t="str">
        <f>Byggnader!F12</f>
        <v>Byggnad 4</v>
      </c>
      <c r="G82" s="16" t="str">
        <f>Byggnader!G12</f>
        <v>Byggnad 5</v>
      </c>
      <c r="H82" s="16" t="str">
        <f>Byggnader!H12</f>
        <v>Byggnad 6</v>
      </c>
      <c r="I82" s="16" t="s">
        <v>24</v>
      </c>
    </row>
    <row r="83" spans="1:9" x14ac:dyDescent="0.7">
      <c r="A83" s="37" t="s">
        <v>215</v>
      </c>
      <c r="B83" s="61">
        <v>1</v>
      </c>
      <c r="C83" s="55">
        <f t="shared" ref="C83:H83" si="17">C12</f>
        <v>6000</v>
      </c>
      <c r="D83" s="55">
        <f t="shared" si="17"/>
        <v>0</v>
      </c>
      <c r="E83" s="55">
        <f t="shared" si="17"/>
        <v>0</v>
      </c>
      <c r="F83" s="55">
        <f t="shared" si="17"/>
        <v>0</v>
      </c>
      <c r="G83" s="55">
        <f t="shared" si="17"/>
        <v>0</v>
      </c>
      <c r="H83" s="55">
        <f t="shared" si="17"/>
        <v>0</v>
      </c>
      <c r="I83" s="55">
        <f t="shared" ref="I83:I89" si="18">SUM(C83:H83)</f>
        <v>6000</v>
      </c>
    </row>
    <row r="84" spans="1:9" x14ac:dyDescent="0.7">
      <c r="A84" s="37" t="s">
        <v>199</v>
      </c>
      <c r="B84" s="61">
        <v>1</v>
      </c>
      <c r="C84" s="55">
        <f t="shared" ref="C84:H89" si="19">C63</f>
        <v>7342.2500531963396</v>
      </c>
      <c r="D84" s="55">
        <f t="shared" si="19"/>
        <v>0</v>
      </c>
      <c r="E84" s="55">
        <f t="shared" si="19"/>
        <v>0</v>
      </c>
      <c r="F84" s="55">
        <f t="shared" si="19"/>
        <v>0</v>
      </c>
      <c r="G84" s="55">
        <f t="shared" si="19"/>
        <v>0</v>
      </c>
      <c r="H84" s="55">
        <f t="shared" si="19"/>
        <v>0</v>
      </c>
      <c r="I84" s="55">
        <f t="shared" si="18"/>
        <v>7342.2500531963396</v>
      </c>
    </row>
    <row r="85" spans="1:9" x14ac:dyDescent="0.7">
      <c r="A85" s="37" t="s">
        <v>201</v>
      </c>
      <c r="B85" s="61">
        <v>1</v>
      </c>
      <c r="C85" s="55">
        <f t="shared" si="19"/>
        <v>0</v>
      </c>
      <c r="D85" s="55">
        <f t="shared" si="19"/>
        <v>0</v>
      </c>
      <c r="E85" s="55">
        <f t="shared" si="19"/>
        <v>0</v>
      </c>
      <c r="F85" s="55">
        <f t="shared" si="19"/>
        <v>0</v>
      </c>
      <c r="G85" s="55">
        <f t="shared" si="19"/>
        <v>0</v>
      </c>
      <c r="H85" s="55">
        <f t="shared" si="19"/>
        <v>0</v>
      </c>
      <c r="I85" s="55">
        <f t="shared" si="18"/>
        <v>0</v>
      </c>
    </row>
    <row r="86" spans="1:9" x14ac:dyDescent="0.7">
      <c r="A86" s="37" t="s">
        <v>164</v>
      </c>
      <c r="B86" s="61">
        <v>1</v>
      </c>
      <c r="C86" s="55">
        <f t="shared" si="19"/>
        <v>0</v>
      </c>
      <c r="D86" s="55">
        <f t="shared" si="19"/>
        <v>0</v>
      </c>
      <c r="E86" s="55">
        <f t="shared" si="19"/>
        <v>0</v>
      </c>
      <c r="F86" s="55">
        <f t="shared" si="19"/>
        <v>0</v>
      </c>
      <c r="G86" s="55">
        <f t="shared" si="19"/>
        <v>0</v>
      </c>
      <c r="H86" s="55">
        <f t="shared" si="19"/>
        <v>0</v>
      </c>
      <c r="I86" s="55">
        <f t="shared" si="18"/>
        <v>0</v>
      </c>
    </row>
    <row r="87" spans="1:9" x14ac:dyDescent="0.7">
      <c r="A87" s="37" t="s">
        <v>202</v>
      </c>
      <c r="B87" s="61">
        <v>1</v>
      </c>
      <c r="C87" s="55">
        <f t="shared" si="19"/>
        <v>0</v>
      </c>
      <c r="D87" s="55">
        <f t="shared" si="19"/>
        <v>0</v>
      </c>
      <c r="E87" s="55">
        <f t="shared" si="19"/>
        <v>0</v>
      </c>
      <c r="F87" s="55">
        <f t="shared" si="19"/>
        <v>0</v>
      </c>
      <c r="G87" s="55">
        <f t="shared" si="19"/>
        <v>0</v>
      </c>
      <c r="H87" s="55">
        <f t="shared" si="19"/>
        <v>0</v>
      </c>
      <c r="I87" s="55">
        <f t="shared" si="18"/>
        <v>0</v>
      </c>
    </row>
    <row r="88" spans="1:9" x14ac:dyDescent="0.7">
      <c r="A88" s="37" t="s">
        <v>203</v>
      </c>
      <c r="B88" s="61">
        <v>1</v>
      </c>
      <c r="C88" s="55">
        <f t="shared" si="19"/>
        <v>9157.7499468036585</v>
      </c>
      <c r="D88" s="55">
        <f t="shared" si="19"/>
        <v>0</v>
      </c>
      <c r="E88" s="55">
        <f t="shared" si="19"/>
        <v>0</v>
      </c>
      <c r="F88" s="55">
        <f t="shared" si="19"/>
        <v>0</v>
      </c>
      <c r="G88" s="55">
        <f t="shared" si="19"/>
        <v>0</v>
      </c>
      <c r="H88" s="55">
        <f t="shared" si="19"/>
        <v>0</v>
      </c>
      <c r="I88" s="55">
        <f t="shared" si="18"/>
        <v>9157.7499468036585</v>
      </c>
    </row>
    <row r="89" spans="1:9" x14ac:dyDescent="0.7">
      <c r="A89" s="37" t="s">
        <v>205</v>
      </c>
      <c r="B89" s="61">
        <v>1</v>
      </c>
      <c r="C89" s="55">
        <f t="shared" si="19"/>
        <v>0</v>
      </c>
      <c r="D89" s="55">
        <f t="shared" si="19"/>
        <v>0</v>
      </c>
      <c r="E89" s="55">
        <f t="shared" si="19"/>
        <v>0</v>
      </c>
      <c r="F89" s="55">
        <f t="shared" si="19"/>
        <v>0</v>
      </c>
      <c r="G89" s="55">
        <f t="shared" si="19"/>
        <v>0</v>
      </c>
      <c r="H89" s="55">
        <f t="shared" si="19"/>
        <v>0</v>
      </c>
      <c r="I89" s="55">
        <f t="shared" si="18"/>
        <v>0</v>
      </c>
    </row>
    <row r="90" spans="1:9" x14ac:dyDescent="0.7">
      <c r="A90" s="37" t="s">
        <v>216</v>
      </c>
      <c r="C90" s="55">
        <f t="shared" ref="C90:I90" si="20">SUM(C83:C89)</f>
        <v>22500</v>
      </c>
      <c r="D90" s="55">
        <f t="shared" si="20"/>
        <v>0</v>
      </c>
      <c r="E90" s="55">
        <f t="shared" si="20"/>
        <v>0</v>
      </c>
      <c r="F90" s="55">
        <f t="shared" si="20"/>
        <v>0</v>
      </c>
      <c r="G90" s="55">
        <f t="shared" si="20"/>
        <v>0</v>
      </c>
      <c r="H90" s="55">
        <f t="shared" si="20"/>
        <v>0</v>
      </c>
      <c r="I90" s="55">
        <f t="shared" si="20"/>
        <v>22500</v>
      </c>
    </row>
    <row r="91" spans="1:9" x14ac:dyDescent="0.7">
      <c r="A91" s="37" t="s">
        <v>217</v>
      </c>
      <c r="C91" s="55">
        <f t="shared" ref="C91:I91" si="21">SUMPRODUCT($B$83:$B$89,C83:C89)</f>
        <v>22500</v>
      </c>
      <c r="D91" s="55">
        <f t="shared" si="21"/>
        <v>0</v>
      </c>
      <c r="E91" s="55">
        <f t="shared" si="21"/>
        <v>0</v>
      </c>
      <c r="F91" s="55">
        <f t="shared" si="21"/>
        <v>0</v>
      </c>
      <c r="G91" s="55">
        <f t="shared" si="21"/>
        <v>0</v>
      </c>
      <c r="H91" s="55">
        <f t="shared" si="21"/>
        <v>0</v>
      </c>
      <c r="I91" s="55">
        <f t="shared" si="21"/>
        <v>22500</v>
      </c>
    </row>
    <row r="93" spans="1:9" x14ac:dyDescent="0.7">
      <c r="A93" s="45" t="s">
        <v>218</v>
      </c>
    </row>
    <row r="94" spans="1:9" x14ac:dyDescent="0.7">
      <c r="A94" s="16" t="s">
        <v>13</v>
      </c>
      <c r="C94" s="16" t="str">
        <f>Byggnader!C12</f>
        <v>Byggnad 1</v>
      </c>
      <c r="D94" s="16" t="str">
        <f>Byggnader!D12</f>
        <v>Byggnad 2</v>
      </c>
      <c r="E94" s="16" t="str">
        <f>Byggnader!E12</f>
        <v>Byggnad 3</v>
      </c>
      <c r="F94" s="16" t="str">
        <f>Byggnader!F12</f>
        <v>Byggnad 4</v>
      </c>
      <c r="G94" s="16" t="str">
        <f>Byggnader!G12</f>
        <v>Byggnad 5</v>
      </c>
      <c r="H94" s="16" t="str">
        <f>Byggnader!H12</f>
        <v>Byggnad 6</v>
      </c>
      <c r="I94" s="16" t="s">
        <v>24</v>
      </c>
    </row>
    <row r="95" spans="1:9" x14ac:dyDescent="0.7">
      <c r="A95" s="37" t="s">
        <v>215</v>
      </c>
      <c r="C95" s="55">
        <f t="shared" ref="C95:H101" si="22">IFERROR(MIN(C83,C$19*$B83*C83/C$91),0)</f>
        <v>666.66666666666663</v>
      </c>
      <c r="D95" s="55">
        <f t="shared" si="22"/>
        <v>0</v>
      </c>
      <c r="E95" s="55">
        <f t="shared" si="22"/>
        <v>0</v>
      </c>
      <c r="F95" s="55">
        <f t="shared" si="22"/>
        <v>0</v>
      </c>
      <c r="G95" s="55">
        <f t="shared" si="22"/>
        <v>0</v>
      </c>
      <c r="H95" s="55">
        <f t="shared" si="22"/>
        <v>0</v>
      </c>
      <c r="I95" s="55">
        <f t="shared" ref="I95:I101" si="23">SUM(C95:H95)</f>
        <v>666.66666666666663</v>
      </c>
    </row>
    <row r="96" spans="1:9" x14ac:dyDescent="0.7">
      <c r="A96" s="37" t="s">
        <v>199</v>
      </c>
      <c r="C96" s="55">
        <f t="shared" si="22"/>
        <v>815.80556146625997</v>
      </c>
      <c r="D96" s="55">
        <f t="shared" si="22"/>
        <v>0</v>
      </c>
      <c r="E96" s="55">
        <f t="shared" si="22"/>
        <v>0</v>
      </c>
      <c r="F96" s="55">
        <f t="shared" si="22"/>
        <v>0</v>
      </c>
      <c r="G96" s="55">
        <f t="shared" si="22"/>
        <v>0</v>
      </c>
      <c r="H96" s="55">
        <f t="shared" si="22"/>
        <v>0</v>
      </c>
      <c r="I96" s="55">
        <f t="shared" si="23"/>
        <v>815.80556146625997</v>
      </c>
    </row>
    <row r="97" spans="1:9" x14ac:dyDescent="0.7">
      <c r="A97" s="37" t="s">
        <v>201</v>
      </c>
      <c r="C97" s="55">
        <f t="shared" si="22"/>
        <v>0</v>
      </c>
      <c r="D97" s="55">
        <f t="shared" si="22"/>
        <v>0</v>
      </c>
      <c r="E97" s="55">
        <f t="shared" si="22"/>
        <v>0</v>
      </c>
      <c r="F97" s="55">
        <f t="shared" si="22"/>
        <v>0</v>
      </c>
      <c r="G97" s="55">
        <f t="shared" si="22"/>
        <v>0</v>
      </c>
      <c r="H97" s="55">
        <f t="shared" si="22"/>
        <v>0</v>
      </c>
      <c r="I97" s="55">
        <f t="shared" si="23"/>
        <v>0</v>
      </c>
    </row>
    <row r="98" spans="1:9" x14ac:dyDescent="0.7">
      <c r="A98" s="37" t="s">
        <v>164</v>
      </c>
      <c r="C98" s="55">
        <f t="shared" si="22"/>
        <v>0</v>
      </c>
      <c r="D98" s="55">
        <f t="shared" si="22"/>
        <v>0</v>
      </c>
      <c r="E98" s="55">
        <f t="shared" si="22"/>
        <v>0</v>
      </c>
      <c r="F98" s="55">
        <f t="shared" si="22"/>
        <v>0</v>
      </c>
      <c r="G98" s="55">
        <f t="shared" si="22"/>
        <v>0</v>
      </c>
      <c r="H98" s="55">
        <f t="shared" si="22"/>
        <v>0</v>
      </c>
      <c r="I98" s="55">
        <f t="shared" si="23"/>
        <v>0</v>
      </c>
    </row>
    <row r="99" spans="1:9" x14ac:dyDescent="0.7">
      <c r="A99" s="37" t="s">
        <v>202</v>
      </c>
      <c r="C99" s="55">
        <f t="shared" si="22"/>
        <v>0</v>
      </c>
      <c r="D99" s="55">
        <f t="shared" si="22"/>
        <v>0</v>
      </c>
      <c r="E99" s="55">
        <f t="shared" si="22"/>
        <v>0</v>
      </c>
      <c r="F99" s="55">
        <f t="shared" si="22"/>
        <v>0</v>
      </c>
      <c r="G99" s="55">
        <f t="shared" si="22"/>
        <v>0</v>
      </c>
      <c r="H99" s="55">
        <f t="shared" si="22"/>
        <v>0</v>
      </c>
      <c r="I99" s="55">
        <f t="shared" si="23"/>
        <v>0</v>
      </c>
    </row>
    <row r="100" spans="1:9" x14ac:dyDescent="0.7">
      <c r="A100" s="37" t="s">
        <v>203</v>
      </c>
      <c r="C100" s="55">
        <f t="shared" si="22"/>
        <v>1017.5277718670733</v>
      </c>
      <c r="D100" s="55">
        <f t="shared" si="22"/>
        <v>0</v>
      </c>
      <c r="E100" s="55">
        <f t="shared" si="22"/>
        <v>0</v>
      </c>
      <c r="F100" s="55">
        <f t="shared" si="22"/>
        <v>0</v>
      </c>
      <c r="G100" s="55">
        <f t="shared" si="22"/>
        <v>0</v>
      </c>
      <c r="H100" s="55">
        <f t="shared" si="22"/>
        <v>0</v>
      </c>
      <c r="I100" s="55">
        <f t="shared" si="23"/>
        <v>1017.5277718670733</v>
      </c>
    </row>
    <row r="101" spans="1:9" x14ac:dyDescent="0.7">
      <c r="A101" s="37" t="s">
        <v>205</v>
      </c>
      <c r="C101" s="55">
        <f t="shared" si="22"/>
        <v>0</v>
      </c>
      <c r="D101" s="55">
        <f t="shared" si="22"/>
        <v>0</v>
      </c>
      <c r="E101" s="55">
        <f t="shared" si="22"/>
        <v>0</v>
      </c>
      <c r="F101" s="55">
        <f t="shared" si="22"/>
        <v>0</v>
      </c>
      <c r="G101" s="55">
        <f t="shared" si="22"/>
        <v>0</v>
      </c>
      <c r="H101" s="55">
        <f t="shared" si="22"/>
        <v>0</v>
      </c>
      <c r="I101" s="55">
        <f t="shared" si="23"/>
        <v>0</v>
      </c>
    </row>
    <row r="102" spans="1:9" x14ac:dyDescent="0.7">
      <c r="A102" s="16" t="s">
        <v>219</v>
      </c>
      <c r="C102" s="55">
        <f t="shared" ref="C102:I102" si="24">SUM(C95:C101)</f>
        <v>2500</v>
      </c>
      <c r="D102" s="55">
        <f t="shared" si="24"/>
        <v>0</v>
      </c>
      <c r="E102" s="55">
        <f t="shared" si="24"/>
        <v>0</v>
      </c>
      <c r="F102" s="55">
        <f t="shared" si="24"/>
        <v>0</v>
      </c>
      <c r="G102" s="55">
        <f t="shared" si="24"/>
        <v>0</v>
      </c>
      <c r="H102" s="55">
        <f t="shared" si="24"/>
        <v>0</v>
      </c>
      <c r="I102" s="55">
        <f t="shared" si="24"/>
        <v>2500</v>
      </c>
    </row>
    <row r="103" spans="1:9" x14ac:dyDescent="0.7">
      <c r="A103" s="37" t="s">
        <v>220</v>
      </c>
      <c r="C103" s="55">
        <f t="shared" ref="C103:I103" si="25">C19-C102</f>
        <v>0</v>
      </c>
      <c r="D103" s="55">
        <f t="shared" si="25"/>
        <v>0</v>
      </c>
      <c r="E103" s="55">
        <f t="shared" si="25"/>
        <v>0</v>
      </c>
      <c r="F103" s="55">
        <f t="shared" si="25"/>
        <v>0</v>
      </c>
      <c r="G103" s="55">
        <f t="shared" si="25"/>
        <v>0</v>
      </c>
      <c r="H103" s="55">
        <f t="shared" si="25"/>
        <v>0</v>
      </c>
      <c r="I103" s="55">
        <f t="shared" si="25"/>
        <v>0</v>
      </c>
    </row>
    <row r="105" spans="1:9" x14ac:dyDescent="0.7">
      <c r="A105" s="45" t="s">
        <v>221</v>
      </c>
    </row>
    <row r="106" spans="1:9" x14ac:dyDescent="0.7">
      <c r="A106" s="16" t="s">
        <v>13</v>
      </c>
      <c r="C106" s="16" t="str">
        <f>Byggnader!C12</f>
        <v>Byggnad 1</v>
      </c>
      <c r="D106" s="16" t="str">
        <f>Byggnader!D12</f>
        <v>Byggnad 2</v>
      </c>
      <c r="E106" s="16" t="str">
        <f>Byggnader!E12</f>
        <v>Byggnad 3</v>
      </c>
      <c r="F106" s="16" t="str">
        <f>Byggnader!F12</f>
        <v>Byggnad 4</v>
      </c>
      <c r="G106" s="16" t="str">
        <f>Byggnader!G12</f>
        <v>Byggnad 5</v>
      </c>
      <c r="H106" s="16" t="str">
        <f>Byggnader!H12</f>
        <v>Byggnad 6</v>
      </c>
      <c r="I106" s="16" t="s">
        <v>24</v>
      </c>
    </row>
    <row r="107" spans="1:9" x14ac:dyDescent="0.7">
      <c r="A107" s="37" t="s">
        <v>215</v>
      </c>
      <c r="C107" s="56">
        <f t="shared" ref="C107:I113" si="26">IFERROR(C95/C$19,0)</f>
        <v>0.26666666666666666</v>
      </c>
      <c r="D107" s="56">
        <f t="shared" si="26"/>
        <v>0</v>
      </c>
      <c r="E107" s="56">
        <f t="shared" si="26"/>
        <v>0</v>
      </c>
      <c r="F107" s="56">
        <f t="shared" si="26"/>
        <v>0</v>
      </c>
      <c r="G107" s="56">
        <f t="shared" si="26"/>
        <v>0</v>
      </c>
      <c r="H107" s="56">
        <f t="shared" si="26"/>
        <v>0</v>
      </c>
      <c r="I107" s="56">
        <f t="shared" si="26"/>
        <v>0.26666666666666666</v>
      </c>
    </row>
    <row r="108" spans="1:9" x14ac:dyDescent="0.7">
      <c r="A108" s="37" t="s">
        <v>199</v>
      </c>
      <c r="C108" s="56">
        <f t="shared" si="26"/>
        <v>0.32632222458650401</v>
      </c>
      <c r="D108" s="56">
        <f t="shared" si="26"/>
        <v>0</v>
      </c>
      <c r="E108" s="56">
        <f t="shared" si="26"/>
        <v>0</v>
      </c>
      <c r="F108" s="56">
        <f t="shared" si="26"/>
        <v>0</v>
      </c>
      <c r="G108" s="56">
        <f t="shared" si="26"/>
        <v>0</v>
      </c>
      <c r="H108" s="56">
        <f t="shared" si="26"/>
        <v>0</v>
      </c>
      <c r="I108" s="56">
        <f t="shared" si="26"/>
        <v>0.32632222458650401</v>
      </c>
    </row>
    <row r="109" spans="1:9" x14ac:dyDescent="0.7">
      <c r="A109" s="37" t="s">
        <v>201</v>
      </c>
      <c r="C109" s="56">
        <f t="shared" si="26"/>
        <v>0</v>
      </c>
      <c r="D109" s="56">
        <f t="shared" si="26"/>
        <v>0</v>
      </c>
      <c r="E109" s="56">
        <f t="shared" si="26"/>
        <v>0</v>
      </c>
      <c r="F109" s="56">
        <f t="shared" si="26"/>
        <v>0</v>
      </c>
      <c r="G109" s="56">
        <f t="shared" si="26"/>
        <v>0</v>
      </c>
      <c r="H109" s="56">
        <f t="shared" si="26"/>
        <v>0</v>
      </c>
      <c r="I109" s="56">
        <f t="shared" si="26"/>
        <v>0</v>
      </c>
    </row>
    <row r="110" spans="1:9" x14ac:dyDescent="0.7">
      <c r="A110" s="37" t="s">
        <v>164</v>
      </c>
      <c r="C110" s="56">
        <f t="shared" si="26"/>
        <v>0</v>
      </c>
      <c r="D110" s="56">
        <f t="shared" si="26"/>
        <v>0</v>
      </c>
      <c r="E110" s="56">
        <f t="shared" si="26"/>
        <v>0</v>
      </c>
      <c r="F110" s="56">
        <f t="shared" si="26"/>
        <v>0</v>
      </c>
      <c r="G110" s="56">
        <f t="shared" si="26"/>
        <v>0</v>
      </c>
      <c r="H110" s="56">
        <f t="shared" si="26"/>
        <v>0</v>
      </c>
      <c r="I110" s="56">
        <f t="shared" si="26"/>
        <v>0</v>
      </c>
    </row>
    <row r="111" spans="1:9" x14ac:dyDescent="0.7">
      <c r="A111" s="37" t="s">
        <v>202</v>
      </c>
      <c r="C111" s="56">
        <f t="shared" si="26"/>
        <v>0</v>
      </c>
      <c r="D111" s="56">
        <f t="shared" si="26"/>
        <v>0</v>
      </c>
      <c r="E111" s="56">
        <f t="shared" si="26"/>
        <v>0</v>
      </c>
      <c r="F111" s="56">
        <f t="shared" si="26"/>
        <v>0</v>
      </c>
      <c r="G111" s="56">
        <f t="shared" si="26"/>
        <v>0</v>
      </c>
      <c r="H111" s="56">
        <f t="shared" si="26"/>
        <v>0</v>
      </c>
      <c r="I111" s="56">
        <f t="shared" si="26"/>
        <v>0</v>
      </c>
    </row>
    <row r="112" spans="1:9" x14ac:dyDescent="0.7">
      <c r="A112" s="37" t="s">
        <v>203</v>
      </c>
      <c r="C112" s="56">
        <f t="shared" si="26"/>
        <v>0.40701110874682933</v>
      </c>
      <c r="D112" s="56">
        <f t="shared" si="26"/>
        <v>0</v>
      </c>
      <c r="E112" s="56">
        <f t="shared" si="26"/>
        <v>0</v>
      </c>
      <c r="F112" s="56">
        <f t="shared" si="26"/>
        <v>0</v>
      </c>
      <c r="G112" s="56">
        <f t="shared" si="26"/>
        <v>0</v>
      </c>
      <c r="H112" s="56">
        <f t="shared" si="26"/>
        <v>0</v>
      </c>
      <c r="I112" s="56">
        <f t="shared" si="26"/>
        <v>0.40701110874682933</v>
      </c>
    </row>
    <row r="113" spans="1:9" x14ac:dyDescent="0.7">
      <c r="A113" s="37" t="s">
        <v>205</v>
      </c>
      <c r="C113" s="56">
        <f t="shared" si="26"/>
        <v>0</v>
      </c>
      <c r="D113" s="56">
        <f t="shared" si="26"/>
        <v>0</v>
      </c>
      <c r="E113" s="56">
        <f t="shared" si="26"/>
        <v>0</v>
      </c>
      <c r="F113" s="56">
        <f t="shared" si="26"/>
        <v>0</v>
      </c>
      <c r="G113" s="56">
        <f t="shared" si="26"/>
        <v>0</v>
      </c>
      <c r="H113" s="56">
        <f t="shared" si="26"/>
        <v>0</v>
      </c>
      <c r="I113" s="56">
        <f t="shared" si="26"/>
        <v>0</v>
      </c>
    </row>
    <row r="115" spans="1:9" x14ac:dyDescent="0.7">
      <c r="A115" s="45" t="s">
        <v>222</v>
      </c>
    </row>
    <row r="116" spans="1:9" x14ac:dyDescent="0.7">
      <c r="A116" s="16" t="s">
        <v>13</v>
      </c>
      <c r="C116" s="16" t="str">
        <f>Byggnader!C12</f>
        <v>Byggnad 1</v>
      </c>
      <c r="D116" s="16" t="str">
        <f>Byggnader!D12</f>
        <v>Byggnad 2</v>
      </c>
      <c r="E116" s="16" t="str">
        <f>Byggnader!E12</f>
        <v>Byggnad 3</v>
      </c>
      <c r="F116" s="16" t="str">
        <f>Byggnader!F12</f>
        <v>Byggnad 4</v>
      </c>
      <c r="G116" s="16" t="str">
        <f>Byggnader!G12</f>
        <v>Byggnad 5</v>
      </c>
      <c r="H116" s="16" t="str">
        <f>Byggnader!H12</f>
        <v>Byggnad 6</v>
      </c>
      <c r="I116" s="16" t="s">
        <v>24</v>
      </c>
    </row>
    <row r="117" spans="1:9" x14ac:dyDescent="0.7">
      <c r="A117" s="37" t="s">
        <v>215</v>
      </c>
      <c r="C117" s="55">
        <f t="shared" ref="C117:H123" si="27">C83-C95</f>
        <v>5333.333333333333</v>
      </c>
      <c r="D117" s="55">
        <f t="shared" si="27"/>
        <v>0</v>
      </c>
      <c r="E117" s="55">
        <f t="shared" si="27"/>
        <v>0</v>
      </c>
      <c r="F117" s="55">
        <f t="shared" si="27"/>
        <v>0</v>
      </c>
      <c r="G117" s="55">
        <f t="shared" si="27"/>
        <v>0</v>
      </c>
      <c r="H117" s="55">
        <f t="shared" si="27"/>
        <v>0</v>
      </c>
      <c r="I117" s="55">
        <f t="shared" ref="I117:I123" si="28">SUM(C117:H117)</f>
        <v>5333.333333333333</v>
      </c>
    </row>
    <row r="118" spans="1:9" x14ac:dyDescent="0.7">
      <c r="A118" s="37" t="s">
        <v>199</v>
      </c>
      <c r="C118" s="55">
        <f t="shared" si="27"/>
        <v>6526.4444917300798</v>
      </c>
      <c r="D118" s="55">
        <f t="shared" si="27"/>
        <v>0</v>
      </c>
      <c r="E118" s="55">
        <f t="shared" si="27"/>
        <v>0</v>
      </c>
      <c r="F118" s="55">
        <f t="shared" si="27"/>
        <v>0</v>
      </c>
      <c r="G118" s="55">
        <f t="shared" si="27"/>
        <v>0</v>
      </c>
      <c r="H118" s="55">
        <f t="shared" si="27"/>
        <v>0</v>
      </c>
      <c r="I118" s="55">
        <f t="shared" si="28"/>
        <v>6526.4444917300798</v>
      </c>
    </row>
    <row r="119" spans="1:9" x14ac:dyDescent="0.7">
      <c r="A119" s="37" t="s">
        <v>201</v>
      </c>
      <c r="C119" s="55">
        <f t="shared" si="27"/>
        <v>0</v>
      </c>
      <c r="D119" s="55">
        <f t="shared" si="27"/>
        <v>0</v>
      </c>
      <c r="E119" s="55">
        <f t="shared" si="27"/>
        <v>0</v>
      </c>
      <c r="F119" s="55">
        <f t="shared" si="27"/>
        <v>0</v>
      </c>
      <c r="G119" s="55">
        <f t="shared" si="27"/>
        <v>0</v>
      </c>
      <c r="H119" s="55">
        <f t="shared" si="27"/>
        <v>0</v>
      </c>
      <c r="I119" s="55">
        <f t="shared" si="28"/>
        <v>0</v>
      </c>
    </row>
    <row r="120" spans="1:9" x14ac:dyDescent="0.7">
      <c r="A120" s="37" t="s">
        <v>164</v>
      </c>
      <c r="C120" s="55">
        <f t="shared" si="27"/>
        <v>0</v>
      </c>
      <c r="D120" s="55">
        <f t="shared" si="27"/>
        <v>0</v>
      </c>
      <c r="E120" s="55">
        <f t="shared" si="27"/>
        <v>0</v>
      </c>
      <c r="F120" s="55">
        <f t="shared" si="27"/>
        <v>0</v>
      </c>
      <c r="G120" s="55">
        <f t="shared" si="27"/>
        <v>0</v>
      </c>
      <c r="H120" s="55">
        <f t="shared" si="27"/>
        <v>0</v>
      </c>
      <c r="I120" s="55">
        <f t="shared" si="28"/>
        <v>0</v>
      </c>
    </row>
    <row r="121" spans="1:9" x14ac:dyDescent="0.7">
      <c r="A121" s="37" t="s">
        <v>202</v>
      </c>
      <c r="C121" s="55">
        <f t="shared" si="27"/>
        <v>0</v>
      </c>
      <c r="D121" s="55">
        <f t="shared" si="27"/>
        <v>0</v>
      </c>
      <c r="E121" s="55">
        <f t="shared" si="27"/>
        <v>0</v>
      </c>
      <c r="F121" s="55">
        <f t="shared" si="27"/>
        <v>0</v>
      </c>
      <c r="G121" s="55">
        <f t="shared" si="27"/>
        <v>0</v>
      </c>
      <c r="H121" s="55">
        <f t="shared" si="27"/>
        <v>0</v>
      </c>
      <c r="I121" s="55">
        <f t="shared" si="28"/>
        <v>0</v>
      </c>
    </row>
    <row r="122" spans="1:9" x14ac:dyDescent="0.7">
      <c r="A122" s="37" t="s">
        <v>203</v>
      </c>
      <c r="C122" s="55">
        <f t="shared" si="27"/>
        <v>8140.2221749365854</v>
      </c>
      <c r="D122" s="55">
        <f t="shared" si="27"/>
        <v>0</v>
      </c>
      <c r="E122" s="55">
        <f t="shared" si="27"/>
        <v>0</v>
      </c>
      <c r="F122" s="55">
        <f t="shared" si="27"/>
        <v>0</v>
      </c>
      <c r="G122" s="55">
        <f t="shared" si="27"/>
        <v>0</v>
      </c>
      <c r="H122" s="55">
        <f t="shared" si="27"/>
        <v>0</v>
      </c>
      <c r="I122" s="55">
        <f t="shared" si="28"/>
        <v>8140.2221749365854</v>
      </c>
    </row>
    <row r="123" spans="1:9" x14ac:dyDescent="0.7">
      <c r="A123" s="37" t="s">
        <v>205</v>
      </c>
      <c r="C123" s="55">
        <f t="shared" si="27"/>
        <v>0</v>
      </c>
      <c r="D123" s="55">
        <f t="shared" si="27"/>
        <v>0</v>
      </c>
      <c r="E123" s="55">
        <f t="shared" si="27"/>
        <v>0</v>
      </c>
      <c r="F123" s="55">
        <f t="shared" si="27"/>
        <v>0</v>
      </c>
      <c r="G123" s="55">
        <f t="shared" si="27"/>
        <v>0</v>
      </c>
      <c r="H123" s="55">
        <f t="shared" si="27"/>
        <v>0</v>
      </c>
      <c r="I123" s="55">
        <f t="shared" si="28"/>
        <v>0</v>
      </c>
    </row>
    <row r="125" spans="1:9" x14ac:dyDescent="0.7">
      <c r="A125" s="45" t="s">
        <v>223</v>
      </c>
    </row>
    <row r="126" spans="1:9" x14ac:dyDescent="0.7">
      <c r="A126" s="16" t="s">
        <v>13</v>
      </c>
      <c r="C126" s="16" t="str">
        <f>Byggnader!C12</f>
        <v>Byggnad 1</v>
      </c>
      <c r="D126" s="16" t="str">
        <f>Byggnader!D12</f>
        <v>Byggnad 2</v>
      </c>
      <c r="E126" s="16" t="str">
        <f>Byggnader!E12</f>
        <v>Byggnad 3</v>
      </c>
      <c r="F126" s="16" t="str">
        <f>Byggnader!F12</f>
        <v>Byggnad 4</v>
      </c>
      <c r="G126" s="16" t="str">
        <f>Byggnader!G12</f>
        <v>Byggnad 5</v>
      </c>
      <c r="H126" s="16" t="str">
        <f>Byggnader!H12</f>
        <v>Byggnad 6</v>
      </c>
      <c r="I126" s="16" t="s">
        <v>24</v>
      </c>
    </row>
    <row r="127" spans="1:9" x14ac:dyDescent="0.7">
      <c r="A127" s="37" t="s">
        <v>224</v>
      </c>
      <c r="C127" s="55">
        <f t="shared" ref="C127:H127" si="29">C84</f>
        <v>7342.2500531963396</v>
      </c>
      <c r="D127" s="55">
        <f t="shared" si="29"/>
        <v>0</v>
      </c>
      <c r="E127" s="55">
        <f t="shared" si="29"/>
        <v>0</v>
      </c>
      <c r="F127" s="55">
        <f t="shared" si="29"/>
        <v>0</v>
      </c>
      <c r="G127" s="55">
        <f t="shared" si="29"/>
        <v>0</v>
      </c>
      <c r="H127" s="55">
        <f t="shared" si="29"/>
        <v>0</v>
      </c>
      <c r="I127" s="55">
        <f t="shared" ref="I127:I135" si="30">SUM(C127:H127)</f>
        <v>7342.2500531963396</v>
      </c>
    </row>
    <row r="128" spans="1:9" x14ac:dyDescent="0.7">
      <c r="A128" s="37" t="s">
        <v>225</v>
      </c>
      <c r="C128" s="55">
        <f t="shared" ref="C128:H128" si="31">C96</f>
        <v>815.80556146625997</v>
      </c>
      <c r="D128" s="55">
        <f t="shared" si="31"/>
        <v>0</v>
      </c>
      <c r="E128" s="55">
        <f t="shared" si="31"/>
        <v>0</v>
      </c>
      <c r="F128" s="55">
        <f t="shared" si="31"/>
        <v>0</v>
      </c>
      <c r="G128" s="55">
        <f t="shared" si="31"/>
        <v>0</v>
      </c>
      <c r="H128" s="55">
        <f t="shared" si="31"/>
        <v>0</v>
      </c>
      <c r="I128" s="55">
        <f t="shared" si="30"/>
        <v>815.80556146625997</v>
      </c>
    </row>
    <row r="129" spans="1:9" x14ac:dyDescent="0.7">
      <c r="A129" s="37" t="s">
        <v>226</v>
      </c>
      <c r="C129" s="55">
        <f t="shared" ref="C129:H131" si="32">C85</f>
        <v>0</v>
      </c>
      <c r="D129" s="55">
        <f t="shared" si="32"/>
        <v>0</v>
      </c>
      <c r="E129" s="55">
        <f t="shared" si="32"/>
        <v>0</v>
      </c>
      <c r="F129" s="55">
        <f t="shared" si="32"/>
        <v>0</v>
      </c>
      <c r="G129" s="55">
        <f t="shared" si="32"/>
        <v>0</v>
      </c>
      <c r="H129" s="55">
        <f t="shared" si="32"/>
        <v>0</v>
      </c>
      <c r="I129" s="55">
        <f t="shared" si="30"/>
        <v>0</v>
      </c>
    </row>
    <row r="130" spans="1:9" x14ac:dyDescent="0.7">
      <c r="A130" s="37" t="s">
        <v>164</v>
      </c>
      <c r="C130" s="55">
        <f t="shared" si="32"/>
        <v>0</v>
      </c>
      <c r="D130" s="55">
        <f t="shared" si="32"/>
        <v>0</v>
      </c>
      <c r="E130" s="55">
        <f t="shared" si="32"/>
        <v>0</v>
      </c>
      <c r="F130" s="55">
        <f t="shared" si="32"/>
        <v>0</v>
      </c>
      <c r="G130" s="55">
        <f t="shared" si="32"/>
        <v>0</v>
      </c>
      <c r="H130" s="55">
        <f t="shared" si="32"/>
        <v>0</v>
      </c>
      <c r="I130" s="55">
        <f t="shared" si="30"/>
        <v>0</v>
      </c>
    </row>
    <row r="131" spans="1:9" x14ac:dyDescent="0.7">
      <c r="A131" s="37" t="s">
        <v>202</v>
      </c>
      <c r="C131" s="55">
        <f t="shared" si="32"/>
        <v>0</v>
      </c>
      <c r="D131" s="55">
        <f t="shared" si="32"/>
        <v>0</v>
      </c>
      <c r="E131" s="55">
        <f t="shared" si="32"/>
        <v>0</v>
      </c>
      <c r="F131" s="55">
        <f t="shared" si="32"/>
        <v>0</v>
      </c>
      <c r="G131" s="55">
        <f t="shared" si="32"/>
        <v>0</v>
      </c>
      <c r="H131" s="55">
        <f t="shared" si="32"/>
        <v>0</v>
      </c>
      <c r="I131" s="55">
        <f t="shared" si="30"/>
        <v>0</v>
      </c>
    </row>
    <row r="132" spans="1:9" x14ac:dyDescent="0.7">
      <c r="A132" s="37" t="s">
        <v>227</v>
      </c>
      <c r="C132" s="55">
        <f t="shared" ref="C132:H132" si="33">C97+C98+C99</f>
        <v>0</v>
      </c>
      <c r="D132" s="55">
        <f t="shared" si="33"/>
        <v>0</v>
      </c>
      <c r="E132" s="55">
        <f t="shared" si="33"/>
        <v>0</v>
      </c>
      <c r="F132" s="55">
        <f t="shared" si="33"/>
        <v>0</v>
      </c>
      <c r="G132" s="55">
        <f t="shared" si="33"/>
        <v>0</v>
      </c>
      <c r="H132" s="55">
        <f t="shared" si="33"/>
        <v>0</v>
      </c>
      <c r="I132" s="55">
        <f t="shared" si="30"/>
        <v>0</v>
      </c>
    </row>
    <row r="133" spans="1:9" x14ac:dyDescent="0.7">
      <c r="A133" s="37" t="s">
        <v>228</v>
      </c>
      <c r="C133" s="55">
        <f t="shared" ref="C133:H133" si="34">C12+C13</f>
        <v>6000</v>
      </c>
      <c r="D133" s="55">
        <f t="shared" si="34"/>
        <v>0</v>
      </c>
      <c r="E133" s="55">
        <f t="shared" si="34"/>
        <v>0</v>
      </c>
      <c r="F133" s="55">
        <f t="shared" si="34"/>
        <v>0</v>
      </c>
      <c r="G133" s="55">
        <f t="shared" si="34"/>
        <v>0</v>
      </c>
      <c r="H133" s="55">
        <f t="shared" si="34"/>
        <v>0</v>
      </c>
      <c r="I133" s="55">
        <f t="shared" si="30"/>
        <v>6000</v>
      </c>
    </row>
    <row r="134" spans="1:9" x14ac:dyDescent="0.7">
      <c r="A134" s="37" t="s">
        <v>229</v>
      </c>
      <c r="C134" s="55">
        <f t="shared" ref="C134:H135" si="35">C88</f>
        <v>9157.7499468036585</v>
      </c>
      <c r="D134" s="55">
        <f t="shared" si="35"/>
        <v>0</v>
      </c>
      <c r="E134" s="55">
        <f t="shared" si="35"/>
        <v>0</v>
      </c>
      <c r="F134" s="55">
        <f t="shared" si="35"/>
        <v>0</v>
      </c>
      <c r="G134" s="55">
        <f t="shared" si="35"/>
        <v>0</v>
      </c>
      <c r="H134" s="55">
        <f t="shared" si="35"/>
        <v>0</v>
      </c>
      <c r="I134" s="55">
        <f t="shared" si="30"/>
        <v>9157.7499468036585</v>
      </c>
    </row>
    <row r="135" spans="1:9" x14ac:dyDescent="0.7">
      <c r="A135" s="37" t="s">
        <v>230</v>
      </c>
      <c r="C135" s="55">
        <f t="shared" si="35"/>
        <v>0</v>
      </c>
      <c r="D135" s="55">
        <f t="shared" si="35"/>
        <v>0</v>
      </c>
      <c r="E135" s="55">
        <f t="shared" si="35"/>
        <v>0</v>
      </c>
      <c r="F135" s="55">
        <f t="shared" si="35"/>
        <v>0</v>
      </c>
      <c r="G135" s="55">
        <f t="shared" si="35"/>
        <v>0</v>
      </c>
      <c r="H135" s="55">
        <f t="shared" si="35"/>
        <v>0</v>
      </c>
      <c r="I135" s="55">
        <f t="shared" si="30"/>
        <v>0</v>
      </c>
    </row>
    <row r="136" spans="1:9" x14ac:dyDescent="0.7">
      <c r="A136" s="16" t="s">
        <v>231</v>
      </c>
      <c r="C136" s="47">
        <f>IFERROR((C128+C132)*'Regler BFS 2026'!$B$4/Byggnader!C32,0)</f>
        <v>0</v>
      </c>
      <c r="D136" s="47">
        <f>IFERROR((D128+D132)*'Regler BFS 2026'!$B$4/Byggnader!D32,0)</f>
        <v>0</v>
      </c>
      <c r="E136" s="47">
        <f>IFERROR((E128+E132)*'Regler BFS 2026'!$B$4/Byggnader!E32,0)</f>
        <v>0</v>
      </c>
      <c r="F136" s="47">
        <f>IFERROR((F128+F132)*'Regler BFS 2026'!$B$4/Byggnader!F32,0)</f>
        <v>0</v>
      </c>
      <c r="G136" s="47">
        <f>IFERROR((G128+G132)*'Regler BFS 2026'!$B$4/Byggnader!G32,0)</f>
        <v>0</v>
      </c>
      <c r="H136" s="47">
        <f>IFERROR((H128+H132)*'Regler BFS 2026'!$B$4/Byggnader!H32,0)</f>
        <v>0</v>
      </c>
      <c r="I136" s="47">
        <f>IFERROR((I128+I132)*'Regler BFS 2026'!$B$4/Byggnader!I32,0)</f>
        <v>0</v>
      </c>
    </row>
  </sheetData>
  <pageMargins left="0.75" right="0.75" top="1" bottom="1"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46"/>
  <sheetViews>
    <sheetView topLeftCell="A94" zoomScale="85" zoomScaleNormal="85" workbookViewId="0">
      <selection activeCell="B77" sqref="B77"/>
    </sheetView>
  </sheetViews>
  <sheetFormatPr defaultColWidth="9.26953125" defaultRowHeight="12" x14ac:dyDescent="0.6"/>
  <cols>
    <col min="1" max="1" width="28.1328125" style="71" customWidth="1"/>
    <col min="2" max="2" width="14" style="71" customWidth="1"/>
    <col min="3" max="3" width="12.26953125" style="71" customWidth="1"/>
    <col min="4" max="4" width="14.1328125" style="71" customWidth="1"/>
    <col min="5" max="5" width="21.54296875" style="71" customWidth="1"/>
    <col min="6" max="6" width="15.1328125" style="71" customWidth="1"/>
    <col min="7" max="7" width="29.26953125" style="71" customWidth="1"/>
    <col min="8" max="8" width="20.1328125" style="71" customWidth="1"/>
    <col min="9" max="9" width="22.86328125" style="71" customWidth="1"/>
    <col min="10" max="12" width="25.1328125" style="71" customWidth="1"/>
    <col min="13" max="13" width="26.26953125" style="71" customWidth="1"/>
    <col min="14" max="15" width="22.26953125" style="71" customWidth="1"/>
    <col min="16" max="16" width="18.6796875" style="71" customWidth="1"/>
    <col min="17" max="17" width="27.26953125" style="71" customWidth="1"/>
    <col min="18" max="18" width="17.6796875" style="71" customWidth="1"/>
    <col min="19" max="16384" width="9.26953125" style="71"/>
  </cols>
  <sheetData>
    <row r="1" spans="1:14" ht="31.5" customHeight="1" x14ac:dyDescent="1">
      <c r="A1" s="13" t="s">
        <v>232</v>
      </c>
      <c r="B1" s="13"/>
      <c r="C1" s="13"/>
      <c r="D1" s="13"/>
      <c r="E1" s="13"/>
    </row>
    <row r="2" spans="1:14" ht="12.75" customHeight="1" x14ac:dyDescent="0.6">
      <c r="A2" s="12" t="s">
        <v>233</v>
      </c>
      <c r="B2" s="12"/>
      <c r="C2" s="12"/>
      <c r="D2" s="12"/>
      <c r="E2" s="12"/>
    </row>
    <row r="3" spans="1:14" ht="12" customHeight="1" x14ac:dyDescent="0.6">
      <c r="A3" s="72" t="s">
        <v>234</v>
      </c>
      <c r="B3" s="73"/>
      <c r="C3" s="74" t="s">
        <v>235</v>
      </c>
      <c r="D3" s="75" t="s">
        <v>236</v>
      </c>
      <c r="E3" s="76"/>
    </row>
    <row r="4" spans="1:14" ht="12" customHeight="1" x14ac:dyDescent="0.6">
      <c r="A4" s="77" t="s">
        <v>13</v>
      </c>
      <c r="B4" s="78"/>
      <c r="C4" s="79" t="s">
        <v>237</v>
      </c>
      <c r="D4" s="80" t="s">
        <v>238</v>
      </c>
      <c r="E4" s="81"/>
    </row>
    <row r="5" spans="1:14" ht="12" customHeight="1" x14ac:dyDescent="0.6">
      <c r="A5" s="77" t="s">
        <v>14</v>
      </c>
      <c r="B5" s="78"/>
      <c r="C5" s="79" t="s">
        <v>239</v>
      </c>
      <c r="D5" s="80" t="s">
        <v>240</v>
      </c>
      <c r="E5" s="81"/>
    </row>
    <row r="6" spans="1:14" ht="12.75" customHeight="1" x14ac:dyDescent="0.6">
      <c r="A6" s="77" t="s">
        <v>241</v>
      </c>
      <c r="B6" s="82">
        <f>Byggnader!I32</f>
        <v>0</v>
      </c>
      <c r="C6" s="83" t="s">
        <v>242</v>
      </c>
      <c r="D6" s="84" t="s">
        <v>243</v>
      </c>
      <c r="E6" s="85"/>
    </row>
    <row r="7" spans="1:14" ht="36" customHeight="1" x14ac:dyDescent="0.6">
      <c r="A7" s="11" t="s">
        <v>244</v>
      </c>
      <c r="B7" s="86" t="s">
        <v>164</v>
      </c>
      <c r="C7" s="10" t="s">
        <v>245</v>
      </c>
      <c r="D7" s="10"/>
      <c r="E7" s="87" t="s">
        <v>246</v>
      </c>
      <c r="H7" s="88"/>
      <c r="I7" s="88"/>
      <c r="J7" s="88"/>
      <c r="K7" s="88"/>
      <c r="L7" s="88"/>
      <c r="M7" s="88"/>
      <c r="N7" s="88"/>
    </row>
    <row r="8" spans="1:14" ht="12" customHeight="1" x14ac:dyDescent="0.6">
      <c r="A8" s="11"/>
      <c r="B8" s="80">
        <f>D130</f>
        <v>0</v>
      </c>
      <c r="C8" s="9">
        <f>D125</f>
        <v>6587.4000000000005</v>
      </c>
      <c r="D8" s="9"/>
      <c r="E8" s="89">
        <f>D146+D107</f>
        <v>8216.25</v>
      </c>
    </row>
    <row r="9" spans="1:14" ht="16.5" customHeight="1" x14ac:dyDescent="0.6">
      <c r="A9" s="8"/>
      <c r="B9" s="91" t="s">
        <v>247</v>
      </c>
      <c r="C9" s="7" t="s">
        <v>248</v>
      </c>
      <c r="D9" s="7"/>
      <c r="E9" s="92" t="s">
        <v>249</v>
      </c>
    </row>
    <row r="10" spans="1:14" ht="18" customHeight="1" x14ac:dyDescent="0.6">
      <c r="A10" s="8"/>
      <c r="B10" s="93">
        <f>G88</f>
        <v>0</v>
      </c>
      <c r="C10" s="6">
        <f>J88</f>
        <v>0</v>
      </c>
      <c r="D10" s="6"/>
      <c r="E10" s="94"/>
      <c r="H10" s="88"/>
      <c r="I10" s="88"/>
    </row>
    <row r="11" spans="1:14" ht="18" customHeight="1" x14ac:dyDescent="0.6">
      <c r="A11" s="5" t="s">
        <v>250</v>
      </c>
      <c r="B11" s="5"/>
      <c r="C11" s="5"/>
      <c r="D11" s="5"/>
      <c r="E11" s="5"/>
    </row>
    <row r="12" spans="1:14" ht="12.75" customHeight="1" x14ac:dyDescent="0.6">
      <c r="A12" s="95"/>
      <c r="B12" s="96" t="s">
        <v>251</v>
      </c>
      <c r="C12" s="97"/>
      <c r="D12" s="97"/>
      <c r="E12" s="98"/>
    </row>
    <row r="13" spans="1:14" s="88" customFormat="1" ht="34.5" customHeight="1" x14ac:dyDescent="0.6">
      <c r="A13" s="99"/>
      <c r="B13" s="100" t="s">
        <v>252</v>
      </c>
      <c r="C13" s="100"/>
      <c r="D13" s="100"/>
      <c r="E13" s="101" t="s">
        <v>38</v>
      </c>
    </row>
    <row r="14" spans="1:14" ht="12" customHeight="1" x14ac:dyDescent="0.6">
      <c r="A14" s="102" t="s">
        <v>253</v>
      </c>
      <c r="B14" s="80"/>
      <c r="C14" s="80"/>
      <c r="D14" s="80"/>
      <c r="E14" s="103"/>
    </row>
    <row r="15" spans="1:14" ht="12" customHeight="1" x14ac:dyDescent="0.6">
      <c r="A15" s="102" t="s">
        <v>254</v>
      </c>
      <c r="B15" s="80"/>
      <c r="C15" s="80"/>
      <c r="D15" s="80"/>
      <c r="E15" s="103"/>
      <c r="N15" s="71" t="s">
        <v>255</v>
      </c>
    </row>
    <row r="16" spans="1:14" ht="12" customHeight="1" x14ac:dyDescent="0.6">
      <c r="A16" s="102" t="s">
        <v>256</v>
      </c>
      <c r="B16" s="80"/>
      <c r="C16" s="80"/>
      <c r="D16" s="80"/>
      <c r="E16" s="103"/>
    </row>
    <row r="17" spans="1:8" ht="12" customHeight="1" x14ac:dyDescent="0.6">
      <c r="A17" s="102" t="s">
        <v>257</v>
      </c>
      <c r="B17" s="80"/>
      <c r="C17" s="80"/>
      <c r="D17" s="80"/>
      <c r="E17" s="103"/>
    </row>
    <row r="18" spans="1:8" ht="12.75" customHeight="1" x14ac:dyDescent="0.6">
      <c r="A18" s="102" t="s">
        <v>249</v>
      </c>
      <c r="B18" s="80"/>
      <c r="C18" s="80"/>
      <c r="D18" s="80"/>
      <c r="E18" s="103"/>
    </row>
    <row r="19" spans="1:8" ht="18" customHeight="1" x14ac:dyDescent="0.6">
      <c r="A19" s="4" t="s">
        <v>258</v>
      </c>
      <c r="B19" s="4"/>
      <c r="C19" s="4"/>
      <c r="D19" s="4"/>
      <c r="E19" s="4"/>
    </row>
    <row r="20" spans="1:8" ht="12" customHeight="1" x14ac:dyDescent="0.6">
      <c r="A20" s="102"/>
      <c r="B20" s="71" t="s">
        <v>259</v>
      </c>
      <c r="E20" s="81"/>
    </row>
    <row r="21" spans="1:8" ht="12" customHeight="1" x14ac:dyDescent="0.6">
      <c r="A21" s="104"/>
      <c r="B21" s="91" t="s">
        <v>260</v>
      </c>
      <c r="C21" s="91"/>
      <c r="D21" s="91"/>
      <c r="E21" s="103" t="s">
        <v>38</v>
      </c>
    </row>
    <row r="22" spans="1:8" ht="12" customHeight="1" x14ac:dyDescent="0.6">
      <c r="A22" s="104" t="s">
        <v>261</v>
      </c>
      <c r="B22" s="80"/>
      <c r="C22" s="80"/>
      <c r="D22" s="80"/>
      <c r="E22" s="103"/>
    </row>
    <row r="23" spans="1:8" ht="12" customHeight="1" x14ac:dyDescent="0.6">
      <c r="A23" s="104" t="s">
        <v>261</v>
      </c>
      <c r="B23" s="80" t="s">
        <v>262</v>
      </c>
      <c r="C23" s="80"/>
      <c r="D23" s="80"/>
      <c r="E23" s="103" t="s">
        <v>263</v>
      </c>
    </row>
    <row r="24" spans="1:8" ht="12.75" customHeight="1" x14ac:dyDescent="0.6">
      <c r="A24" s="104" t="s">
        <v>261</v>
      </c>
      <c r="B24" s="105"/>
      <c r="C24" s="105"/>
      <c r="D24" s="105"/>
      <c r="E24" s="106"/>
    </row>
    <row r="25" spans="1:8" ht="18" customHeight="1" x14ac:dyDescent="0.6">
      <c r="A25" s="4" t="s">
        <v>264</v>
      </c>
      <c r="B25" s="4"/>
      <c r="C25" s="4"/>
      <c r="D25" s="4"/>
      <c r="E25" s="4"/>
      <c r="G25" s="107" t="s">
        <v>265</v>
      </c>
      <c r="H25" s="108"/>
    </row>
    <row r="26" spans="1:8" ht="44.25" customHeight="1" x14ac:dyDescent="0.65">
      <c r="A26" s="109" t="s">
        <v>266</v>
      </c>
      <c r="B26" s="3"/>
      <c r="C26" s="3"/>
      <c r="D26" s="3"/>
      <c r="E26" s="3"/>
      <c r="G26" s="102" t="s">
        <v>267</v>
      </c>
      <c r="H26" s="110">
        <v>-20</v>
      </c>
    </row>
    <row r="27" spans="1:8" ht="12" customHeight="1" x14ac:dyDescent="0.65">
      <c r="A27" s="102" t="s">
        <v>268</v>
      </c>
      <c r="B27" s="2">
        <f>Mätdata!E6/2000</f>
        <v>0</v>
      </c>
      <c r="C27" s="2"/>
      <c r="D27" s="2"/>
      <c r="E27" s="2"/>
      <c r="G27" s="102" t="s">
        <v>269</v>
      </c>
      <c r="H27" s="110">
        <v>-1.7</v>
      </c>
    </row>
    <row r="28" spans="1:8" ht="12" customHeight="1" x14ac:dyDescent="0.65">
      <c r="A28" s="102" t="s">
        <v>270</v>
      </c>
      <c r="B28" s="1">
        <f>IFERROR(B27*1000/Byggnader!I32,0)</f>
        <v>0</v>
      </c>
      <c r="C28" s="1"/>
      <c r="D28" s="1"/>
      <c r="E28" s="1"/>
      <c r="G28" s="102" t="s">
        <v>271</v>
      </c>
      <c r="H28" s="110">
        <v>29.39</v>
      </c>
    </row>
    <row r="29" spans="1:8" ht="12" customHeight="1" x14ac:dyDescent="0.65">
      <c r="A29" s="102" t="s">
        <v>272</v>
      </c>
      <c r="B29" s="2"/>
      <c r="C29" s="2"/>
      <c r="D29" s="2"/>
      <c r="E29" s="2"/>
      <c r="G29" s="102" t="s">
        <v>273</v>
      </c>
      <c r="H29" s="111">
        <v>0</v>
      </c>
    </row>
    <row r="30" spans="1:8" ht="18.75" customHeight="1" x14ac:dyDescent="0.65">
      <c r="A30" s="90" t="s">
        <v>38</v>
      </c>
      <c r="B30" s="285"/>
      <c r="C30" s="285"/>
      <c r="D30" s="285"/>
      <c r="E30" s="285"/>
      <c r="G30" s="90" t="s">
        <v>274</v>
      </c>
      <c r="H30" s="112">
        <f>(H27*H26+H28)-(H27*H26+H28)*H29</f>
        <v>63.39</v>
      </c>
    </row>
    <row r="31" spans="1:8" ht="18" customHeight="1" x14ac:dyDescent="0.6">
      <c r="A31" s="5" t="s">
        <v>275</v>
      </c>
      <c r="B31" s="5"/>
      <c r="C31" s="5"/>
      <c r="D31" s="5"/>
      <c r="E31" s="5"/>
    </row>
    <row r="32" spans="1:8" ht="12" customHeight="1" x14ac:dyDescent="0.6">
      <c r="A32" s="102"/>
      <c r="B32" s="113"/>
      <c r="E32" s="81" t="s">
        <v>38</v>
      </c>
    </row>
    <row r="33" spans="1:5" ht="17.25" customHeight="1" x14ac:dyDescent="0.6">
      <c r="A33" s="102" t="s">
        <v>276</v>
      </c>
      <c r="B33" s="9"/>
      <c r="C33" s="9"/>
      <c r="D33" s="9"/>
      <c r="E33" s="103"/>
    </row>
    <row r="34" spans="1:5" ht="12" customHeight="1" x14ac:dyDescent="0.6">
      <c r="A34" s="102" t="s">
        <v>277</v>
      </c>
      <c r="B34" s="9"/>
      <c r="C34" s="9"/>
      <c r="D34" s="9"/>
      <c r="E34" s="103"/>
    </row>
    <row r="35" spans="1:5" ht="12" customHeight="1" x14ac:dyDescent="0.6">
      <c r="A35" s="102" t="s">
        <v>278</v>
      </c>
      <c r="B35" s="9"/>
      <c r="C35" s="9"/>
      <c r="D35" s="9"/>
      <c r="E35" s="103"/>
    </row>
    <row r="36" spans="1:5" ht="12" customHeight="1" x14ac:dyDescent="0.6">
      <c r="A36" s="102" t="s">
        <v>279</v>
      </c>
      <c r="B36" s="9"/>
      <c r="C36" s="9"/>
      <c r="D36" s="9"/>
      <c r="E36" s="103"/>
    </row>
    <row r="37" spans="1:5" ht="12" customHeight="1" x14ac:dyDescent="0.6">
      <c r="A37" s="102" t="s">
        <v>280</v>
      </c>
      <c r="B37" s="9"/>
      <c r="C37" s="9"/>
      <c r="D37" s="9"/>
      <c r="E37" s="103"/>
    </row>
    <row r="38" spans="1:5" ht="12" customHeight="1" x14ac:dyDescent="0.6">
      <c r="A38" s="102" t="s">
        <v>281</v>
      </c>
      <c r="B38" s="9"/>
      <c r="C38" s="9"/>
      <c r="D38" s="9"/>
      <c r="E38" s="103"/>
    </row>
    <row r="39" spans="1:5" ht="12" customHeight="1" x14ac:dyDescent="0.6">
      <c r="A39" s="102" t="s">
        <v>282</v>
      </c>
      <c r="B39" s="9"/>
      <c r="C39" s="9"/>
      <c r="D39" s="9"/>
      <c r="E39" s="103"/>
    </row>
    <row r="40" spans="1:5" ht="12" customHeight="1" x14ac:dyDescent="0.6">
      <c r="A40" s="102" t="s">
        <v>283</v>
      </c>
      <c r="B40" s="286"/>
      <c r="C40" s="286"/>
      <c r="D40" s="286"/>
      <c r="E40" s="115"/>
    </row>
    <row r="41" spans="1:5" ht="18" customHeight="1" x14ac:dyDescent="0.6">
      <c r="A41" s="116" t="s">
        <v>284</v>
      </c>
      <c r="B41" s="287"/>
      <c r="C41" s="287"/>
      <c r="D41" s="287"/>
      <c r="E41" s="287"/>
    </row>
    <row r="42" spans="1:5" ht="20.25" customHeight="1" x14ac:dyDescent="0.6">
      <c r="A42" s="4" t="s">
        <v>285</v>
      </c>
      <c r="B42" s="4"/>
      <c r="C42" s="4"/>
      <c r="D42" s="4"/>
      <c r="E42" s="4"/>
    </row>
    <row r="43" spans="1:5" ht="12" customHeight="1" x14ac:dyDescent="0.6">
      <c r="A43" s="117" t="s">
        <v>286</v>
      </c>
      <c r="B43" s="118" t="s">
        <v>287</v>
      </c>
      <c r="C43" s="118" t="s">
        <v>288</v>
      </c>
      <c r="D43" s="118" t="s">
        <v>289</v>
      </c>
      <c r="E43" s="119" t="s">
        <v>290</v>
      </c>
    </row>
    <row r="44" spans="1:5" ht="12" customHeight="1" x14ac:dyDescent="0.6">
      <c r="A44" s="104" t="s">
        <v>291</v>
      </c>
      <c r="B44" s="80"/>
      <c r="C44" s="80"/>
      <c r="D44" s="80"/>
      <c r="E44" s="103"/>
    </row>
    <row r="45" spans="1:5" ht="12" customHeight="1" x14ac:dyDescent="0.6">
      <c r="A45" s="104" t="s">
        <v>292</v>
      </c>
      <c r="B45" s="80"/>
      <c r="C45" s="80"/>
      <c r="D45" s="80"/>
      <c r="E45" s="103"/>
    </row>
    <row r="46" spans="1:5" ht="12" customHeight="1" x14ac:dyDescent="0.6">
      <c r="A46" s="104" t="s">
        <v>293</v>
      </c>
      <c r="B46" s="80"/>
      <c r="C46" s="80"/>
      <c r="D46" s="80"/>
      <c r="E46" s="103"/>
    </row>
    <row r="47" spans="1:5" ht="12" customHeight="1" x14ac:dyDescent="0.6">
      <c r="A47" s="104" t="s">
        <v>249</v>
      </c>
      <c r="B47" s="80"/>
      <c r="C47" s="80"/>
      <c r="D47" s="80"/>
      <c r="E47" s="103"/>
    </row>
    <row r="48" spans="1:5" ht="12.75" customHeight="1" x14ac:dyDescent="0.6">
      <c r="A48" s="116" t="s">
        <v>284</v>
      </c>
      <c r="B48" s="287"/>
      <c r="C48" s="287"/>
      <c r="D48" s="287"/>
      <c r="E48" s="287"/>
    </row>
    <row r="49" spans="1:9" ht="17.25" customHeight="1" x14ac:dyDescent="0.6">
      <c r="A49" s="4" t="s">
        <v>294</v>
      </c>
      <c r="B49" s="4"/>
      <c r="C49" s="4"/>
      <c r="D49" s="4"/>
      <c r="E49" s="4"/>
    </row>
    <row r="50" spans="1:9" ht="24.75" customHeight="1" x14ac:dyDescent="0.6">
      <c r="A50" s="120" t="s">
        <v>286</v>
      </c>
      <c r="B50" s="75" t="s">
        <v>1123</v>
      </c>
      <c r="C50" s="75" t="s">
        <v>356</v>
      </c>
      <c r="D50" s="75"/>
      <c r="E50" s="121" t="s">
        <v>290</v>
      </c>
      <c r="G50" s="122" t="s">
        <v>295</v>
      </c>
      <c r="H50" s="123" t="s">
        <v>286</v>
      </c>
      <c r="I50" s="108" t="s">
        <v>286</v>
      </c>
    </row>
    <row r="51" spans="1:9" ht="12.75" customHeight="1" x14ac:dyDescent="0.6">
      <c r="A51" s="102" t="s">
        <v>296</v>
      </c>
      <c r="B51" s="80" t="s">
        <v>1125</v>
      </c>
      <c r="C51" s="80" t="s">
        <v>1126</v>
      </c>
      <c r="D51" s="80"/>
      <c r="E51" s="103"/>
      <c r="G51" s="124"/>
      <c r="H51" s="77"/>
      <c r="I51" s="125"/>
    </row>
    <row r="52" spans="1:9" ht="12" customHeight="1" x14ac:dyDescent="0.6">
      <c r="A52" s="104" t="s">
        <v>297</v>
      </c>
      <c r="B52" s="80" t="s">
        <v>1124</v>
      </c>
      <c r="C52" s="80" t="s">
        <v>1127</v>
      </c>
      <c r="D52" s="80"/>
      <c r="E52" s="103"/>
      <c r="G52" s="126" t="s">
        <v>298</v>
      </c>
      <c r="H52" s="127"/>
      <c r="I52" s="128"/>
    </row>
    <row r="53" spans="1:9" ht="12" customHeight="1" x14ac:dyDescent="0.6">
      <c r="A53" s="104" t="s">
        <v>299</v>
      </c>
      <c r="B53" s="80">
        <f>0.015*36</f>
        <v>0.54</v>
      </c>
      <c r="C53" s="80">
        <v>0.2</v>
      </c>
      <c r="D53" s="80"/>
      <c r="E53" s="103"/>
      <c r="G53" s="126" t="s">
        <v>300</v>
      </c>
      <c r="H53" s="104"/>
      <c r="I53" s="103"/>
    </row>
    <row r="54" spans="1:9" ht="12" customHeight="1" x14ac:dyDescent="0.6">
      <c r="A54" s="104" t="s">
        <v>301</v>
      </c>
      <c r="B54" s="80" t="s">
        <v>302</v>
      </c>
      <c r="C54" s="80" t="s">
        <v>302</v>
      </c>
      <c r="D54" s="80" t="s">
        <v>302</v>
      </c>
      <c r="E54" s="103"/>
      <c r="G54" s="126" t="s">
        <v>303</v>
      </c>
      <c r="H54" s="104"/>
      <c r="I54" s="103"/>
    </row>
    <row r="55" spans="1:9" ht="12" customHeight="1" x14ac:dyDescent="0.6">
      <c r="A55" s="104" t="s">
        <v>304</v>
      </c>
      <c r="B55" s="80">
        <v>8760</v>
      </c>
      <c r="C55" s="80">
        <v>2000</v>
      </c>
      <c r="D55" s="80">
        <v>8760</v>
      </c>
      <c r="E55" s="103"/>
      <c r="G55" s="126" t="s">
        <v>305</v>
      </c>
      <c r="H55" s="127"/>
      <c r="I55" s="128"/>
    </row>
    <row r="56" spans="1:9" ht="12" customHeight="1" x14ac:dyDescent="0.6">
      <c r="A56" s="104" t="s">
        <v>306</v>
      </c>
      <c r="B56" s="129">
        <f>B55/8760</f>
        <v>1</v>
      </c>
      <c r="C56" s="129">
        <f>C55/8760</f>
        <v>0.22831050228310501</v>
      </c>
      <c r="D56" s="129">
        <f>D55/8760</f>
        <v>1</v>
      </c>
      <c r="E56" s="103"/>
      <c r="G56" s="126"/>
      <c r="H56" s="130"/>
      <c r="I56" s="131"/>
    </row>
    <row r="57" spans="1:9" ht="12.75" customHeight="1" x14ac:dyDescent="0.6">
      <c r="A57" s="104" t="s">
        <v>307</v>
      </c>
      <c r="B57" s="80">
        <v>0.2</v>
      </c>
      <c r="C57" s="80">
        <v>0.2</v>
      </c>
      <c r="D57" s="80">
        <v>0.5</v>
      </c>
      <c r="E57" s="103"/>
      <c r="G57" s="132" t="s">
        <v>308</v>
      </c>
      <c r="H57" s="133">
        <f>H53*H54*H52*(1-H55)</f>
        <v>0</v>
      </c>
      <c r="I57" s="134">
        <f>I53*I54*I52*(1-I55)</f>
        <v>0</v>
      </c>
    </row>
    <row r="58" spans="1:9" ht="15.75" customHeight="1" x14ac:dyDescent="0.6">
      <c r="A58" s="135" t="s">
        <v>309</v>
      </c>
      <c r="B58" s="136">
        <f>B53/B57</f>
        <v>2.7</v>
      </c>
      <c r="C58" s="136">
        <f>C53/C57</f>
        <v>1</v>
      </c>
      <c r="D58" s="105"/>
      <c r="E58" s="106"/>
    </row>
    <row r="59" spans="1:9" ht="15.75" customHeight="1" x14ac:dyDescent="0.6">
      <c r="A59" s="120" t="s">
        <v>286</v>
      </c>
      <c r="B59" s="75"/>
      <c r="C59" s="75"/>
      <c r="D59" s="75"/>
      <c r="E59" s="121"/>
    </row>
    <row r="60" spans="1:9" ht="15.75" customHeight="1" x14ac:dyDescent="0.6">
      <c r="A60" s="102" t="s">
        <v>296</v>
      </c>
      <c r="B60" s="80"/>
      <c r="C60" s="80"/>
      <c r="D60" s="80"/>
      <c r="E60" s="103"/>
    </row>
    <row r="61" spans="1:9" ht="15.75" customHeight="1" x14ac:dyDescent="0.6">
      <c r="A61" s="104" t="s">
        <v>297</v>
      </c>
      <c r="B61" s="80"/>
      <c r="C61" s="80"/>
      <c r="D61" s="80"/>
      <c r="E61" s="103"/>
    </row>
    <row r="62" spans="1:9" ht="15.75" customHeight="1" x14ac:dyDescent="0.6">
      <c r="A62" s="104" t="s">
        <v>299</v>
      </c>
      <c r="B62" s="80"/>
      <c r="C62" s="80"/>
      <c r="D62" s="80"/>
      <c r="E62" s="103"/>
    </row>
    <row r="63" spans="1:9" ht="15.75" customHeight="1" x14ac:dyDescent="0.6">
      <c r="A63" s="104" t="s">
        <v>301</v>
      </c>
      <c r="B63" s="80" t="s">
        <v>302</v>
      </c>
      <c r="C63" s="80" t="s">
        <v>302</v>
      </c>
      <c r="D63" s="80" t="s">
        <v>302</v>
      </c>
      <c r="E63" s="103"/>
    </row>
    <row r="64" spans="1:9" ht="15.75" customHeight="1" x14ac:dyDescent="0.6">
      <c r="A64" s="104" t="s">
        <v>304</v>
      </c>
      <c r="B64" s="80">
        <v>8760</v>
      </c>
      <c r="C64" s="80">
        <v>8760</v>
      </c>
      <c r="D64" s="80">
        <v>8760</v>
      </c>
      <c r="E64" s="103"/>
    </row>
    <row r="65" spans="1:5" ht="15.75" customHeight="1" x14ac:dyDescent="0.6">
      <c r="A65" s="104" t="s">
        <v>306</v>
      </c>
      <c r="B65" s="129">
        <f>B64/8760</f>
        <v>1</v>
      </c>
      <c r="C65" s="129">
        <f>C64/8760</f>
        <v>1</v>
      </c>
      <c r="D65" s="129">
        <f>D64/8760</f>
        <v>1</v>
      </c>
      <c r="E65" s="103"/>
    </row>
    <row r="66" spans="1:5" ht="15.75" customHeight="1" x14ac:dyDescent="0.6">
      <c r="A66" s="104" t="s">
        <v>307</v>
      </c>
      <c r="B66" s="80">
        <v>0.5</v>
      </c>
      <c r="C66" s="80">
        <v>0.5</v>
      </c>
      <c r="D66" s="80">
        <v>0.5</v>
      </c>
      <c r="E66" s="103"/>
    </row>
    <row r="67" spans="1:5" ht="15.75" customHeight="1" x14ac:dyDescent="0.6">
      <c r="A67" s="135" t="s">
        <v>309</v>
      </c>
      <c r="B67" s="105"/>
      <c r="C67" s="105"/>
      <c r="D67" s="105"/>
      <c r="E67" s="106"/>
    </row>
    <row r="68" spans="1:5" ht="15.75" customHeight="1" x14ac:dyDescent="0.6">
      <c r="A68" s="120" t="s">
        <v>286</v>
      </c>
      <c r="B68" s="75"/>
      <c r="C68" s="75"/>
      <c r="D68" s="75"/>
      <c r="E68" s="121"/>
    </row>
    <row r="69" spans="1:5" ht="15.75" customHeight="1" x14ac:dyDescent="0.6">
      <c r="A69" s="102" t="s">
        <v>296</v>
      </c>
      <c r="B69" s="80"/>
      <c r="C69" s="80"/>
      <c r="D69" s="80"/>
      <c r="E69" s="103"/>
    </row>
    <row r="70" spans="1:5" ht="15.75" customHeight="1" x14ac:dyDescent="0.6">
      <c r="A70" s="104" t="s">
        <v>297</v>
      </c>
      <c r="B70" s="80">
        <v>8760</v>
      </c>
      <c r="C70" s="80">
        <v>8760</v>
      </c>
      <c r="D70" s="80">
        <v>8760</v>
      </c>
      <c r="E70" s="103"/>
    </row>
    <row r="71" spans="1:5" ht="15.75" customHeight="1" x14ac:dyDescent="0.6">
      <c r="A71" s="104" t="s">
        <v>299</v>
      </c>
      <c r="B71" s="129">
        <f>B70/8760</f>
        <v>1</v>
      </c>
      <c r="C71" s="129">
        <f>C70/8760</f>
        <v>1</v>
      </c>
      <c r="D71" s="129">
        <f>D70/8760</f>
        <v>1</v>
      </c>
      <c r="E71" s="103"/>
    </row>
    <row r="72" spans="1:5" ht="15.75" customHeight="1" x14ac:dyDescent="0.6">
      <c r="A72" s="104" t="s">
        <v>301</v>
      </c>
      <c r="B72" s="80" t="s">
        <v>302</v>
      </c>
      <c r="C72" s="80" t="s">
        <v>302</v>
      </c>
      <c r="D72" s="80" t="s">
        <v>302</v>
      </c>
      <c r="E72" s="103"/>
    </row>
    <row r="73" spans="1:5" ht="15.75" customHeight="1" x14ac:dyDescent="0.6">
      <c r="A73" s="104" t="s">
        <v>304</v>
      </c>
      <c r="B73" s="80">
        <v>8760</v>
      </c>
      <c r="C73" s="80">
        <v>8760</v>
      </c>
      <c r="D73" s="80">
        <v>8760</v>
      </c>
      <c r="E73" s="103"/>
    </row>
    <row r="74" spans="1:5" ht="15.75" customHeight="1" x14ac:dyDescent="0.6">
      <c r="A74" s="104" t="s">
        <v>306</v>
      </c>
      <c r="B74" s="129">
        <f>B73/8760</f>
        <v>1</v>
      </c>
      <c r="C74" s="129">
        <f>C73/8760</f>
        <v>1</v>
      </c>
      <c r="D74" s="129">
        <f>D73/8760</f>
        <v>1</v>
      </c>
      <c r="E74" s="103"/>
    </row>
    <row r="75" spans="1:5" ht="15.75" customHeight="1" x14ac:dyDescent="0.6">
      <c r="A75" s="104" t="s">
        <v>307</v>
      </c>
      <c r="B75" s="80">
        <v>0.5</v>
      </c>
      <c r="C75" s="80">
        <v>0.5</v>
      </c>
      <c r="D75" s="80">
        <v>0.5</v>
      </c>
      <c r="E75" s="103"/>
    </row>
    <row r="76" spans="1:5" ht="15.75" customHeight="1" x14ac:dyDescent="0.6">
      <c r="A76" s="135" t="s">
        <v>309</v>
      </c>
      <c r="B76" s="105"/>
      <c r="C76" s="105"/>
      <c r="D76" s="105"/>
      <c r="E76" s="106"/>
    </row>
    <row r="77" spans="1:5" ht="15.75" customHeight="1" x14ac:dyDescent="0.6">
      <c r="A77" s="137" t="s">
        <v>310</v>
      </c>
      <c r="B77" s="138">
        <f>Byggnader!I32</f>
        <v>0</v>
      </c>
      <c r="C77" s="75"/>
      <c r="D77" s="75"/>
      <c r="E77" s="121"/>
    </row>
    <row r="78" spans="1:5" ht="15.75" customHeight="1" x14ac:dyDescent="0.6">
      <c r="A78" s="139" t="s">
        <v>311</v>
      </c>
      <c r="B78" s="140" t="e">
        <f>(B56*B57+C56*C57+D56*D57+B65*B66+C65*C66+D65*D66+B74*B75+C74*C75+D74*D75)*1000/B77</f>
        <v>#DIV/0!</v>
      </c>
      <c r="C78" s="80"/>
      <c r="D78" s="80"/>
      <c r="E78" s="103"/>
    </row>
    <row r="79" spans="1:5" ht="15.75" customHeight="1" x14ac:dyDescent="0.6">
      <c r="A79" s="99"/>
      <c r="B79" s="114"/>
      <c r="C79" s="114"/>
      <c r="D79" s="114"/>
      <c r="E79" s="115"/>
    </row>
    <row r="80" spans="1:5" ht="64.5" customHeight="1" x14ac:dyDescent="0.6">
      <c r="A80" s="141" t="s">
        <v>312</v>
      </c>
      <c r="B80" s="288"/>
      <c r="C80" s="288"/>
      <c r="D80" s="288"/>
      <c r="E80" s="288"/>
    </row>
    <row r="81" spans="1:10" ht="17.25" customHeight="1" x14ac:dyDescent="0.6">
      <c r="A81" s="4" t="s">
        <v>313</v>
      </c>
      <c r="B81" s="4"/>
      <c r="C81" s="4"/>
      <c r="D81" s="4"/>
      <c r="E81" s="4"/>
    </row>
    <row r="82" spans="1:10" ht="24.75" customHeight="1" x14ac:dyDescent="0.6">
      <c r="A82" s="95"/>
      <c r="B82" s="96"/>
      <c r="C82" s="97"/>
      <c r="D82" s="97"/>
      <c r="E82" s="98"/>
    </row>
    <row r="83" spans="1:10" ht="16.5" customHeight="1" x14ac:dyDescent="0.6">
      <c r="A83" s="142" t="s">
        <v>201</v>
      </c>
      <c r="B83" s="118" t="s">
        <v>314</v>
      </c>
      <c r="C83" s="118" t="s">
        <v>315</v>
      </c>
      <c r="D83" s="118" t="s">
        <v>316</v>
      </c>
      <c r="E83" s="119" t="s">
        <v>38</v>
      </c>
    </row>
    <row r="84" spans="1:10" ht="18" customHeight="1" x14ac:dyDescent="0.6">
      <c r="A84" s="104" t="s">
        <v>317</v>
      </c>
      <c r="B84" s="80"/>
      <c r="C84" s="80"/>
      <c r="D84" s="80"/>
      <c r="E84" s="103"/>
    </row>
    <row r="85" spans="1:10" ht="12" customHeight="1" x14ac:dyDescent="0.65">
      <c r="A85" s="104" t="s">
        <v>318</v>
      </c>
      <c r="B85" s="80"/>
      <c r="C85" s="80"/>
      <c r="D85" s="80"/>
      <c r="E85" s="103"/>
      <c r="F85" s="143" t="s">
        <v>319</v>
      </c>
      <c r="G85" s="144"/>
      <c r="H85" s="145" t="s">
        <v>320</v>
      </c>
      <c r="I85" s="146"/>
      <c r="J85" s="147"/>
    </row>
    <row r="86" spans="1:10" ht="12" customHeight="1" x14ac:dyDescent="0.65">
      <c r="A86" s="104" t="s">
        <v>321</v>
      </c>
      <c r="B86" s="80"/>
      <c r="C86" s="80"/>
      <c r="D86" s="80"/>
      <c r="E86" s="103"/>
      <c r="F86" s="148" t="s">
        <v>322</v>
      </c>
      <c r="G86" s="149">
        <f>B85+C85+D85</f>
        <v>0</v>
      </c>
      <c r="H86" s="150" t="s">
        <v>322</v>
      </c>
      <c r="I86" s="151"/>
      <c r="J86" s="152">
        <f>B89+C89+D89</f>
        <v>0</v>
      </c>
    </row>
    <row r="87" spans="1:10" ht="12.75" customHeight="1" x14ac:dyDescent="0.65">
      <c r="A87" s="116" t="s">
        <v>323</v>
      </c>
      <c r="B87" s="105">
        <f>B86+C86+D86</f>
        <v>0</v>
      </c>
      <c r="C87" s="105"/>
      <c r="D87" s="105"/>
      <c r="E87" s="106"/>
      <c r="F87" s="148" t="s">
        <v>324</v>
      </c>
      <c r="G87" s="153">
        <v>5000</v>
      </c>
      <c r="H87" s="150" t="s">
        <v>325</v>
      </c>
      <c r="I87" s="151"/>
      <c r="J87" s="154">
        <v>760</v>
      </c>
    </row>
    <row r="88" spans="1:10" ht="12.75" customHeight="1" x14ac:dyDescent="0.65">
      <c r="A88" s="142" t="s">
        <v>326</v>
      </c>
      <c r="B88" s="118" t="s">
        <v>327</v>
      </c>
      <c r="C88" s="118" t="s">
        <v>328</v>
      </c>
      <c r="D88" s="118" t="s">
        <v>329</v>
      </c>
      <c r="E88" s="103"/>
      <c r="F88" s="155" t="s">
        <v>330</v>
      </c>
      <c r="G88" s="153">
        <f>G87*G86</f>
        <v>0</v>
      </c>
      <c r="H88" s="156" t="s">
        <v>331</v>
      </c>
      <c r="I88" s="157"/>
      <c r="J88" s="158">
        <f>J87*J86</f>
        <v>0</v>
      </c>
    </row>
    <row r="89" spans="1:10" ht="12" customHeight="1" x14ac:dyDescent="0.6">
      <c r="A89" s="104" t="s">
        <v>318</v>
      </c>
      <c r="B89" s="80"/>
      <c r="C89" s="80"/>
      <c r="D89" s="80"/>
      <c r="E89" s="103"/>
    </row>
    <row r="90" spans="1:10" ht="12" customHeight="1" x14ac:dyDescent="0.6">
      <c r="A90" s="104" t="s">
        <v>332</v>
      </c>
      <c r="B90" s="80"/>
      <c r="C90" s="80"/>
      <c r="D90" s="80"/>
      <c r="E90" s="159"/>
    </row>
    <row r="91" spans="1:10" ht="12.75" customHeight="1" x14ac:dyDescent="0.6">
      <c r="A91" s="116" t="s">
        <v>333</v>
      </c>
      <c r="B91" s="105">
        <f>B90+C90+D90</f>
        <v>0</v>
      </c>
      <c r="C91" s="105"/>
      <c r="D91" s="105"/>
      <c r="E91" s="106"/>
    </row>
    <row r="92" spans="1:10" ht="12" customHeight="1" x14ac:dyDescent="0.6">
      <c r="A92" s="5" t="s">
        <v>334</v>
      </c>
      <c r="B92" s="5"/>
      <c r="C92" s="5"/>
      <c r="D92" s="5"/>
      <c r="E92" s="5"/>
    </row>
    <row r="93" spans="1:10" ht="24" customHeight="1" x14ac:dyDescent="0.6">
      <c r="A93" s="117" t="s">
        <v>335</v>
      </c>
      <c r="B93" s="289"/>
      <c r="C93" s="289"/>
      <c r="D93" s="289"/>
      <c r="E93" s="289"/>
    </row>
    <row r="94" spans="1:10" ht="22.5" customHeight="1" x14ac:dyDescent="0.6">
      <c r="A94" s="104"/>
      <c r="B94" s="80" t="s">
        <v>336</v>
      </c>
      <c r="C94" s="9" t="s">
        <v>38</v>
      </c>
      <c r="D94" s="9"/>
      <c r="E94" s="9"/>
    </row>
    <row r="95" spans="1:10" ht="12" customHeight="1" x14ac:dyDescent="0.6">
      <c r="A95" s="104" t="s">
        <v>337</v>
      </c>
      <c r="B95" s="80">
        <v>55</v>
      </c>
      <c r="C95" s="9"/>
      <c r="D95" s="9"/>
      <c r="E95" s="9"/>
    </row>
    <row r="96" spans="1:10" ht="12" customHeight="1" x14ac:dyDescent="0.6">
      <c r="A96" s="104" t="s">
        <v>338</v>
      </c>
      <c r="B96" s="80">
        <v>50</v>
      </c>
      <c r="C96" s="9"/>
      <c r="D96" s="9"/>
      <c r="E96" s="9"/>
    </row>
    <row r="97" spans="1:6" ht="12" customHeight="1" x14ac:dyDescent="0.6">
      <c r="A97" s="104" t="s">
        <v>339</v>
      </c>
      <c r="B97" s="80"/>
      <c r="C97" s="9"/>
      <c r="D97" s="9"/>
      <c r="E97" s="9"/>
    </row>
    <row r="98" spans="1:6" ht="12.75" customHeight="1" x14ac:dyDescent="0.6">
      <c r="A98" s="160" t="s">
        <v>312</v>
      </c>
      <c r="B98" s="286"/>
      <c r="C98" s="286"/>
      <c r="D98" s="286"/>
      <c r="E98" s="286"/>
    </row>
    <row r="99" spans="1:6" ht="24.75" customHeight="1" x14ac:dyDescent="0.6">
      <c r="A99" s="290"/>
      <c r="B99" s="290"/>
      <c r="C99" s="290"/>
      <c r="D99" s="290"/>
      <c r="E99" s="290"/>
    </row>
    <row r="100" spans="1:6" ht="12" customHeight="1" x14ac:dyDescent="0.6">
      <c r="A100" s="4" t="s">
        <v>340</v>
      </c>
      <c r="B100" s="4"/>
      <c r="C100" s="4"/>
      <c r="D100" s="4"/>
      <c r="E100" s="4"/>
    </row>
    <row r="101" spans="1:6" ht="15.75" customHeight="1" x14ac:dyDescent="0.6">
      <c r="A101" s="161" t="s">
        <v>341</v>
      </c>
      <c r="B101" s="96"/>
      <c r="C101" s="97"/>
      <c r="D101" s="97"/>
      <c r="E101" s="98"/>
    </row>
    <row r="102" spans="1:6" ht="33.75" customHeight="1" x14ac:dyDescent="0.6">
      <c r="A102" s="162"/>
      <c r="B102" s="91" t="s">
        <v>342</v>
      </c>
      <c r="C102" s="91" t="s">
        <v>343</v>
      </c>
      <c r="D102" s="91" t="s">
        <v>344</v>
      </c>
      <c r="E102" s="92" t="s">
        <v>38</v>
      </c>
    </row>
    <row r="103" spans="1:6" ht="12" customHeight="1" x14ac:dyDescent="0.6">
      <c r="A103" s="104" t="s">
        <v>345</v>
      </c>
      <c r="B103" s="80"/>
      <c r="C103" s="80"/>
      <c r="D103" s="163"/>
      <c r="E103" s="103"/>
    </row>
    <row r="104" spans="1:6" ht="12" customHeight="1" x14ac:dyDescent="0.6">
      <c r="A104" s="104" t="s">
        <v>346</v>
      </c>
      <c r="B104" s="80"/>
      <c r="C104" s="163"/>
      <c r="D104" s="163"/>
      <c r="E104" s="103"/>
    </row>
    <row r="105" spans="1:6" ht="12" customHeight="1" x14ac:dyDescent="0.6">
      <c r="A105" s="104"/>
      <c r="B105" s="80"/>
      <c r="C105" s="80"/>
      <c r="D105" s="163"/>
      <c r="E105" s="103"/>
    </row>
    <row r="106" spans="1:6" ht="12" customHeight="1" x14ac:dyDescent="0.6">
      <c r="A106" s="104"/>
      <c r="B106" s="80"/>
      <c r="C106" s="80"/>
      <c r="D106" s="163"/>
      <c r="E106" s="103"/>
    </row>
    <row r="107" spans="1:6" ht="12.75" customHeight="1" x14ac:dyDescent="0.6">
      <c r="A107" s="116" t="s">
        <v>347</v>
      </c>
      <c r="B107" s="105"/>
      <c r="C107" s="105"/>
      <c r="D107" s="93">
        <f>SUM(D103:D106)</f>
        <v>0</v>
      </c>
      <c r="E107" s="106"/>
    </row>
    <row r="108" spans="1:6" ht="12" customHeight="1" x14ac:dyDescent="0.6">
      <c r="A108" s="4" t="s">
        <v>348</v>
      </c>
      <c r="B108" s="4"/>
      <c r="C108" s="4"/>
      <c r="D108" s="4"/>
      <c r="E108" s="4"/>
    </row>
    <row r="109" spans="1:6" ht="24.75" customHeight="1" x14ac:dyDescent="0.6">
      <c r="A109" s="107" t="s">
        <v>349</v>
      </c>
      <c r="B109" s="164"/>
      <c r="C109" s="164"/>
      <c r="D109" s="164"/>
      <c r="E109" s="108"/>
    </row>
    <row r="110" spans="1:6" ht="12.75" customHeight="1" x14ac:dyDescent="0.6">
      <c r="A110" s="117" t="s">
        <v>350</v>
      </c>
      <c r="B110" s="100" t="s">
        <v>342</v>
      </c>
      <c r="C110" s="100" t="s">
        <v>351</v>
      </c>
      <c r="D110" s="100" t="s">
        <v>352</v>
      </c>
      <c r="E110" s="101" t="s">
        <v>38</v>
      </c>
      <c r="F110" s="37"/>
    </row>
    <row r="111" spans="1:6" ht="12" customHeight="1" x14ac:dyDescent="0.6">
      <c r="A111" s="104" t="s">
        <v>353</v>
      </c>
      <c r="B111" s="80">
        <v>0.2</v>
      </c>
      <c r="C111" s="80">
        <v>6000</v>
      </c>
      <c r="D111" s="80">
        <f>C111*B111</f>
        <v>1200</v>
      </c>
      <c r="E111" s="103"/>
      <c r="F111" s="37"/>
    </row>
    <row r="112" spans="1:6" ht="12" customHeight="1" x14ac:dyDescent="0.6">
      <c r="A112" s="104" t="s">
        <v>354</v>
      </c>
      <c r="B112" s="80">
        <v>7.4999999999999997E-2</v>
      </c>
      <c r="C112" s="80">
        <v>8760</v>
      </c>
      <c r="D112" s="80">
        <f>C112*B112</f>
        <v>657</v>
      </c>
      <c r="E112" s="103"/>
      <c r="F112" s="37"/>
    </row>
    <row r="113" spans="1:6" ht="12" customHeight="1" x14ac:dyDescent="0.6">
      <c r="A113" s="104" t="s">
        <v>355</v>
      </c>
      <c r="B113" s="80">
        <v>0.2</v>
      </c>
      <c r="C113" s="80">
        <v>8760</v>
      </c>
      <c r="D113" s="80">
        <f>B53*B55</f>
        <v>4730.4000000000005</v>
      </c>
      <c r="E113" s="103"/>
      <c r="F113" s="37"/>
    </row>
    <row r="114" spans="1:6" ht="12" customHeight="1" x14ac:dyDescent="0.6">
      <c r="A114" s="104"/>
      <c r="B114" s="80"/>
      <c r="C114" s="80"/>
      <c r="D114" s="80"/>
      <c r="E114" s="103"/>
      <c r="F114" s="37"/>
    </row>
    <row r="115" spans="1:6" ht="12" customHeight="1" x14ac:dyDescent="0.6">
      <c r="A115" s="104"/>
      <c r="B115" s="80"/>
      <c r="C115" s="80"/>
      <c r="D115" s="80"/>
      <c r="E115" s="92"/>
      <c r="F115" s="37"/>
    </row>
    <row r="116" spans="1:6" ht="12" customHeight="1" x14ac:dyDescent="0.6">
      <c r="A116" s="104"/>
      <c r="B116" s="80"/>
      <c r="C116" s="80"/>
      <c r="D116" s="80"/>
      <c r="E116" s="103"/>
      <c r="F116" s="37"/>
    </row>
    <row r="117" spans="1:6" ht="12" customHeight="1" x14ac:dyDescent="0.6">
      <c r="A117" s="165"/>
      <c r="B117" s="80"/>
      <c r="C117" s="80"/>
      <c r="D117" s="80"/>
      <c r="E117" s="103"/>
      <c r="F117" s="37"/>
    </row>
    <row r="118" spans="1:6" ht="12" customHeight="1" x14ac:dyDescent="0.6">
      <c r="A118" s="104"/>
      <c r="B118" s="80"/>
      <c r="C118" s="80"/>
      <c r="D118" s="80"/>
      <c r="E118" s="103"/>
      <c r="F118" s="37"/>
    </row>
    <row r="119" spans="1:6" ht="12" customHeight="1" x14ac:dyDescent="0.6">
      <c r="A119" s="104"/>
      <c r="B119" s="80"/>
      <c r="C119" s="80"/>
      <c r="D119" s="80"/>
      <c r="E119" s="103"/>
      <c r="F119" s="37"/>
    </row>
    <row r="120" spans="1:6" ht="12" customHeight="1" x14ac:dyDescent="0.6">
      <c r="A120" s="104"/>
      <c r="B120" s="80"/>
      <c r="C120" s="163"/>
      <c r="D120" s="80"/>
      <c r="E120" s="103"/>
      <c r="F120" s="37"/>
    </row>
    <row r="121" spans="1:6" ht="12" customHeight="1" x14ac:dyDescent="0.6">
      <c r="A121" s="104"/>
      <c r="B121" s="80"/>
      <c r="C121" s="163"/>
      <c r="D121" s="80"/>
      <c r="E121" s="103"/>
      <c r="F121" s="37"/>
    </row>
    <row r="122" spans="1:6" ht="12" customHeight="1" x14ac:dyDescent="0.6">
      <c r="A122" s="104"/>
      <c r="B122" s="80"/>
      <c r="C122" s="163"/>
      <c r="D122" s="80"/>
      <c r="E122" s="103"/>
      <c r="F122" s="37"/>
    </row>
    <row r="123" spans="1:6" ht="12" customHeight="1" x14ac:dyDescent="0.6">
      <c r="A123" s="104" t="s">
        <v>357</v>
      </c>
      <c r="B123" s="80"/>
      <c r="C123" s="80"/>
      <c r="D123" s="80"/>
      <c r="E123" s="103"/>
      <c r="F123" s="37"/>
    </row>
    <row r="124" spans="1:6" ht="12" customHeight="1" x14ac:dyDescent="0.6">
      <c r="A124" s="104" t="s">
        <v>358</v>
      </c>
      <c r="B124" s="80"/>
      <c r="C124" s="80"/>
      <c r="D124" s="80"/>
      <c r="E124" s="103"/>
      <c r="F124" s="37"/>
    </row>
    <row r="125" spans="1:6" ht="12.75" customHeight="1" x14ac:dyDescent="0.6">
      <c r="A125" s="116" t="s">
        <v>359</v>
      </c>
      <c r="B125" s="105"/>
      <c r="C125" s="105"/>
      <c r="D125" s="105">
        <f>SUM(D111:D124)</f>
        <v>6587.4000000000005</v>
      </c>
      <c r="E125" s="106"/>
    </row>
    <row r="126" spans="1:6" ht="13.5" customHeight="1" x14ac:dyDescent="0.6">
      <c r="A126" s="4" t="s">
        <v>360</v>
      </c>
      <c r="B126" s="4"/>
      <c r="C126" s="4"/>
      <c r="D126" s="4"/>
      <c r="E126" s="4"/>
    </row>
    <row r="127" spans="1:6" ht="12" customHeight="1" x14ac:dyDescent="0.6">
      <c r="A127" s="104" t="s">
        <v>164</v>
      </c>
      <c r="B127" s="100" t="s">
        <v>342</v>
      </c>
      <c r="C127" s="100" t="s">
        <v>351</v>
      </c>
      <c r="D127" s="100" t="s">
        <v>352</v>
      </c>
      <c r="E127" s="101" t="s">
        <v>38</v>
      </c>
    </row>
    <row r="128" spans="1:6" ht="12" customHeight="1" x14ac:dyDescent="0.6">
      <c r="A128" s="104"/>
      <c r="B128" s="80"/>
      <c r="C128" s="80"/>
      <c r="D128" s="80"/>
      <c r="E128" s="103"/>
    </row>
    <row r="129" spans="1:14" ht="12" customHeight="1" x14ac:dyDescent="0.6">
      <c r="A129" s="104"/>
      <c r="B129" s="80"/>
      <c r="C129" s="80"/>
      <c r="D129" s="80"/>
      <c r="E129" s="103"/>
    </row>
    <row r="130" spans="1:14" ht="12.75" customHeight="1" x14ac:dyDescent="0.6">
      <c r="A130" s="104" t="s">
        <v>361</v>
      </c>
      <c r="B130" s="80"/>
      <c r="C130" s="80"/>
      <c r="D130" s="80">
        <f>SUM(D127:D129)</f>
        <v>0</v>
      </c>
      <c r="E130" s="103"/>
    </row>
    <row r="131" spans="1:14" ht="19.5" customHeight="1" x14ac:dyDescent="0.6">
      <c r="A131" s="4" t="s">
        <v>362</v>
      </c>
      <c r="B131" s="4"/>
      <c r="C131" s="4"/>
      <c r="D131" s="4"/>
      <c r="E131" s="4"/>
    </row>
    <row r="132" spans="1:14" ht="12" customHeight="1" x14ac:dyDescent="0.6">
      <c r="A132" s="77" t="s">
        <v>363</v>
      </c>
      <c r="B132" s="80">
        <v>3</v>
      </c>
      <c r="E132" s="81"/>
    </row>
    <row r="133" spans="1:14" ht="12" customHeight="1" x14ac:dyDescent="0.6">
      <c r="A133" s="77" t="s">
        <v>364</v>
      </c>
      <c r="B133" s="80">
        <v>7</v>
      </c>
      <c r="E133" s="81"/>
    </row>
    <row r="134" spans="1:14" ht="12" customHeight="1" x14ac:dyDescent="0.6">
      <c r="A134" s="77" t="s">
        <v>365</v>
      </c>
      <c r="B134" s="80">
        <f>365-52</f>
        <v>313</v>
      </c>
      <c r="E134" s="81"/>
    </row>
    <row r="135" spans="1:14" ht="12.75" customHeight="1" x14ac:dyDescent="0.6">
      <c r="A135" s="133" t="s">
        <v>366</v>
      </c>
      <c r="B135" s="105">
        <f>B132*B133*(C137+C138+C139+C140)</f>
        <v>42</v>
      </c>
      <c r="C135" s="166"/>
      <c r="D135" s="166"/>
      <c r="E135" s="167"/>
      <c r="G135" s="71" t="s">
        <v>367</v>
      </c>
      <c r="H135" s="71">
        <f>SUM(C142:C145)</f>
        <v>42</v>
      </c>
      <c r="I135" s="71" t="s">
        <v>368</v>
      </c>
      <c r="J135" s="71">
        <f>B135-H135</f>
        <v>0</v>
      </c>
    </row>
    <row r="136" spans="1:14" ht="16.5" customHeight="1" x14ac:dyDescent="0.6">
      <c r="A136" s="107" t="s">
        <v>369</v>
      </c>
      <c r="B136" s="168" t="s">
        <v>370</v>
      </c>
      <c r="C136" s="168" t="s">
        <v>371</v>
      </c>
      <c r="D136" s="168" t="s">
        <v>372</v>
      </c>
      <c r="E136" s="169" t="s">
        <v>38</v>
      </c>
    </row>
    <row r="137" spans="1:14" ht="12.75" customHeight="1" x14ac:dyDescent="0.6">
      <c r="A137" s="117" t="s">
        <v>373</v>
      </c>
      <c r="B137" s="118" t="s">
        <v>385</v>
      </c>
      <c r="C137" s="118">
        <v>2</v>
      </c>
      <c r="D137" s="118">
        <f>IFERROR(C137*$B$132*$B$134*INDEX($H$141:$H$142,MATCH(B137,$G$141:$G$142,0)),0)</f>
        <v>2629.2</v>
      </c>
      <c r="E137" s="103"/>
    </row>
    <row r="138" spans="1:14" ht="12" customHeight="1" x14ac:dyDescent="0.6">
      <c r="A138" s="104" t="s">
        <v>374</v>
      </c>
      <c r="B138" s="118"/>
      <c r="C138" s="80"/>
      <c r="D138" s="118">
        <f>IFERROR(C138*$B$132*$B$134*INDEX($H$141:$H$142,MATCH(B138,$G$141:$G$142,0)),0)</f>
        <v>0</v>
      </c>
      <c r="E138" s="103"/>
    </row>
    <row r="139" spans="1:14" ht="12" customHeight="1" x14ac:dyDescent="0.6">
      <c r="A139" s="104" t="s">
        <v>375</v>
      </c>
      <c r="B139" s="80"/>
      <c r="C139" s="80"/>
      <c r="D139" s="80">
        <f>IFERROR(C139*$B$132*$B$134*INDEX($H$141:$H$142,MATCH(B139,$G$141:$G$142,0)),0)</f>
        <v>0</v>
      </c>
      <c r="E139" s="103"/>
    </row>
    <row r="140" spans="1:14" ht="12.75" customHeight="1" x14ac:dyDescent="0.6">
      <c r="A140" s="104" t="s">
        <v>376</v>
      </c>
      <c r="B140" s="80"/>
      <c r="C140" s="80"/>
      <c r="D140" s="80">
        <f>IFERROR(C140*$B$132*$B$134*INDEX($H$141:$H$142,MATCH(B140,$G$141:$G$142,0)),0)</f>
        <v>0</v>
      </c>
      <c r="E140" s="103"/>
      <c r="G140" s="170" t="s">
        <v>377</v>
      </c>
      <c r="H140" s="170" t="s">
        <v>378</v>
      </c>
      <c r="I140" s="170" t="s">
        <v>379</v>
      </c>
      <c r="J140" s="170" t="s">
        <v>380</v>
      </c>
      <c r="K140" s="170" t="s">
        <v>381</v>
      </c>
      <c r="L140" s="170" t="s">
        <v>380</v>
      </c>
      <c r="M140" s="170" t="s">
        <v>382</v>
      </c>
      <c r="N140" s="170" t="s">
        <v>380</v>
      </c>
    </row>
    <row r="141" spans="1:14" ht="18" customHeight="1" x14ac:dyDescent="0.6">
      <c r="A141" s="79" t="s">
        <v>383</v>
      </c>
      <c r="B141" s="171" t="s">
        <v>370</v>
      </c>
      <c r="C141" s="171" t="s">
        <v>384</v>
      </c>
      <c r="D141" s="80"/>
      <c r="E141" s="103"/>
      <c r="G141" s="71" t="s">
        <v>385</v>
      </c>
      <c r="H141" s="71">
        <v>1.4</v>
      </c>
      <c r="I141" s="71" t="s">
        <v>386</v>
      </c>
      <c r="J141" s="71">
        <v>0.6</v>
      </c>
      <c r="K141" s="71" t="s">
        <v>387</v>
      </c>
      <c r="L141" s="71">
        <v>0.25</v>
      </c>
      <c r="M141" s="71" t="s">
        <v>388</v>
      </c>
      <c r="N141" s="71">
        <v>1.2</v>
      </c>
    </row>
    <row r="142" spans="1:14" ht="12" customHeight="1" x14ac:dyDescent="0.6">
      <c r="A142" s="104" t="s">
        <v>389</v>
      </c>
      <c r="B142" s="80" t="s">
        <v>386</v>
      </c>
      <c r="C142" s="71">
        <v>21</v>
      </c>
      <c r="D142" s="163">
        <f>IFERROR(C142*$B$134*INDEX($J$141:$J$143,MATCH(B142,$I$141:$I$143,0)),0)</f>
        <v>3943.7999999999997</v>
      </c>
      <c r="E142" s="103"/>
      <c r="G142" s="71" t="s">
        <v>390</v>
      </c>
      <c r="H142" s="71">
        <v>3</v>
      </c>
      <c r="I142" s="71" t="s">
        <v>391</v>
      </c>
      <c r="J142" s="71">
        <v>0.8</v>
      </c>
      <c r="K142" s="71" t="s">
        <v>392</v>
      </c>
      <c r="L142" s="71">
        <v>0.8</v>
      </c>
      <c r="M142" s="71" t="s">
        <v>393</v>
      </c>
      <c r="N142" s="71">
        <v>0.37</v>
      </c>
    </row>
    <row r="143" spans="1:14" ht="12" customHeight="1" x14ac:dyDescent="0.6">
      <c r="A143" s="104" t="s">
        <v>394</v>
      </c>
      <c r="B143" s="80"/>
      <c r="C143" s="80"/>
      <c r="D143" s="80">
        <f>IFERROR(C143*$B$134*INDEX($J$141:$J$143,MATCH(B143,$I$141:$I$143,0)),0)</f>
        <v>0</v>
      </c>
      <c r="E143" s="103"/>
      <c r="I143" s="71" t="s">
        <v>395</v>
      </c>
      <c r="J143" s="71">
        <v>0.3</v>
      </c>
      <c r="K143" s="71" t="s">
        <v>396</v>
      </c>
      <c r="L143" s="71">
        <v>1</v>
      </c>
    </row>
    <row r="144" spans="1:14" ht="12" customHeight="1" x14ac:dyDescent="0.6">
      <c r="A144" s="104" t="s">
        <v>397</v>
      </c>
      <c r="B144" s="80" t="s">
        <v>387</v>
      </c>
      <c r="C144" s="80">
        <v>21</v>
      </c>
      <c r="D144" s="80">
        <f>IFERROR(C144*$B$134*INDEX($L$141:$L$143,MATCH(B144,$K$141:$K$143,0)),0)</f>
        <v>1643.25</v>
      </c>
      <c r="E144" s="103"/>
    </row>
    <row r="145" spans="1:5" ht="12" customHeight="1" x14ac:dyDescent="0.6">
      <c r="A145" s="104" t="s">
        <v>398</v>
      </c>
      <c r="B145" s="80"/>
      <c r="C145" s="80"/>
      <c r="D145" s="80">
        <f>IFERROR(C145*$B$134*INDEX($N$141:$N$142,MATCH(B145,$M$141:$M$142,0)),0)</f>
        <v>0</v>
      </c>
      <c r="E145" s="103"/>
    </row>
    <row r="146" spans="1:5" ht="12.75" customHeight="1" x14ac:dyDescent="0.6">
      <c r="A146" s="116" t="s">
        <v>347</v>
      </c>
      <c r="B146" s="105"/>
      <c r="C146" s="105"/>
      <c r="D146" s="93">
        <f>SUM(D137:D145)</f>
        <v>8216.25</v>
      </c>
      <c r="E146" s="106"/>
    </row>
  </sheetData>
  <mergeCells count="43">
    <mergeCell ref="A108:E108"/>
    <mergeCell ref="A126:E126"/>
    <mergeCell ref="A131:E131"/>
    <mergeCell ref="C96:E96"/>
    <mergeCell ref="C97:E97"/>
    <mergeCell ref="B98:E98"/>
    <mergeCell ref="A99:E99"/>
    <mergeCell ref="A100:E100"/>
    <mergeCell ref="A81:E81"/>
    <mergeCell ref="A92:E92"/>
    <mergeCell ref="B93:E93"/>
    <mergeCell ref="C94:E94"/>
    <mergeCell ref="C95:E95"/>
    <mergeCell ref="B41:E41"/>
    <mergeCell ref="A42:E42"/>
    <mergeCell ref="B48:E48"/>
    <mergeCell ref="A49:E49"/>
    <mergeCell ref="B80:E80"/>
    <mergeCell ref="B36:D36"/>
    <mergeCell ref="B37:D37"/>
    <mergeCell ref="B38:D38"/>
    <mergeCell ref="B39:D39"/>
    <mergeCell ref="B40:D40"/>
    <mergeCell ref="B30:E30"/>
    <mergeCell ref="A31:E31"/>
    <mergeCell ref="B33:D33"/>
    <mergeCell ref="B34:D34"/>
    <mergeCell ref="B35:D35"/>
    <mergeCell ref="A25:E25"/>
    <mergeCell ref="B26:E26"/>
    <mergeCell ref="B27:E27"/>
    <mergeCell ref="B28:E28"/>
    <mergeCell ref="B29:E29"/>
    <mergeCell ref="A9:A10"/>
    <mergeCell ref="C9:D9"/>
    <mergeCell ref="C10:D10"/>
    <mergeCell ref="A11:E11"/>
    <mergeCell ref="A19:E19"/>
    <mergeCell ref="A1:E1"/>
    <mergeCell ref="A2:E2"/>
    <mergeCell ref="A7:A8"/>
    <mergeCell ref="C7:D7"/>
    <mergeCell ref="C8:D8"/>
  </mergeCells>
  <dataValidations count="4">
    <dataValidation type="list" allowBlank="1" sqref="B137:B140" xr:uid="{00000000-0002-0000-0600-000000000000}">
      <formula1>$G$141:$G$142</formula1>
      <formula2>0</formula2>
    </dataValidation>
    <dataValidation type="list" allowBlank="1" sqref="B142:B143" xr:uid="{00000000-0002-0000-0600-000001000000}">
      <formula1>$I$141:$I$143</formula1>
      <formula2>0</formula2>
    </dataValidation>
    <dataValidation type="list" allowBlank="1" sqref="B144" xr:uid="{00000000-0002-0000-0600-000002000000}">
      <formula1>$K$141:$K$143</formula1>
      <formula2>0</formula2>
    </dataValidation>
    <dataValidation type="list" allowBlank="1" sqref="B145" xr:uid="{00000000-0002-0000-0600-000003000000}">
      <formula1>$M$141:$M$142</formula1>
      <formula2>0</formula2>
    </dataValidation>
  </dataValidations>
  <hyperlinks>
    <hyperlink ref="D6" r:id="rId1" xr:uid="{00000000-0004-0000-0600-000000000000}"/>
  </hyperlinks>
  <pageMargins left="0.78749999999999998" right="0.69722222222222197" top="1.1868055555555601" bottom="0.98402777777777795" header="0.51180555555555596" footer="0.51180555555555596"/>
  <pageSetup orientation="portrait" horizontalDpi="300" verticalDpi="300"/>
  <headerFooter>
    <oddHeader>&amp;L&amp;A&amp;C&amp;D</oddHeader>
    <oddFooter>&amp;R&amp;P</oddFooter>
  </headerFooter>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02:K582"/>
  <sheetViews>
    <sheetView topLeftCell="A199" zoomScaleNormal="100" workbookViewId="0">
      <selection activeCell="L618" sqref="L618"/>
    </sheetView>
  </sheetViews>
  <sheetFormatPr defaultColWidth="8.7265625" defaultRowHeight="14.5" x14ac:dyDescent="0.7"/>
  <sheetData>
    <row r="202" spans="11:11" ht="15" customHeight="1" x14ac:dyDescent="0.7">
      <c r="K202">
        <v>2022</v>
      </c>
    </row>
    <row r="428" spans="7:7" ht="15" customHeight="1" x14ac:dyDescent="0.7">
      <c r="G428" t="s">
        <v>399</v>
      </c>
    </row>
    <row r="581" spans="2:2" ht="15" customHeight="1" x14ac:dyDescent="0.7">
      <c r="B581" t="s">
        <v>400</v>
      </c>
    </row>
    <row r="582" spans="2:2" ht="15" customHeight="1" x14ac:dyDescent="0.7">
      <c r="B582" t="s">
        <v>255</v>
      </c>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45"/>
  <sheetViews>
    <sheetView zoomScale="145" zoomScaleNormal="145" workbookViewId="0">
      <pane xSplit="2" ySplit="3" topLeftCell="C124" activePane="bottomRight" state="frozen"/>
      <selection pane="topRight" activeCell="C1" sqref="C1"/>
      <selection pane="bottomLeft" activeCell="A124" sqref="A124"/>
      <selection pane="bottomRight" activeCell="C138" sqref="C138"/>
    </sheetView>
  </sheetViews>
  <sheetFormatPr defaultColWidth="8.7265625" defaultRowHeight="14.5" x14ac:dyDescent="0.7"/>
  <cols>
    <col min="1" max="1" width="50" customWidth="1"/>
    <col min="2" max="2" width="10" customWidth="1"/>
    <col min="3" max="9" width="13" customWidth="1"/>
  </cols>
  <sheetData>
    <row r="1" spans="1:9" ht="21.75" customHeight="1" x14ac:dyDescent="0.95">
      <c r="A1" s="15" t="s">
        <v>401</v>
      </c>
    </row>
    <row r="2" spans="1:9" ht="15" customHeight="1" x14ac:dyDescent="0.7">
      <c r="A2" s="18" t="s">
        <v>402</v>
      </c>
    </row>
    <row r="4" spans="1:9" ht="15" customHeight="1" x14ac:dyDescent="0.7">
      <c r="A4" s="45" t="s">
        <v>403</v>
      </c>
    </row>
    <row r="5" spans="1:9" ht="15" customHeight="1" x14ac:dyDescent="0.7">
      <c r="A5" s="37" t="s">
        <v>404</v>
      </c>
      <c r="B5" s="61">
        <v>0.05</v>
      </c>
    </row>
    <row r="6" spans="1:9" ht="15" customHeight="1" x14ac:dyDescent="0.7">
      <c r="A6" s="37" t="s">
        <v>405</v>
      </c>
      <c r="B6" s="61">
        <v>0.7</v>
      </c>
    </row>
    <row r="7" spans="1:9" ht="15" customHeight="1" x14ac:dyDescent="0.7">
      <c r="A7" s="37" t="s">
        <v>406</v>
      </c>
      <c r="B7" s="52">
        <v>80</v>
      </c>
    </row>
    <row r="8" spans="1:9" ht="15" customHeight="1" x14ac:dyDescent="0.7">
      <c r="A8" s="37" t="s">
        <v>407</v>
      </c>
      <c r="B8" s="52">
        <v>14</v>
      </c>
    </row>
    <row r="9" spans="1:9" ht="15" customHeight="1" x14ac:dyDescent="0.7">
      <c r="A9" s="37" t="s">
        <v>408</v>
      </c>
      <c r="B9" s="54">
        <v>6000</v>
      </c>
    </row>
    <row r="10" spans="1:9" ht="15" customHeight="1" x14ac:dyDescent="0.7">
      <c r="A10" s="37" t="s">
        <v>409</v>
      </c>
      <c r="B10" s="54">
        <v>100000</v>
      </c>
    </row>
    <row r="12" spans="1:9" ht="15" customHeight="1" x14ac:dyDescent="0.7">
      <c r="A12" s="45" t="s">
        <v>410</v>
      </c>
    </row>
    <row r="13" spans="1:9" ht="15" customHeight="1" x14ac:dyDescent="0.7">
      <c r="A13" s="16" t="s">
        <v>13</v>
      </c>
      <c r="C13" s="16" t="str">
        <f>Byggnader!C12</f>
        <v>Byggnad 1</v>
      </c>
      <c r="D13" s="16" t="str">
        <f>Byggnader!D12</f>
        <v>Byggnad 2</v>
      </c>
      <c r="E13" s="16" t="str">
        <f>Byggnader!E12</f>
        <v>Byggnad 3</v>
      </c>
      <c r="F13" s="16" t="str">
        <f>Byggnader!F12</f>
        <v>Byggnad 4</v>
      </c>
      <c r="G13" s="16" t="str">
        <f>Byggnader!G12</f>
        <v>Byggnad 5</v>
      </c>
      <c r="H13" s="16" t="str">
        <f>Byggnader!H12</f>
        <v>Byggnad 6</v>
      </c>
      <c r="I13" s="16" t="s">
        <v>24</v>
      </c>
    </row>
    <row r="14" spans="1:9" ht="15" customHeight="1" x14ac:dyDescent="0.7">
      <c r="A14" s="37" t="s">
        <v>411</v>
      </c>
      <c r="C14" s="67">
        <v>21</v>
      </c>
      <c r="D14" s="67">
        <v>21</v>
      </c>
      <c r="E14" s="67">
        <v>21</v>
      </c>
      <c r="F14" s="67">
        <v>21</v>
      </c>
      <c r="G14" s="67">
        <v>21</v>
      </c>
      <c r="H14" s="67">
        <v>21</v>
      </c>
    </row>
    <row r="15" spans="1:9" ht="15" customHeight="1" x14ac:dyDescent="0.7">
      <c r="A15" s="37" t="s">
        <v>412</v>
      </c>
      <c r="C15" s="61">
        <v>0.35</v>
      </c>
      <c r="D15" s="61">
        <v>0.35</v>
      </c>
      <c r="E15" s="61">
        <v>0.35</v>
      </c>
      <c r="F15" s="61">
        <v>0.35</v>
      </c>
      <c r="G15" s="61">
        <v>0.35</v>
      </c>
      <c r="H15" s="61">
        <v>0.35</v>
      </c>
    </row>
    <row r="16" spans="1:9" ht="15" customHeight="1" x14ac:dyDescent="0.7">
      <c r="A16" s="37" t="s">
        <v>413</v>
      </c>
      <c r="C16" s="61">
        <v>0</v>
      </c>
      <c r="D16" s="61">
        <v>0</v>
      </c>
      <c r="E16" s="61">
        <v>0</v>
      </c>
      <c r="F16" s="61">
        <v>0</v>
      </c>
      <c r="G16" s="61">
        <v>0</v>
      </c>
      <c r="H16" s="61">
        <v>0</v>
      </c>
    </row>
    <row r="17" spans="1:9" ht="15" customHeight="1" x14ac:dyDescent="0.7">
      <c r="A17" s="37" t="s">
        <v>414</v>
      </c>
      <c r="C17" s="61">
        <v>1.63</v>
      </c>
      <c r="D17" s="61">
        <v>1.63</v>
      </c>
      <c r="E17" s="61">
        <v>1.63</v>
      </c>
      <c r="F17" s="61">
        <v>1.63</v>
      </c>
      <c r="G17" s="61">
        <v>1.63</v>
      </c>
      <c r="H17" s="61">
        <v>1.63</v>
      </c>
    </row>
    <row r="18" spans="1:9" ht="15" customHeight="1" x14ac:dyDescent="0.7">
      <c r="A18" s="37" t="s">
        <v>415</v>
      </c>
      <c r="C18" s="54">
        <v>0</v>
      </c>
      <c r="D18" s="54">
        <v>0</v>
      </c>
      <c r="E18" s="54">
        <v>0</v>
      </c>
      <c r="F18" s="54">
        <v>0</v>
      </c>
      <c r="G18" s="54">
        <v>0</v>
      </c>
      <c r="H18" s="54">
        <v>0</v>
      </c>
    </row>
    <row r="19" spans="1:9" ht="15" customHeight="1" x14ac:dyDescent="0.7">
      <c r="A19" s="37" t="s">
        <v>416</v>
      </c>
      <c r="C19" s="46" t="s">
        <v>200</v>
      </c>
      <c r="D19" s="46" t="s">
        <v>200</v>
      </c>
      <c r="E19" s="46" t="s">
        <v>200</v>
      </c>
      <c r="F19" s="46" t="s">
        <v>200</v>
      </c>
      <c r="G19" s="46" t="s">
        <v>200</v>
      </c>
      <c r="H19" s="46" t="s">
        <v>200</v>
      </c>
    </row>
    <row r="20" spans="1:9" ht="15" customHeight="1" x14ac:dyDescent="0.7">
      <c r="A20" s="37" t="s">
        <v>417</v>
      </c>
      <c r="C20" s="46" t="s">
        <v>200</v>
      </c>
      <c r="D20" s="46" t="s">
        <v>200</v>
      </c>
      <c r="E20" s="46" t="s">
        <v>200</v>
      </c>
      <c r="F20" s="46" t="s">
        <v>200</v>
      </c>
      <c r="G20" s="46" t="s">
        <v>200</v>
      </c>
      <c r="H20" s="46" t="s">
        <v>200</v>
      </c>
    </row>
    <row r="21" spans="1:9" ht="15" customHeight="1" x14ac:dyDescent="0.7">
      <c r="A21" s="37" t="s">
        <v>418</v>
      </c>
      <c r="C21" s="46" t="s">
        <v>200</v>
      </c>
      <c r="D21" s="46" t="s">
        <v>200</v>
      </c>
      <c r="E21" s="46" t="s">
        <v>200</v>
      </c>
      <c r="F21" s="46" t="s">
        <v>200</v>
      </c>
      <c r="G21" s="46" t="s">
        <v>200</v>
      </c>
      <c r="H21" s="46" t="s">
        <v>200</v>
      </c>
    </row>
    <row r="22" spans="1:9" ht="15" customHeight="1" x14ac:dyDescent="0.7">
      <c r="A22" s="37" t="s">
        <v>419</v>
      </c>
      <c r="C22" s="46" t="s">
        <v>200</v>
      </c>
      <c r="D22" s="46" t="s">
        <v>200</v>
      </c>
      <c r="E22" s="46" t="s">
        <v>200</v>
      </c>
      <c r="F22" s="46" t="s">
        <v>200</v>
      </c>
      <c r="G22" s="46" t="s">
        <v>200</v>
      </c>
      <c r="H22" s="46" t="s">
        <v>200</v>
      </c>
    </row>
    <row r="24" spans="1:9" ht="15" customHeight="1" x14ac:dyDescent="0.7">
      <c r="A24" s="45" t="s">
        <v>420</v>
      </c>
    </row>
    <row r="25" spans="1:9" ht="15" customHeight="1" x14ac:dyDescent="0.7">
      <c r="A25" s="16" t="s">
        <v>13</v>
      </c>
      <c r="C25" s="16" t="str">
        <f>Byggnader!C12</f>
        <v>Byggnad 1</v>
      </c>
      <c r="D25" s="16" t="str">
        <f>Byggnader!D12</f>
        <v>Byggnad 2</v>
      </c>
      <c r="E25" s="16" t="str">
        <f>Byggnader!E12</f>
        <v>Byggnad 3</v>
      </c>
      <c r="F25" s="16" t="str">
        <f>Byggnader!F12</f>
        <v>Byggnad 4</v>
      </c>
      <c r="G25" s="16" t="str">
        <f>Byggnader!G12</f>
        <v>Byggnad 5</v>
      </c>
      <c r="H25" s="16" t="str">
        <f>Byggnader!H12</f>
        <v>Byggnad 6</v>
      </c>
      <c r="I25" s="16" t="s">
        <v>24</v>
      </c>
    </row>
    <row r="26" spans="1:9" ht="15" customHeight="1" x14ac:dyDescent="0.7">
      <c r="A26" s="37" t="s">
        <v>421</v>
      </c>
      <c r="C26" s="55">
        <f>Byggnader!C32</f>
        <v>0</v>
      </c>
      <c r="D26" s="55">
        <f>Byggnader!D32</f>
        <v>0</v>
      </c>
      <c r="E26" s="55">
        <f>Byggnader!E32</f>
        <v>0</v>
      </c>
      <c r="F26" s="55">
        <f>Byggnader!F32</f>
        <v>0</v>
      </c>
      <c r="G26" s="55">
        <f>Byggnader!G32</f>
        <v>0</v>
      </c>
      <c r="H26" s="55">
        <f>Byggnader!H32</f>
        <v>0</v>
      </c>
      <c r="I26" s="55">
        <f t="shared" ref="I26:I37" si="0">SUM(C26:H26)</f>
        <v>0</v>
      </c>
    </row>
    <row r="27" spans="1:9" ht="15" customHeight="1" x14ac:dyDescent="0.7">
      <c r="A27" s="37" t="s">
        <v>62</v>
      </c>
      <c r="C27" s="55">
        <f>IF(Byggnader!C16="Flerbostadshus",(Byggnader!C21+Byggnader!C31),0)</f>
        <v>0</v>
      </c>
      <c r="D27" s="55">
        <f>IF(Byggnader!D16="Flerbostadshus",(Byggnader!D21+Byggnader!D31),0)</f>
        <v>0</v>
      </c>
      <c r="E27" s="55">
        <f>IF(Byggnader!E16="Flerbostadshus",(Byggnader!E21+Byggnader!E31),0)</f>
        <v>0</v>
      </c>
      <c r="F27" s="55">
        <f>IF(Byggnader!F16="Flerbostadshus",(Byggnader!F21+Byggnader!F31),0)</f>
        <v>0</v>
      </c>
      <c r="G27" s="55">
        <f>IF(Byggnader!G16="Flerbostadshus",(Byggnader!G21+Byggnader!G31),0)</f>
        <v>0</v>
      </c>
      <c r="H27" s="55">
        <f>IF(Byggnader!H16="Flerbostadshus",(Byggnader!H21+Byggnader!H31),0)</f>
        <v>0</v>
      </c>
      <c r="I27" s="55">
        <f t="shared" si="0"/>
        <v>0</v>
      </c>
    </row>
    <row r="28" spans="1:9" ht="15" customHeight="1" x14ac:dyDescent="0.7">
      <c r="A28" s="37" t="s">
        <v>422</v>
      </c>
      <c r="C28" s="55">
        <f>IF(AND(Byggnader!C16="En- och tvåbostadshus",C26&lt;90),(Byggnader!C21+Byggnader!C31),0)</f>
        <v>0</v>
      </c>
      <c r="D28" s="55">
        <f>IF(AND(Byggnader!D16="En- och tvåbostadshus",D26&lt;90),(Byggnader!D21+Byggnader!D31),0)</f>
        <v>0</v>
      </c>
      <c r="E28" s="55">
        <f>IF(AND(Byggnader!E16="En- och tvåbostadshus",E26&lt;90),(Byggnader!E21+Byggnader!E31),0)</f>
        <v>0</v>
      </c>
      <c r="F28" s="55">
        <f>IF(AND(Byggnader!F16="En- och tvåbostadshus",F26&lt;90),(Byggnader!F21+Byggnader!F31),0)</f>
        <v>0</v>
      </c>
      <c r="G28" s="55">
        <f>IF(AND(Byggnader!G16="En- och tvåbostadshus",G26&lt;90),(Byggnader!G21+Byggnader!G31),0)</f>
        <v>0</v>
      </c>
      <c r="H28" s="55">
        <f>IF(AND(Byggnader!H16="En- och tvåbostadshus",H26&lt;90),(Byggnader!H21+Byggnader!H31),0)</f>
        <v>0</v>
      </c>
      <c r="I28" s="55">
        <f t="shared" si="0"/>
        <v>0</v>
      </c>
    </row>
    <row r="29" spans="1:9" ht="15" customHeight="1" x14ac:dyDescent="0.7">
      <c r="A29" s="37" t="s">
        <v>423</v>
      </c>
      <c r="C29" s="55">
        <f>IF(AND(Byggnader!C16="En- och tvåbostadshus",C26&gt;=90,C26&lt;130),(Byggnader!C21+Byggnader!C31),0)</f>
        <v>0</v>
      </c>
      <c r="D29" s="55">
        <f>IF(AND(Byggnader!D16="En- och tvåbostadshus",D26&gt;=90,D26&lt;130),(Byggnader!D21+Byggnader!D31),0)</f>
        <v>0</v>
      </c>
      <c r="E29" s="55">
        <f>IF(AND(Byggnader!E16="En- och tvåbostadshus",E26&gt;=90,E26&lt;130),(Byggnader!E21+Byggnader!E31),0)</f>
        <v>0</v>
      </c>
      <c r="F29" s="55">
        <f>IF(AND(Byggnader!F16="En- och tvåbostadshus",F26&gt;=90,F26&lt;130),(Byggnader!F21+Byggnader!F31),0)</f>
        <v>0</v>
      </c>
      <c r="G29" s="55">
        <f>IF(AND(Byggnader!G16="En- och tvåbostadshus",G26&gt;=90,G26&lt;130),(Byggnader!G21+Byggnader!G31),0)</f>
        <v>0</v>
      </c>
      <c r="H29" s="55">
        <f>IF(AND(Byggnader!H16="En- och tvåbostadshus",H26&gt;=90,H26&lt;130),(Byggnader!H21+Byggnader!H31),0)</f>
        <v>0</v>
      </c>
      <c r="I29" s="55">
        <f t="shared" si="0"/>
        <v>0</v>
      </c>
    </row>
    <row r="30" spans="1:9" ht="15" customHeight="1" x14ac:dyDescent="0.7">
      <c r="A30" s="37" t="s">
        <v>424</v>
      </c>
      <c r="C30" s="55">
        <f>IF(AND(Byggnader!C16="En- och tvåbostadshus",C26&gt;=130),(Byggnader!C21+Byggnader!C31),0)</f>
        <v>0</v>
      </c>
      <c r="D30" s="55">
        <f>IF(AND(Byggnader!D16="En- och tvåbostadshus",D26&gt;=130),(Byggnader!D21+Byggnader!D31),0)</f>
        <v>0</v>
      </c>
      <c r="E30" s="55">
        <f>IF(AND(Byggnader!E16="En- och tvåbostadshus",E26&gt;=130),(Byggnader!E21+Byggnader!E31),0)</f>
        <v>0</v>
      </c>
      <c r="F30" s="55">
        <f>IF(AND(Byggnader!F16="En- och tvåbostadshus",F26&gt;=130),(Byggnader!F21+Byggnader!F31),0)</f>
        <v>0</v>
      </c>
      <c r="G30" s="55">
        <f>IF(AND(Byggnader!G16="En- och tvåbostadshus",G26&gt;=130),(Byggnader!G21+Byggnader!G31),0)</f>
        <v>0</v>
      </c>
      <c r="H30" s="55">
        <f>IF(AND(Byggnader!H16="En- och tvåbostadshus",H26&gt;=130),(Byggnader!H21+Byggnader!H31),0)</f>
        <v>0</v>
      </c>
      <c r="I30" s="55">
        <f t="shared" si="0"/>
        <v>0</v>
      </c>
    </row>
    <row r="31" spans="1:9" ht="15" customHeight="1" x14ac:dyDescent="0.7">
      <c r="A31" s="37" t="s">
        <v>68</v>
      </c>
      <c r="C31" s="55">
        <f>Byggnader!C24</f>
        <v>0</v>
      </c>
      <c r="D31" s="55">
        <f>Byggnader!D24</f>
        <v>0</v>
      </c>
      <c r="E31" s="55">
        <f>Byggnader!E24</f>
        <v>0</v>
      </c>
      <c r="F31" s="55">
        <f>Byggnader!F24</f>
        <v>0</v>
      </c>
      <c r="G31" s="55">
        <f>Byggnader!G24</f>
        <v>0</v>
      </c>
      <c r="H31" s="55">
        <f>Byggnader!H24</f>
        <v>0</v>
      </c>
      <c r="I31" s="55">
        <f t="shared" si="0"/>
        <v>0</v>
      </c>
    </row>
    <row r="32" spans="1:9" ht="15" customHeight="1" x14ac:dyDescent="0.7">
      <c r="A32" s="37" t="s">
        <v>69</v>
      </c>
      <c r="C32" s="55">
        <f>Byggnader!C25</f>
        <v>0</v>
      </c>
      <c r="D32" s="55">
        <f>Byggnader!D25</f>
        <v>0</v>
      </c>
      <c r="E32" s="55">
        <f>Byggnader!E25</f>
        <v>0</v>
      </c>
      <c r="F32" s="55">
        <f>Byggnader!F25</f>
        <v>0</v>
      </c>
      <c r="G32" s="55">
        <f>Byggnader!G25</f>
        <v>0</v>
      </c>
      <c r="H32" s="55">
        <f>Byggnader!H25</f>
        <v>0</v>
      </c>
      <c r="I32" s="55">
        <f t="shared" si="0"/>
        <v>0</v>
      </c>
    </row>
    <row r="33" spans="1:9" ht="15" customHeight="1" x14ac:dyDescent="0.7">
      <c r="A33" s="37" t="s">
        <v>70</v>
      </c>
      <c r="C33" s="55">
        <f>Byggnader!C26</f>
        <v>0</v>
      </c>
      <c r="D33" s="55">
        <f>Byggnader!D26</f>
        <v>0</v>
      </c>
      <c r="E33" s="55">
        <f>Byggnader!E26</f>
        <v>0</v>
      </c>
      <c r="F33" s="55">
        <f>Byggnader!F26</f>
        <v>0</v>
      </c>
      <c r="G33" s="55">
        <f>Byggnader!G26</f>
        <v>0</v>
      </c>
      <c r="H33" s="55">
        <f>Byggnader!H26</f>
        <v>0</v>
      </c>
      <c r="I33" s="55">
        <f t="shared" si="0"/>
        <v>0</v>
      </c>
    </row>
    <row r="34" spans="1:9" ht="15" customHeight="1" x14ac:dyDescent="0.7">
      <c r="A34" s="37" t="s">
        <v>71</v>
      </c>
      <c r="C34" s="55">
        <f>Byggnader!C27</f>
        <v>0</v>
      </c>
      <c r="D34" s="55">
        <f>Byggnader!D27</f>
        <v>0</v>
      </c>
      <c r="E34" s="55">
        <f>Byggnader!E27</f>
        <v>0</v>
      </c>
      <c r="F34" s="55">
        <f>Byggnader!F27</f>
        <v>0</v>
      </c>
      <c r="G34" s="55">
        <f>Byggnader!G27</f>
        <v>0</v>
      </c>
      <c r="H34" s="55">
        <f>Byggnader!H27</f>
        <v>0</v>
      </c>
      <c r="I34" s="55">
        <f t="shared" si="0"/>
        <v>0</v>
      </c>
    </row>
    <row r="35" spans="1:9" ht="15" customHeight="1" x14ac:dyDescent="0.7">
      <c r="A35" s="37" t="s">
        <v>72</v>
      </c>
      <c r="C35" s="55">
        <f>Byggnader!C28</f>
        <v>0</v>
      </c>
      <c r="D35" s="55">
        <f>Byggnader!D28</f>
        <v>0</v>
      </c>
      <c r="E35" s="55">
        <f>Byggnader!E28</f>
        <v>0</v>
      </c>
      <c r="F35" s="55">
        <f>Byggnader!F28</f>
        <v>0</v>
      </c>
      <c r="G35" s="55">
        <f>Byggnader!G28</f>
        <v>0</v>
      </c>
      <c r="H35" s="55">
        <f>Byggnader!H28</f>
        <v>0</v>
      </c>
      <c r="I35" s="55">
        <f t="shared" si="0"/>
        <v>0</v>
      </c>
    </row>
    <row r="36" spans="1:9" ht="15" customHeight="1" x14ac:dyDescent="0.7">
      <c r="A36" s="37" t="s">
        <v>73</v>
      </c>
      <c r="C36" s="55">
        <f>Byggnader!C29</f>
        <v>0</v>
      </c>
      <c r="D36" s="55">
        <f>Byggnader!D29</f>
        <v>0</v>
      </c>
      <c r="E36" s="55">
        <f>Byggnader!E29</f>
        <v>0</v>
      </c>
      <c r="F36" s="55">
        <f>Byggnader!F29</f>
        <v>0</v>
      </c>
      <c r="G36" s="55">
        <f>Byggnader!G29</f>
        <v>0</v>
      </c>
      <c r="H36" s="55">
        <f>Byggnader!H29</f>
        <v>0</v>
      </c>
      <c r="I36" s="55">
        <f t="shared" si="0"/>
        <v>0</v>
      </c>
    </row>
    <row r="37" spans="1:9" ht="15" customHeight="1" x14ac:dyDescent="0.7">
      <c r="A37" s="37" t="s">
        <v>74</v>
      </c>
      <c r="C37" s="55">
        <f>Byggnader!C30</f>
        <v>0</v>
      </c>
      <c r="D37" s="55">
        <f>Byggnader!D30</f>
        <v>0</v>
      </c>
      <c r="E37" s="55">
        <f>Byggnader!E30</f>
        <v>0</v>
      </c>
      <c r="F37" s="55">
        <f>Byggnader!F30</f>
        <v>0</v>
      </c>
      <c r="G37" s="55">
        <f>Byggnader!G30</f>
        <v>0</v>
      </c>
      <c r="H37" s="55">
        <f>Byggnader!H30</f>
        <v>0</v>
      </c>
      <c r="I37" s="55">
        <f t="shared" si="0"/>
        <v>0</v>
      </c>
    </row>
    <row r="38" spans="1:9" ht="15" customHeight="1" x14ac:dyDescent="0.7">
      <c r="A38" s="37" t="s">
        <v>425</v>
      </c>
      <c r="C38" s="55">
        <f t="shared" ref="C38:I38" si="1">SUM(C27:C37)</f>
        <v>0</v>
      </c>
      <c r="D38" s="55">
        <f t="shared" si="1"/>
        <v>0</v>
      </c>
      <c r="E38" s="55">
        <f t="shared" si="1"/>
        <v>0</v>
      </c>
      <c r="F38" s="55">
        <f t="shared" si="1"/>
        <v>0</v>
      </c>
      <c r="G38" s="55">
        <f t="shared" si="1"/>
        <v>0</v>
      </c>
      <c r="H38" s="55">
        <f t="shared" si="1"/>
        <v>0</v>
      </c>
      <c r="I38" s="55">
        <f t="shared" si="1"/>
        <v>0</v>
      </c>
    </row>
    <row r="39" spans="1:9" ht="15" customHeight="1" x14ac:dyDescent="0.7">
      <c r="A39" s="37" t="s">
        <v>426</v>
      </c>
      <c r="C39" s="47">
        <f>IFERROR(SUMPRODUCT(C$27:C$37,'Regler BFS 2026'!$B$12:$B$22)/C$38,0)</f>
        <v>0</v>
      </c>
      <c r="D39" s="47">
        <f>IFERROR(SUMPRODUCT(D$27:D$37,'Regler BFS 2026'!$B$12:$B$22)/D$38,0)</f>
        <v>0</v>
      </c>
      <c r="E39" s="47">
        <f>IFERROR(SUMPRODUCT(E$27:E$37,'Regler BFS 2026'!$B$12:$B$22)/E$38,0)</f>
        <v>0</v>
      </c>
      <c r="F39" s="47">
        <f>IFERROR(SUMPRODUCT(F$27:F$37,'Regler BFS 2026'!$B$12:$B$22)/F$38,0)</f>
        <v>0</v>
      </c>
      <c r="G39" s="47">
        <f>IFERROR(SUMPRODUCT(G$27:G$37,'Regler BFS 2026'!$B$12:$B$22)/G$38,0)</f>
        <v>0</v>
      </c>
      <c r="H39" s="47">
        <f>IFERROR(SUMPRODUCT(H$27:H$37,'Regler BFS 2026'!$B$12:$B$22)/H$38,0)</f>
        <v>0</v>
      </c>
      <c r="I39" s="47">
        <f>IFERROR(SUMPRODUCT(I$27:I$37,'Regler BFS 2026'!$B$12:$B$22)/I$38,0)</f>
        <v>0</v>
      </c>
    </row>
    <row r="40" spans="1:9" ht="15" customHeight="1" x14ac:dyDescent="0.7">
      <c r="A40" s="37" t="s">
        <v>427</v>
      </c>
      <c r="C40" s="172">
        <f>IFERROR(SUMPRODUCT(C$27:C$37,'Regler BFS 2026'!$C$12:$C$22)/C$38,0)</f>
        <v>0</v>
      </c>
      <c r="D40" s="172">
        <f>IFERROR(SUMPRODUCT(D$27:D$37,'Regler BFS 2026'!$C$12:$C$22)/D$38,0)</f>
        <v>0</v>
      </c>
      <c r="E40" s="172">
        <f>IFERROR(SUMPRODUCT(E$27:E$37,'Regler BFS 2026'!$C$12:$C$22)/E$38,0)</f>
        <v>0</v>
      </c>
      <c r="F40" s="172">
        <f>IFERROR(SUMPRODUCT(F$27:F$37,'Regler BFS 2026'!$C$12:$C$22)/F$38,0)</f>
        <v>0</v>
      </c>
      <c r="G40" s="172">
        <f>IFERROR(SUMPRODUCT(G$27:G$37,'Regler BFS 2026'!$C$12:$C$22)/G$38,0)</f>
        <v>0</v>
      </c>
      <c r="H40" s="172">
        <f>IFERROR(SUMPRODUCT(H$27:H$37,'Regler BFS 2026'!$C$12:$C$22)/H$38,0)</f>
        <v>0</v>
      </c>
      <c r="I40" s="172">
        <f>IFERROR(SUMPRODUCT(I$27:I$37,'Regler BFS 2026'!$C$12:$C$22)/I$38,0)</f>
        <v>0</v>
      </c>
    </row>
    <row r="41" spans="1:9" ht="15" customHeight="1" x14ac:dyDescent="0.7">
      <c r="A41" s="37" t="s">
        <v>428</v>
      </c>
      <c r="C41" s="172">
        <f>IFERROR(SUMPRODUCT(C$27:C$37,'Regler BFS 2026'!$D$12:$D$22)/C$38,0)</f>
        <v>0</v>
      </c>
      <c r="D41" s="172">
        <f>IFERROR(SUMPRODUCT(D$27:D$37,'Regler BFS 2026'!$D$12:$D$22)/D$38,0)</f>
        <v>0</v>
      </c>
      <c r="E41" s="172">
        <f>IFERROR(SUMPRODUCT(E$27:E$37,'Regler BFS 2026'!$D$12:$D$22)/E$38,0)</f>
        <v>0</v>
      </c>
      <c r="F41" s="172">
        <f>IFERROR(SUMPRODUCT(F$27:F$37,'Regler BFS 2026'!$D$12:$D$22)/F$38,0)</f>
        <v>0</v>
      </c>
      <c r="G41" s="172">
        <f>IFERROR(SUMPRODUCT(G$27:G$37,'Regler BFS 2026'!$D$12:$D$22)/G$38,0)</f>
        <v>0</v>
      </c>
      <c r="H41" s="172">
        <f>IFERROR(SUMPRODUCT(H$27:H$37,'Regler BFS 2026'!$D$12:$D$22)/H$38,0)</f>
        <v>0</v>
      </c>
      <c r="I41" s="172">
        <f>IFERROR(SUMPRODUCT(I$27:I$37,'Regler BFS 2026'!$D$12:$D$22)/I$38,0)</f>
        <v>0</v>
      </c>
    </row>
    <row r="42" spans="1:9" ht="15" customHeight="1" x14ac:dyDescent="0.7">
      <c r="A42" s="37" t="s">
        <v>429</v>
      </c>
      <c r="C42" s="47">
        <f>IFERROR(SUMPRODUCT(C$27:C$37,'Regler BFS 2026'!$E$12:$E$22)/C$38,0)</f>
        <v>0</v>
      </c>
      <c r="D42" s="47">
        <f>IFERROR(SUMPRODUCT(D$27:D$37,'Regler BFS 2026'!$E$12:$E$22)/D$38,0)</f>
        <v>0</v>
      </c>
      <c r="E42" s="47">
        <f>IFERROR(SUMPRODUCT(E$27:E$37,'Regler BFS 2026'!$E$12:$E$22)/E$38,0)</f>
        <v>0</v>
      </c>
      <c r="F42" s="47">
        <f>IFERROR(SUMPRODUCT(F$27:F$37,'Regler BFS 2026'!$E$12:$E$22)/F$38,0)</f>
        <v>0</v>
      </c>
      <c r="G42" s="47">
        <f>IFERROR(SUMPRODUCT(G$27:G$37,'Regler BFS 2026'!$E$12:$E$22)/G$38,0)</f>
        <v>0</v>
      </c>
      <c r="H42" s="47">
        <f>IFERROR(SUMPRODUCT(H$27:H$37,'Regler BFS 2026'!$E$12:$E$22)/H$38,0)</f>
        <v>0</v>
      </c>
      <c r="I42" s="47">
        <f>IFERROR(SUMPRODUCT(I$27:I$37,'Regler BFS 2026'!$E$12:$E$22)/I$38,0)</f>
        <v>0</v>
      </c>
    </row>
    <row r="44" spans="1:9" ht="15" customHeight="1" x14ac:dyDescent="0.7">
      <c r="A44" s="45" t="s">
        <v>430</v>
      </c>
    </row>
    <row r="45" spans="1:9" ht="15" customHeight="1" x14ac:dyDescent="0.7">
      <c r="A45" s="16" t="s">
        <v>13</v>
      </c>
      <c r="C45" s="16" t="str">
        <f>Byggnader!C12</f>
        <v>Byggnad 1</v>
      </c>
      <c r="D45" s="16" t="str">
        <f>Byggnader!D12</f>
        <v>Byggnad 2</v>
      </c>
      <c r="E45" s="16" t="str">
        <f>Byggnader!E12</f>
        <v>Byggnad 3</v>
      </c>
      <c r="F45" s="16" t="str">
        <f>Byggnader!F12</f>
        <v>Byggnad 4</v>
      </c>
      <c r="G45" s="16" t="str">
        <f>Byggnader!G12</f>
        <v>Byggnad 5</v>
      </c>
      <c r="H45" s="16" t="str">
        <f>Byggnader!H12</f>
        <v>Byggnad 6</v>
      </c>
      <c r="I45" s="16" t="s">
        <v>24</v>
      </c>
    </row>
    <row r="46" spans="1:9" ht="15" customHeight="1" x14ac:dyDescent="0.7">
      <c r="A46" s="37" t="s">
        <v>431</v>
      </c>
      <c r="C46" s="55">
        <f>El!C133</f>
        <v>6000</v>
      </c>
      <c r="D46" s="55">
        <f>El!D133</f>
        <v>0</v>
      </c>
      <c r="E46" s="55">
        <f>El!E133</f>
        <v>0</v>
      </c>
      <c r="F46" s="55">
        <f>El!F133</f>
        <v>0</v>
      </c>
      <c r="G46" s="55">
        <f>El!G133</f>
        <v>0</v>
      </c>
      <c r="H46" s="55">
        <f>El!H133</f>
        <v>0</v>
      </c>
      <c r="I46" s="55">
        <f>SUM(C46:H46)</f>
        <v>6000</v>
      </c>
    </row>
    <row r="47" spans="1:9" ht="15" customHeight="1" x14ac:dyDescent="0.7">
      <c r="A47" s="37" t="s">
        <v>432</v>
      </c>
      <c r="C47" s="172">
        <f>IFERROR(Byggnader!C18*C17*$B$7*$B$8/24/C26,0)</f>
        <v>0</v>
      </c>
      <c r="D47" s="172">
        <f>IFERROR(Byggnader!D18*D17*$B$7*$B$8/24/D26,0)</f>
        <v>0</v>
      </c>
      <c r="E47" s="172">
        <f>IFERROR(Byggnader!E18*E17*$B$7*$B$8/24/E26,0)</f>
        <v>0</v>
      </c>
      <c r="F47" s="172">
        <f>IFERROR(Byggnader!F18*F17*$B$7*$B$8/24/F26,0)</f>
        <v>0</v>
      </c>
      <c r="G47" s="172">
        <f>IFERROR(Byggnader!G18*G17*$B$7*$B$8/24/G26,0)</f>
        <v>0</v>
      </c>
      <c r="H47" s="172">
        <f>IFERROR(Byggnader!H18*H17*$B$7*$B$8/24/H26,0)</f>
        <v>0</v>
      </c>
    </row>
    <row r="48" spans="1:9" ht="15" customHeight="1" x14ac:dyDescent="0.7">
      <c r="A48" s="37" t="s">
        <v>433</v>
      </c>
      <c r="C48" s="172">
        <f t="shared" ref="C48:H48" si="2">IFERROR((C46+C18)*$B$6*1000/8760/C26,0)</f>
        <v>0</v>
      </c>
      <c r="D48" s="172">
        <f t="shared" si="2"/>
        <v>0</v>
      </c>
      <c r="E48" s="172">
        <f t="shared" si="2"/>
        <v>0</v>
      </c>
      <c r="F48" s="172">
        <f t="shared" si="2"/>
        <v>0</v>
      </c>
      <c r="G48" s="172">
        <f t="shared" si="2"/>
        <v>0</v>
      </c>
      <c r="H48" s="172">
        <f t="shared" si="2"/>
        <v>0</v>
      </c>
    </row>
    <row r="49" spans="1:9" ht="15" customHeight="1" x14ac:dyDescent="0.7">
      <c r="A49" s="16" t="s">
        <v>434</v>
      </c>
      <c r="C49" s="172">
        <f t="shared" ref="C49:H49" si="3">C47+C48</f>
        <v>0</v>
      </c>
      <c r="D49" s="172">
        <f t="shared" si="3"/>
        <v>0</v>
      </c>
      <c r="E49" s="172">
        <f t="shared" si="3"/>
        <v>0</v>
      </c>
      <c r="F49" s="172">
        <f t="shared" si="3"/>
        <v>0</v>
      </c>
      <c r="G49" s="172">
        <f t="shared" si="3"/>
        <v>0</v>
      </c>
      <c r="H49" s="172">
        <f t="shared" si="3"/>
        <v>0</v>
      </c>
      <c r="I49" s="172">
        <f>IFERROR(SUMPRODUCT(C49:H49,C26:H26)/I26,0)</f>
        <v>0</v>
      </c>
    </row>
    <row r="50" spans="1:9" ht="15" customHeight="1" x14ac:dyDescent="0.7">
      <c r="A50" s="37" t="s">
        <v>435</v>
      </c>
      <c r="C50" s="55">
        <f>SUMIF(Mätdata!$B$29:$B$36,Byggnader!C$12,Mätdata!$C$29:$C$36)+SUMIF(Mätdata!$B$29:$B$36,"Alla",Mätdata!$C$29:$C$36)*Byggnader!C$42</f>
        <v>0</v>
      </c>
      <c r="D50" s="55">
        <f>SUMIF(Mätdata!$B$29:$B$36,Byggnader!D$12,Mätdata!$C$29:$C$36)+SUMIF(Mätdata!$B$29:$B$36,"Alla",Mätdata!$C$29:$C$36)*Byggnader!D$42</f>
        <v>0</v>
      </c>
      <c r="E50" s="55">
        <f>SUMIF(Mätdata!$B$29:$B$36,Byggnader!E$12,Mätdata!$C$29:$C$36)+SUMIF(Mätdata!$B$29:$B$36,"Alla",Mätdata!$C$29:$C$36)*Byggnader!E$42</f>
        <v>0</v>
      </c>
      <c r="F50" s="55">
        <f>SUMIF(Mätdata!$B$29:$B$36,Byggnader!F$12,Mätdata!$C$29:$C$36)+SUMIF(Mätdata!$B$29:$B$36,"Alla",Mätdata!$C$29:$C$36)*Byggnader!F$42</f>
        <v>0</v>
      </c>
      <c r="G50" s="55">
        <f>SUMIF(Mätdata!$B$29:$B$36,Byggnader!G$12,Mätdata!$C$29:$C$36)+SUMIF(Mätdata!$B$29:$B$36,"Alla",Mätdata!$C$29:$C$36)*Byggnader!G$42</f>
        <v>0</v>
      </c>
      <c r="H50" s="55">
        <f>SUMIF(Mätdata!$B$29:$B$36,Byggnader!H$12,Mätdata!$C$29:$C$36)+SUMIF(Mätdata!$B$29:$B$36,"Alla",Mätdata!$C$29:$C$36)*Byggnader!H$42</f>
        <v>0</v>
      </c>
      <c r="I50" s="55">
        <f>SUM(C50:H50)</f>
        <v>0</v>
      </c>
    </row>
    <row r="51" spans="1:9" ht="15" customHeight="1" x14ac:dyDescent="0.7">
      <c r="A51" s="37" t="s">
        <v>436</v>
      </c>
      <c r="C51" s="55">
        <f>IF(Mätdata!$C$37&gt;0,C50*Mätdata!$B$40*Mätdata!$B$41,Mätdata!$B$43*C26)</f>
        <v>0</v>
      </c>
      <c r="D51" s="55">
        <f>IF(Mätdata!$C$37&gt;0,D50*Mätdata!$B$40*Mätdata!$B$41,Mätdata!$B$43*D26)</f>
        <v>0</v>
      </c>
      <c r="E51" s="55">
        <f>IF(Mätdata!$C$37&gt;0,E50*Mätdata!$B$40*Mätdata!$B$41,Mätdata!$B$43*E26)</f>
        <v>0</v>
      </c>
      <c r="F51" s="55">
        <f>IF(Mätdata!$C$37&gt;0,F50*Mätdata!$B$40*Mätdata!$B$41,Mätdata!$B$43*F26)</f>
        <v>0</v>
      </c>
      <c r="G51" s="55">
        <f>IF(Mätdata!$C$37&gt;0,G50*Mätdata!$B$40*Mätdata!$B$41,Mätdata!$B$43*G26)</f>
        <v>0</v>
      </c>
      <c r="H51" s="55">
        <f>IF(Mätdata!$C$37&gt;0,H50*Mätdata!$B$40*Mätdata!$B$41,Mätdata!$B$43*H26)</f>
        <v>0</v>
      </c>
      <c r="I51" s="55">
        <f>SUM(C51:H51)</f>
        <v>0</v>
      </c>
    </row>
    <row r="52" spans="1:9" ht="15" customHeight="1" x14ac:dyDescent="0.7">
      <c r="A52" s="37" t="s">
        <v>437</v>
      </c>
      <c r="C52" s="47">
        <f t="shared" ref="C52:I52" si="4">IFERROR(C51/C26,0)</f>
        <v>0</v>
      </c>
      <c r="D52" s="47">
        <f t="shared" si="4"/>
        <v>0</v>
      </c>
      <c r="E52" s="47">
        <f t="shared" si="4"/>
        <v>0</v>
      </c>
      <c r="F52" s="47">
        <f t="shared" si="4"/>
        <v>0</v>
      </c>
      <c r="G52" s="47">
        <f t="shared" si="4"/>
        <v>0</v>
      </c>
      <c r="H52" s="47">
        <f t="shared" si="4"/>
        <v>0</v>
      </c>
      <c r="I52" s="47">
        <f t="shared" si="4"/>
        <v>0</v>
      </c>
    </row>
    <row r="53" spans="1:9" ht="15" customHeight="1" x14ac:dyDescent="0.7">
      <c r="A53" s="37" t="s">
        <v>438</v>
      </c>
      <c r="C53" s="55">
        <f>IFERROR(C51/Mätdata!$B$42,0)</f>
        <v>0</v>
      </c>
      <c r="D53" s="55">
        <f>IFERROR(D51/Mätdata!$B$42,0)</f>
        <v>0</v>
      </c>
      <c r="E53" s="55">
        <f>IFERROR(E51/Mätdata!$B$42,0)</f>
        <v>0</v>
      </c>
      <c r="F53" s="55">
        <f>IFERROR(F51/Mätdata!$B$42,0)</f>
        <v>0</v>
      </c>
      <c r="G53" s="55">
        <f>IFERROR(G51/Mätdata!$B$42,0)</f>
        <v>0</v>
      </c>
      <c r="H53" s="55">
        <f>IFERROR(H51/Mätdata!$B$42,0)</f>
        <v>0</v>
      </c>
      <c r="I53" s="55">
        <f>SUM(C53:H53)</f>
        <v>0</v>
      </c>
    </row>
    <row r="55" spans="1:9" ht="15" customHeight="1" x14ac:dyDescent="0.7">
      <c r="A55" s="45" t="s">
        <v>439</v>
      </c>
    </row>
    <row r="56" spans="1:9" ht="15" customHeight="1" x14ac:dyDescent="0.7">
      <c r="A56" s="16" t="s">
        <v>13</v>
      </c>
      <c r="C56" s="16" t="str">
        <f>Byggnader!C12</f>
        <v>Byggnad 1</v>
      </c>
      <c r="D56" s="16" t="str">
        <f>Byggnader!D12</f>
        <v>Byggnad 2</v>
      </c>
      <c r="E56" s="16" t="str">
        <f>Byggnader!E12</f>
        <v>Byggnad 3</v>
      </c>
      <c r="F56" s="16" t="str">
        <f>Byggnader!F12</f>
        <v>Byggnad 4</v>
      </c>
      <c r="G56" s="16" t="str">
        <f>Byggnader!G12</f>
        <v>Byggnad 5</v>
      </c>
      <c r="H56" s="16" t="str">
        <f>Byggnader!H12</f>
        <v>Byggnad 6</v>
      </c>
      <c r="I56" s="16" t="s">
        <v>24</v>
      </c>
    </row>
    <row r="57" spans="1:9" ht="15" customHeight="1" x14ac:dyDescent="0.7">
      <c r="A57" s="37" t="s">
        <v>161</v>
      </c>
      <c r="C57" s="55">
        <f>(SUMIFS(Mätdata!$E$6:$E$25,Mätdata!$B$6:$B$25,"Fjärrvärme",Mätdata!$C$6:$C$25,"Värme och tappvarmvatten",Mätdata!$D$6:$D$25,Byggnader!C$12)+SUMIFS(Mätdata!$E$6:$E$25,Mätdata!$B$6:$B$25,"Fjärrvärme",Mätdata!$C$6:$C$25,"Värme och tappvarmvatten",Mätdata!$D$6:$D$25,"Alla")*Byggnader!C$39)</f>
        <v>0</v>
      </c>
      <c r="D57" s="55">
        <f>(SUMIFS(Mätdata!$E$6:$E$25,Mätdata!$B$6:$B$25,"Fjärrvärme",Mätdata!$C$6:$C$25,"Värme och tappvarmvatten",Mätdata!$D$6:$D$25,Byggnader!D$12)+SUMIFS(Mätdata!$E$6:$E$25,Mätdata!$B$6:$B$25,"Fjärrvärme",Mätdata!$C$6:$C$25,"Värme och tappvarmvatten",Mätdata!$D$6:$D$25,"Alla")*Byggnader!D$39)</f>
        <v>0</v>
      </c>
      <c r="E57" s="55">
        <f>(SUMIFS(Mätdata!$E$6:$E$25,Mätdata!$B$6:$B$25,"Fjärrvärme",Mätdata!$C$6:$C$25,"Värme och tappvarmvatten",Mätdata!$D$6:$D$25,Byggnader!E$12)+SUMIFS(Mätdata!$E$6:$E$25,Mätdata!$B$6:$B$25,"Fjärrvärme",Mätdata!$C$6:$C$25,"Värme och tappvarmvatten",Mätdata!$D$6:$D$25,"Alla")*Byggnader!E$39)</f>
        <v>0</v>
      </c>
      <c r="F57" s="55">
        <f>(SUMIFS(Mätdata!$E$6:$E$25,Mätdata!$B$6:$B$25,"Fjärrvärme",Mätdata!$C$6:$C$25,"Värme och tappvarmvatten",Mätdata!$D$6:$D$25,Byggnader!F$12)+SUMIFS(Mätdata!$E$6:$E$25,Mätdata!$B$6:$B$25,"Fjärrvärme",Mätdata!$C$6:$C$25,"Värme och tappvarmvatten",Mätdata!$D$6:$D$25,"Alla")*Byggnader!F$39)</f>
        <v>0</v>
      </c>
      <c r="G57" s="55">
        <f>(SUMIFS(Mätdata!$E$6:$E$25,Mätdata!$B$6:$B$25,"Fjärrvärme",Mätdata!$C$6:$C$25,"Värme och tappvarmvatten",Mätdata!$D$6:$D$25,Byggnader!G$12)+SUMIFS(Mätdata!$E$6:$E$25,Mätdata!$B$6:$B$25,"Fjärrvärme",Mätdata!$C$6:$C$25,"Värme och tappvarmvatten",Mätdata!$D$6:$D$25,"Alla")*Byggnader!G$39)</f>
        <v>0</v>
      </c>
      <c r="H57" s="55">
        <f>(SUMIFS(Mätdata!$E$6:$E$25,Mätdata!$B$6:$B$25,"Fjärrvärme",Mätdata!$C$6:$C$25,"Värme och tappvarmvatten",Mätdata!$D$6:$D$25,Byggnader!H$12)+SUMIFS(Mätdata!$E$6:$E$25,Mätdata!$B$6:$B$25,"Fjärrvärme",Mätdata!$C$6:$C$25,"Värme och tappvarmvatten",Mätdata!$D$6:$D$25,"Alla")*Byggnader!H$39)</f>
        <v>0</v>
      </c>
      <c r="I57" s="55">
        <f t="shared" ref="I57:I64" si="5">SUM(C57:H57)</f>
        <v>0</v>
      </c>
    </row>
    <row r="58" spans="1:9" ht="15" customHeight="1" x14ac:dyDescent="0.7">
      <c r="A58" s="37" t="s">
        <v>162</v>
      </c>
      <c r="C58" s="55">
        <f>El!C129</f>
        <v>0</v>
      </c>
      <c r="D58" s="55">
        <f>El!D129</f>
        <v>0</v>
      </c>
      <c r="E58" s="55">
        <f>El!E129</f>
        <v>0</v>
      </c>
      <c r="F58" s="55">
        <f>El!F129</f>
        <v>0</v>
      </c>
      <c r="G58" s="55">
        <f>El!G129</f>
        <v>0</v>
      </c>
      <c r="H58" s="55">
        <f>El!H129</f>
        <v>0</v>
      </c>
      <c r="I58" s="55">
        <f t="shared" si="5"/>
        <v>0</v>
      </c>
    </row>
    <row r="59" spans="1:9" ht="15" customHeight="1" x14ac:dyDescent="0.7">
      <c r="A59" s="37" t="s">
        <v>164</v>
      </c>
      <c r="C59" s="55">
        <f>El!C130</f>
        <v>0</v>
      </c>
      <c r="D59" s="55">
        <f>El!D130</f>
        <v>0</v>
      </c>
      <c r="E59" s="55">
        <f>El!E130</f>
        <v>0</v>
      </c>
      <c r="F59" s="55">
        <f>El!F130</f>
        <v>0</v>
      </c>
      <c r="G59" s="55">
        <f>El!G130</f>
        <v>0</v>
      </c>
      <c r="H59" s="55">
        <f>El!H130</f>
        <v>0</v>
      </c>
      <c r="I59" s="55">
        <f t="shared" si="5"/>
        <v>0</v>
      </c>
    </row>
    <row r="60" spans="1:9" ht="15" customHeight="1" x14ac:dyDescent="0.7">
      <c r="A60" s="37" t="s">
        <v>166</v>
      </c>
      <c r="C60" s="55">
        <f>(SUMIFS(Mätdata!$E$6:$E$25,Mätdata!$B$6:$B$25,"Olja",Mätdata!$C$6:$C$25,"Värme och tappvarmvatten",Mätdata!$D$6:$D$25,Byggnader!C$12)+SUMIFS(Mätdata!$E$6:$E$25,Mätdata!$B$6:$B$25,"Olja",Mätdata!$C$6:$C$25,"Värme och tappvarmvatten",Mätdata!$D$6:$D$25,"Alla")*Byggnader!C$39)</f>
        <v>0</v>
      </c>
      <c r="D60" s="55">
        <f>(SUMIFS(Mätdata!$E$6:$E$25,Mätdata!$B$6:$B$25,"Olja",Mätdata!$C$6:$C$25,"Värme och tappvarmvatten",Mätdata!$D$6:$D$25,Byggnader!D$12)+SUMIFS(Mätdata!$E$6:$E$25,Mätdata!$B$6:$B$25,"Olja",Mätdata!$C$6:$C$25,"Värme och tappvarmvatten",Mätdata!$D$6:$D$25,"Alla")*Byggnader!D$39)</f>
        <v>0</v>
      </c>
      <c r="E60" s="55">
        <f>(SUMIFS(Mätdata!$E$6:$E$25,Mätdata!$B$6:$B$25,"Olja",Mätdata!$C$6:$C$25,"Värme och tappvarmvatten",Mätdata!$D$6:$D$25,Byggnader!E$12)+SUMIFS(Mätdata!$E$6:$E$25,Mätdata!$B$6:$B$25,"Olja",Mätdata!$C$6:$C$25,"Värme och tappvarmvatten",Mätdata!$D$6:$D$25,"Alla")*Byggnader!E$39)</f>
        <v>0</v>
      </c>
      <c r="F60" s="55">
        <f>(SUMIFS(Mätdata!$E$6:$E$25,Mätdata!$B$6:$B$25,"Olja",Mätdata!$C$6:$C$25,"Värme och tappvarmvatten",Mätdata!$D$6:$D$25,Byggnader!F$12)+SUMIFS(Mätdata!$E$6:$E$25,Mätdata!$B$6:$B$25,"Olja",Mätdata!$C$6:$C$25,"Värme och tappvarmvatten",Mätdata!$D$6:$D$25,"Alla")*Byggnader!F$39)</f>
        <v>0</v>
      </c>
      <c r="G60" s="55">
        <f>(SUMIFS(Mätdata!$E$6:$E$25,Mätdata!$B$6:$B$25,"Olja",Mätdata!$C$6:$C$25,"Värme och tappvarmvatten",Mätdata!$D$6:$D$25,Byggnader!G$12)+SUMIFS(Mätdata!$E$6:$E$25,Mätdata!$B$6:$B$25,"Olja",Mätdata!$C$6:$C$25,"Värme och tappvarmvatten",Mätdata!$D$6:$D$25,"Alla")*Byggnader!G$39)</f>
        <v>0</v>
      </c>
      <c r="H60" s="55">
        <f>(SUMIFS(Mätdata!$E$6:$E$25,Mätdata!$B$6:$B$25,"Olja",Mätdata!$C$6:$C$25,"Värme och tappvarmvatten",Mätdata!$D$6:$D$25,Byggnader!H$12)+SUMIFS(Mätdata!$E$6:$E$25,Mätdata!$B$6:$B$25,"Olja",Mätdata!$C$6:$C$25,"Värme och tappvarmvatten",Mätdata!$D$6:$D$25,"Alla")*Byggnader!H$39)</f>
        <v>0</v>
      </c>
      <c r="I60" s="55">
        <f t="shared" si="5"/>
        <v>0</v>
      </c>
    </row>
    <row r="61" spans="1:9" ht="15" customHeight="1" x14ac:dyDescent="0.7">
      <c r="A61" s="37" t="s">
        <v>167</v>
      </c>
      <c r="C61" s="55">
        <f>(SUMIFS(Mätdata!$E$6:$E$25,Mätdata!$B$6:$B$25,"Gas",Mätdata!$C$6:$C$25,"Värme och tappvarmvatten",Mätdata!$D$6:$D$25,Byggnader!C$12)+SUMIFS(Mätdata!$E$6:$E$25,Mätdata!$B$6:$B$25,"Gas",Mätdata!$C$6:$C$25,"Värme och tappvarmvatten",Mätdata!$D$6:$D$25,"Alla")*Byggnader!C$39)</f>
        <v>0</v>
      </c>
      <c r="D61" s="55">
        <f>(SUMIFS(Mätdata!$E$6:$E$25,Mätdata!$B$6:$B$25,"Gas",Mätdata!$C$6:$C$25,"Värme och tappvarmvatten",Mätdata!$D$6:$D$25,Byggnader!D$12)+SUMIFS(Mätdata!$E$6:$E$25,Mätdata!$B$6:$B$25,"Gas",Mätdata!$C$6:$C$25,"Värme och tappvarmvatten",Mätdata!$D$6:$D$25,"Alla")*Byggnader!D$39)</f>
        <v>0</v>
      </c>
      <c r="E61" s="55">
        <f>(SUMIFS(Mätdata!$E$6:$E$25,Mätdata!$B$6:$B$25,"Gas",Mätdata!$C$6:$C$25,"Värme och tappvarmvatten",Mätdata!$D$6:$D$25,Byggnader!E$12)+SUMIFS(Mätdata!$E$6:$E$25,Mätdata!$B$6:$B$25,"Gas",Mätdata!$C$6:$C$25,"Värme och tappvarmvatten",Mätdata!$D$6:$D$25,"Alla")*Byggnader!E$39)</f>
        <v>0</v>
      </c>
      <c r="F61" s="55">
        <f>(SUMIFS(Mätdata!$E$6:$E$25,Mätdata!$B$6:$B$25,"Gas",Mätdata!$C$6:$C$25,"Värme och tappvarmvatten",Mätdata!$D$6:$D$25,Byggnader!F$12)+SUMIFS(Mätdata!$E$6:$E$25,Mätdata!$B$6:$B$25,"Gas",Mätdata!$C$6:$C$25,"Värme och tappvarmvatten",Mätdata!$D$6:$D$25,"Alla")*Byggnader!F$39)</f>
        <v>0</v>
      </c>
      <c r="G61" s="55">
        <f>(SUMIFS(Mätdata!$E$6:$E$25,Mätdata!$B$6:$B$25,"Gas",Mätdata!$C$6:$C$25,"Värme och tappvarmvatten",Mätdata!$D$6:$D$25,Byggnader!G$12)+SUMIFS(Mätdata!$E$6:$E$25,Mätdata!$B$6:$B$25,"Gas",Mätdata!$C$6:$C$25,"Värme och tappvarmvatten",Mätdata!$D$6:$D$25,"Alla")*Byggnader!G$39)</f>
        <v>0</v>
      </c>
      <c r="H61" s="55">
        <f>(SUMIFS(Mätdata!$E$6:$E$25,Mätdata!$B$6:$B$25,"Gas",Mätdata!$C$6:$C$25,"Värme och tappvarmvatten",Mätdata!$D$6:$D$25,Byggnader!H$12)+SUMIFS(Mätdata!$E$6:$E$25,Mätdata!$B$6:$B$25,"Gas",Mätdata!$C$6:$C$25,"Värme och tappvarmvatten",Mätdata!$D$6:$D$25,"Alla")*Byggnader!H$39)</f>
        <v>0</v>
      </c>
      <c r="I61" s="55">
        <f t="shared" si="5"/>
        <v>0</v>
      </c>
    </row>
    <row r="62" spans="1:9" ht="15" customHeight="1" x14ac:dyDescent="0.7">
      <c r="A62" s="37" t="s">
        <v>168</v>
      </c>
      <c r="C62" s="55">
        <f>(SUMIFS(Mätdata!$E$6:$E$25,Mätdata!$B$6:$B$25,"Pellets/flis/briketter",Mätdata!$C$6:$C$25,"Värme och tappvarmvatten",Mätdata!$D$6:$D$25,Byggnader!C$12)+SUMIFS(Mätdata!$E$6:$E$25,Mätdata!$B$6:$B$25,"Pellets/flis/briketter",Mätdata!$C$6:$C$25,"Värme och tappvarmvatten",Mätdata!$D$6:$D$25,"Alla")*Byggnader!C$39)</f>
        <v>0</v>
      </c>
      <c r="D62" s="55">
        <f>(SUMIFS(Mätdata!$E$6:$E$25,Mätdata!$B$6:$B$25,"Pellets/flis/briketter",Mätdata!$C$6:$C$25,"Värme och tappvarmvatten",Mätdata!$D$6:$D$25,Byggnader!D$12)+SUMIFS(Mätdata!$E$6:$E$25,Mätdata!$B$6:$B$25,"Pellets/flis/briketter",Mätdata!$C$6:$C$25,"Värme och tappvarmvatten",Mätdata!$D$6:$D$25,"Alla")*Byggnader!D$39)</f>
        <v>0</v>
      </c>
      <c r="E62" s="55">
        <f>(SUMIFS(Mätdata!$E$6:$E$25,Mätdata!$B$6:$B$25,"Pellets/flis/briketter",Mätdata!$C$6:$C$25,"Värme och tappvarmvatten",Mätdata!$D$6:$D$25,Byggnader!E$12)+SUMIFS(Mätdata!$E$6:$E$25,Mätdata!$B$6:$B$25,"Pellets/flis/briketter",Mätdata!$C$6:$C$25,"Värme och tappvarmvatten",Mätdata!$D$6:$D$25,"Alla")*Byggnader!E$39)</f>
        <v>0</v>
      </c>
      <c r="F62" s="55">
        <f>(SUMIFS(Mätdata!$E$6:$E$25,Mätdata!$B$6:$B$25,"Pellets/flis/briketter",Mätdata!$C$6:$C$25,"Värme och tappvarmvatten",Mätdata!$D$6:$D$25,Byggnader!F$12)+SUMIFS(Mätdata!$E$6:$E$25,Mätdata!$B$6:$B$25,"Pellets/flis/briketter",Mätdata!$C$6:$C$25,"Värme och tappvarmvatten",Mätdata!$D$6:$D$25,"Alla")*Byggnader!F$39)</f>
        <v>0</v>
      </c>
      <c r="G62" s="55">
        <f>(SUMIFS(Mätdata!$E$6:$E$25,Mätdata!$B$6:$B$25,"Pellets/flis/briketter",Mätdata!$C$6:$C$25,"Värme och tappvarmvatten",Mätdata!$D$6:$D$25,Byggnader!G$12)+SUMIFS(Mätdata!$E$6:$E$25,Mätdata!$B$6:$B$25,"Pellets/flis/briketter",Mätdata!$C$6:$C$25,"Värme och tappvarmvatten",Mätdata!$D$6:$D$25,"Alla")*Byggnader!G$39)</f>
        <v>0</v>
      </c>
      <c r="H62" s="55">
        <f>(SUMIFS(Mätdata!$E$6:$E$25,Mätdata!$B$6:$B$25,"Pellets/flis/briketter",Mätdata!$C$6:$C$25,"Värme och tappvarmvatten",Mätdata!$D$6:$D$25,Byggnader!H$12)+SUMIFS(Mätdata!$E$6:$E$25,Mätdata!$B$6:$B$25,"Pellets/flis/briketter",Mätdata!$C$6:$C$25,"Värme och tappvarmvatten",Mätdata!$D$6:$D$25,"Alla")*Byggnader!H$39)</f>
        <v>0</v>
      </c>
      <c r="I62" s="55">
        <f t="shared" si="5"/>
        <v>0</v>
      </c>
    </row>
    <row r="63" spans="1:9" ht="15" customHeight="1" x14ac:dyDescent="0.7">
      <c r="A63" s="37" t="s">
        <v>170</v>
      </c>
      <c r="C63" s="55">
        <f>(SUMIFS(Mätdata!$E$6:$E$25,Mätdata!$B$6:$B$25,"Ved",Mätdata!$C$6:$C$25,"Värme och tappvarmvatten",Mätdata!$D$6:$D$25,Byggnader!C$12)+SUMIFS(Mätdata!$E$6:$E$25,Mätdata!$B$6:$B$25,"Ved",Mätdata!$C$6:$C$25,"Värme och tappvarmvatten",Mätdata!$D$6:$D$25,"Alla")*Byggnader!C$39)</f>
        <v>0</v>
      </c>
      <c r="D63" s="55">
        <f>(SUMIFS(Mätdata!$E$6:$E$25,Mätdata!$B$6:$B$25,"Ved",Mätdata!$C$6:$C$25,"Värme och tappvarmvatten",Mätdata!$D$6:$D$25,Byggnader!D$12)+SUMIFS(Mätdata!$E$6:$E$25,Mätdata!$B$6:$B$25,"Ved",Mätdata!$C$6:$C$25,"Värme och tappvarmvatten",Mätdata!$D$6:$D$25,"Alla")*Byggnader!D$39)</f>
        <v>0</v>
      </c>
      <c r="E63" s="55">
        <f>(SUMIFS(Mätdata!$E$6:$E$25,Mätdata!$B$6:$B$25,"Ved",Mätdata!$C$6:$C$25,"Värme och tappvarmvatten",Mätdata!$D$6:$D$25,Byggnader!E$12)+SUMIFS(Mätdata!$E$6:$E$25,Mätdata!$B$6:$B$25,"Ved",Mätdata!$C$6:$C$25,"Värme och tappvarmvatten",Mätdata!$D$6:$D$25,"Alla")*Byggnader!E$39)</f>
        <v>0</v>
      </c>
      <c r="F63" s="55">
        <f>(SUMIFS(Mätdata!$E$6:$E$25,Mätdata!$B$6:$B$25,"Ved",Mätdata!$C$6:$C$25,"Värme och tappvarmvatten",Mätdata!$D$6:$D$25,Byggnader!F$12)+SUMIFS(Mätdata!$E$6:$E$25,Mätdata!$B$6:$B$25,"Ved",Mätdata!$C$6:$C$25,"Värme och tappvarmvatten",Mätdata!$D$6:$D$25,"Alla")*Byggnader!F$39)</f>
        <v>0</v>
      </c>
      <c r="G63" s="55">
        <f>(SUMIFS(Mätdata!$E$6:$E$25,Mätdata!$B$6:$B$25,"Ved",Mätdata!$C$6:$C$25,"Värme och tappvarmvatten",Mätdata!$D$6:$D$25,Byggnader!G$12)+SUMIFS(Mätdata!$E$6:$E$25,Mätdata!$B$6:$B$25,"Ved",Mätdata!$C$6:$C$25,"Värme och tappvarmvatten",Mätdata!$D$6:$D$25,"Alla")*Byggnader!G$39)</f>
        <v>0</v>
      </c>
      <c r="H63" s="55">
        <f>(SUMIFS(Mätdata!$E$6:$E$25,Mätdata!$B$6:$B$25,"Ved",Mätdata!$C$6:$C$25,"Värme och tappvarmvatten",Mätdata!$D$6:$D$25,Byggnader!H$12)+SUMIFS(Mätdata!$E$6:$E$25,Mätdata!$B$6:$B$25,"Ved",Mätdata!$C$6:$C$25,"Värme och tappvarmvatten",Mätdata!$D$6:$D$25,"Alla")*Byggnader!H$39)</f>
        <v>0</v>
      </c>
      <c r="I63" s="55">
        <f t="shared" si="5"/>
        <v>0</v>
      </c>
    </row>
    <row r="64" spans="1:9" ht="15" customHeight="1" x14ac:dyDescent="0.7">
      <c r="A64" s="37" t="s">
        <v>171</v>
      </c>
      <c r="C64" s="55">
        <f>(SUMIFS(Mätdata!$E$6:$E$25,Mätdata!$B$6:$B$25,"Övrigt biobränsle",Mätdata!$C$6:$C$25,"Värme och tappvarmvatten",Mätdata!$D$6:$D$25,Byggnader!C$12)+SUMIFS(Mätdata!$E$6:$E$25,Mätdata!$B$6:$B$25,"Övrigt biobränsle",Mätdata!$C$6:$C$25,"Värme och tappvarmvatten",Mätdata!$D$6:$D$25,"Alla")*Byggnader!C$39)</f>
        <v>0</v>
      </c>
      <c r="D64" s="55">
        <f>(SUMIFS(Mätdata!$E$6:$E$25,Mätdata!$B$6:$B$25,"Övrigt biobränsle",Mätdata!$C$6:$C$25,"Värme och tappvarmvatten",Mätdata!$D$6:$D$25,Byggnader!D$12)+SUMIFS(Mätdata!$E$6:$E$25,Mätdata!$B$6:$B$25,"Övrigt biobränsle",Mätdata!$C$6:$C$25,"Värme och tappvarmvatten",Mätdata!$D$6:$D$25,"Alla")*Byggnader!D$39)</f>
        <v>0</v>
      </c>
      <c r="E64" s="55">
        <f>(SUMIFS(Mätdata!$E$6:$E$25,Mätdata!$B$6:$B$25,"Övrigt biobränsle",Mätdata!$C$6:$C$25,"Värme och tappvarmvatten",Mätdata!$D$6:$D$25,Byggnader!E$12)+SUMIFS(Mätdata!$E$6:$E$25,Mätdata!$B$6:$B$25,"Övrigt biobränsle",Mätdata!$C$6:$C$25,"Värme och tappvarmvatten",Mätdata!$D$6:$D$25,"Alla")*Byggnader!E$39)</f>
        <v>0</v>
      </c>
      <c r="F64" s="55">
        <f>(SUMIFS(Mätdata!$E$6:$E$25,Mätdata!$B$6:$B$25,"Övrigt biobränsle",Mätdata!$C$6:$C$25,"Värme och tappvarmvatten",Mätdata!$D$6:$D$25,Byggnader!F$12)+SUMIFS(Mätdata!$E$6:$E$25,Mätdata!$B$6:$B$25,"Övrigt biobränsle",Mätdata!$C$6:$C$25,"Värme och tappvarmvatten",Mätdata!$D$6:$D$25,"Alla")*Byggnader!F$39)</f>
        <v>0</v>
      </c>
      <c r="G64" s="55">
        <f>(SUMIFS(Mätdata!$E$6:$E$25,Mätdata!$B$6:$B$25,"Övrigt biobränsle",Mätdata!$C$6:$C$25,"Värme och tappvarmvatten",Mätdata!$D$6:$D$25,Byggnader!G$12)+SUMIFS(Mätdata!$E$6:$E$25,Mätdata!$B$6:$B$25,"Övrigt biobränsle",Mätdata!$C$6:$C$25,"Värme och tappvarmvatten",Mätdata!$D$6:$D$25,"Alla")*Byggnader!G$39)</f>
        <v>0</v>
      </c>
      <c r="H64" s="55">
        <f>(SUMIFS(Mätdata!$E$6:$E$25,Mätdata!$B$6:$B$25,"Övrigt biobränsle",Mätdata!$C$6:$C$25,"Värme och tappvarmvatten",Mätdata!$D$6:$D$25,Byggnader!H$12)+SUMIFS(Mätdata!$E$6:$E$25,Mätdata!$B$6:$B$25,"Övrigt biobränsle",Mätdata!$C$6:$C$25,"Värme och tappvarmvatten",Mätdata!$D$6:$D$25,"Alla")*Byggnader!H$39)</f>
        <v>0</v>
      </c>
      <c r="I64" s="55">
        <f t="shared" si="5"/>
        <v>0</v>
      </c>
    </row>
    <row r="65" spans="1:9" ht="15" customHeight="1" x14ac:dyDescent="0.7">
      <c r="A65" s="16" t="s">
        <v>24</v>
      </c>
      <c r="C65" s="55">
        <f t="shared" ref="C65:I65" si="6">SUM(C57:C64)</f>
        <v>0</v>
      </c>
      <c r="D65" s="55">
        <f t="shared" si="6"/>
        <v>0</v>
      </c>
      <c r="E65" s="55">
        <f t="shared" si="6"/>
        <v>0</v>
      </c>
      <c r="F65" s="55">
        <f t="shared" si="6"/>
        <v>0</v>
      </c>
      <c r="G65" s="55">
        <f t="shared" si="6"/>
        <v>0</v>
      </c>
      <c r="H65" s="55">
        <f t="shared" si="6"/>
        <v>0</v>
      </c>
      <c r="I65" s="55">
        <f t="shared" si="6"/>
        <v>0</v>
      </c>
    </row>
    <row r="67" spans="1:9" ht="15" customHeight="1" x14ac:dyDescent="0.7">
      <c r="A67" s="45" t="s">
        <v>440</v>
      </c>
    </row>
    <row r="68" spans="1:9" ht="15" customHeight="1" x14ac:dyDescent="0.7">
      <c r="A68" s="16" t="s">
        <v>13</v>
      </c>
      <c r="C68" s="16" t="str">
        <f>Byggnader!C12</f>
        <v>Byggnad 1</v>
      </c>
      <c r="D68" s="16" t="str">
        <f>Byggnader!D12</f>
        <v>Byggnad 2</v>
      </c>
      <c r="E68" s="16" t="str">
        <f>Byggnader!E12</f>
        <v>Byggnad 3</v>
      </c>
      <c r="F68" s="16" t="str">
        <f>Byggnader!F12</f>
        <v>Byggnad 4</v>
      </c>
      <c r="G68" s="16" t="str">
        <f>Byggnader!G12</f>
        <v>Byggnad 5</v>
      </c>
      <c r="H68" s="16" t="str">
        <f>Byggnader!H12</f>
        <v>Byggnad 6</v>
      </c>
      <c r="I68" s="16" t="s">
        <v>24</v>
      </c>
    </row>
    <row r="69" spans="1:9" ht="15" customHeight="1" x14ac:dyDescent="0.7">
      <c r="A69" s="37" t="s">
        <v>161</v>
      </c>
      <c r="C69" s="55">
        <f>IFERROR(MIN(C57,C$53*Mätdata!$C$47/Mätdata!$D$47),0)</f>
        <v>0</v>
      </c>
      <c r="D69" s="55">
        <f>IFERROR(MIN(D57,D$53*Mätdata!$C$47/Mätdata!$D$47),0)</f>
        <v>0</v>
      </c>
      <c r="E69" s="55">
        <f>IFERROR(MIN(E57,E$53*Mätdata!$C$47/Mätdata!$D$47),0)</f>
        <v>0</v>
      </c>
      <c r="F69" s="55">
        <f>IFERROR(MIN(F57,F$53*Mätdata!$C$47/Mätdata!$D$47),0)</f>
        <v>0</v>
      </c>
      <c r="G69" s="55">
        <f>IFERROR(MIN(G57,G$53*Mätdata!$C$47/Mätdata!$D$47),0)</f>
        <v>0</v>
      </c>
      <c r="H69" s="55">
        <f>IFERROR(MIN(H57,H$53*Mätdata!$C$47/Mätdata!$D$47),0)</f>
        <v>0</v>
      </c>
      <c r="I69" s="55">
        <f t="shared" ref="I69:I76" si="7">SUM(C69:H69)</f>
        <v>0</v>
      </c>
    </row>
    <row r="70" spans="1:9" ht="15" customHeight="1" x14ac:dyDescent="0.7">
      <c r="A70" s="37" t="s">
        <v>162</v>
      </c>
      <c r="C70" s="55">
        <f>IFERROR(MIN(C58,C$53*Mätdata!$C$48/Mätdata!$D$48),0)</f>
        <v>0</v>
      </c>
      <c r="D70" s="55">
        <f>IFERROR(MIN(D58,D$53*Mätdata!$C$48/Mätdata!$D$48),0)</f>
        <v>0</v>
      </c>
      <c r="E70" s="55">
        <f>IFERROR(MIN(E58,E$53*Mätdata!$C$48/Mätdata!$D$48),0)</f>
        <v>0</v>
      </c>
      <c r="F70" s="55">
        <f>IFERROR(MIN(F58,F$53*Mätdata!$C$48/Mätdata!$D$48),0)</f>
        <v>0</v>
      </c>
      <c r="G70" s="55">
        <f>IFERROR(MIN(G58,G$53*Mätdata!$C$48/Mätdata!$D$48),0)</f>
        <v>0</v>
      </c>
      <c r="H70" s="55">
        <f>IFERROR(MIN(H58,H$53*Mätdata!$C$48/Mätdata!$D$48),0)</f>
        <v>0</v>
      </c>
      <c r="I70" s="55">
        <f t="shared" si="7"/>
        <v>0</v>
      </c>
    </row>
    <row r="71" spans="1:9" ht="15" customHeight="1" x14ac:dyDescent="0.7">
      <c r="A71" s="37" t="s">
        <v>164</v>
      </c>
      <c r="C71" s="55">
        <f>IFERROR(MIN(C59,C$53*Mätdata!$C$49/Mätdata!$D$49),0)</f>
        <v>0</v>
      </c>
      <c r="D71" s="55">
        <f>IFERROR(MIN(D59,D$53*Mätdata!$C$49/Mätdata!$D$49),0)</f>
        <v>0</v>
      </c>
      <c r="E71" s="55">
        <f>IFERROR(MIN(E59,E$53*Mätdata!$C$49/Mätdata!$D$49),0)</f>
        <v>0</v>
      </c>
      <c r="F71" s="55">
        <f>IFERROR(MIN(F59,F$53*Mätdata!$C$49/Mätdata!$D$49),0)</f>
        <v>0</v>
      </c>
      <c r="G71" s="55">
        <f>IFERROR(MIN(G59,G$53*Mätdata!$C$49/Mätdata!$D$49),0)</f>
        <v>0</v>
      </c>
      <c r="H71" s="55">
        <f>IFERROR(MIN(H59,H$53*Mätdata!$C$49/Mätdata!$D$49),0)</f>
        <v>0</v>
      </c>
      <c r="I71" s="55">
        <f t="shared" si="7"/>
        <v>0</v>
      </c>
    </row>
    <row r="72" spans="1:9" ht="15" customHeight="1" x14ac:dyDescent="0.7">
      <c r="A72" s="37" t="s">
        <v>166</v>
      </c>
      <c r="C72" s="55">
        <f>IFERROR(MIN(C60,C$53*Mätdata!$C$50/Mätdata!$D$50),0)</f>
        <v>0</v>
      </c>
      <c r="D72" s="55">
        <f>IFERROR(MIN(D60,D$53*Mätdata!$C$50/Mätdata!$D$50),0)</f>
        <v>0</v>
      </c>
      <c r="E72" s="55">
        <f>IFERROR(MIN(E60,E$53*Mätdata!$C$50/Mätdata!$D$50),0)</f>
        <v>0</v>
      </c>
      <c r="F72" s="55">
        <f>IFERROR(MIN(F60,F$53*Mätdata!$C$50/Mätdata!$D$50),0)</f>
        <v>0</v>
      </c>
      <c r="G72" s="55">
        <f>IFERROR(MIN(G60,G$53*Mätdata!$C$50/Mätdata!$D$50),0)</f>
        <v>0</v>
      </c>
      <c r="H72" s="55">
        <f>IFERROR(MIN(H60,H$53*Mätdata!$C$50/Mätdata!$D$50),0)</f>
        <v>0</v>
      </c>
      <c r="I72" s="55">
        <f t="shared" si="7"/>
        <v>0</v>
      </c>
    </row>
    <row r="73" spans="1:9" ht="15" customHeight="1" x14ac:dyDescent="0.7">
      <c r="A73" s="37" t="s">
        <v>167</v>
      </c>
      <c r="C73" s="55">
        <f>IFERROR(MIN(C61,C$53*Mätdata!$C$51/Mätdata!$D$51),0)</f>
        <v>0</v>
      </c>
      <c r="D73" s="55">
        <f>IFERROR(MIN(D61,D$53*Mätdata!$C$51/Mätdata!$D$51),0)</f>
        <v>0</v>
      </c>
      <c r="E73" s="55">
        <f>IFERROR(MIN(E61,E$53*Mätdata!$C$51/Mätdata!$D$51),0)</f>
        <v>0</v>
      </c>
      <c r="F73" s="55">
        <f>IFERROR(MIN(F61,F$53*Mätdata!$C$51/Mätdata!$D$51),0)</f>
        <v>0</v>
      </c>
      <c r="G73" s="55">
        <f>IFERROR(MIN(G61,G$53*Mätdata!$C$51/Mätdata!$D$51),0)</f>
        <v>0</v>
      </c>
      <c r="H73" s="55">
        <f>IFERROR(MIN(H61,H$53*Mätdata!$C$51/Mätdata!$D$51),0)</f>
        <v>0</v>
      </c>
      <c r="I73" s="55">
        <f t="shared" si="7"/>
        <v>0</v>
      </c>
    </row>
    <row r="74" spans="1:9" ht="15" customHeight="1" x14ac:dyDescent="0.7">
      <c r="A74" s="37" t="s">
        <v>168</v>
      </c>
      <c r="C74" s="55">
        <f>IFERROR(MIN(C62,C$53*Mätdata!$C$52/Mätdata!$D$52),0)</f>
        <v>0</v>
      </c>
      <c r="D74" s="55">
        <f>IFERROR(MIN(D62,D$53*Mätdata!$C$52/Mätdata!$D$52),0)</f>
        <v>0</v>
      </c>
      <c r="E74" s="55">
        <f>IFERROR(MIN(E62,E$53*Mätdata!$C$52/Mätdata!$D$52),0)</f>
        <v>0</v>
      </c>
      <c r="F74" s="55">
        <f>IFERROR(MIN(F62,F$53*Mätdata!$C$52/Mätdata!$D$52),0)</f>
        <v>0</v>
      </c>
      <c r="G74" s="55">
        <f>IFERROR(MIN(G62,G$53*Mätdata!$C$52/Mätdata!$D$52),0)</f>
        <v>0</v>
      </c>
      <c r="H74" s="55">
        <f>IFERROR(MIN(H62,H$53*Mätdata!$C$52/Mätdata!$D$52),0)</f>
        <v>0</v>
      </c>
      <c r="I74" s="55">
        <f t="shared" si="7"/>
        <v>0</v>
      </c>
    </row>
    <row r="75" spans="1:9" ht="15" customHeight="1" x14ac:dyDescent="0.7">
      <c r="A75" s="37" t="s">
        <v>170</v>
      </c>
      <c r="C75" s="55">
        <f>IFERROR(MIN(C63,C$53*Mätdata!$C$53/Mätdata!$D$53),0)</f>
        <v>0</v>
      </c>
      <c r="D75" s="55">
        <f>IFERROR(MIN(D63,D$53*Mätdata!$C$53/Mätdata!$D$53),0)</f>
        <v>0</v>
      </c>
      <c r="E75" s="55">
        <f>IFERROR(MIN(E63,E$53*Mätdata!$C$53/Mätdata!$D$53),0)</f>
        <v>0</v>
      </c>
      <c r="F75" s="55">
        <f>IFERROR(MIN(F63,F$53*Mätdata!$C$53/Mätdata!$D$53),0)</f>
        <v>0</v>
      </c>
      <c r="G75" s="55">
        <f>IFERROR(MIN(G63,G$53*Mätdata!$C$53/Mätdata!$D$53),0)</f>
        <v>0</v>
      </c>
      <c r="H75" s="55">
        <f>IFERROR(MIN(H63,H$53*Mätdata!$C$53/Mätdata!$D$53),0)</f>
        <v>0</v>
      </c>
      <c r="I75" s="55">
        <f t="shared" si="7"/>
        <v>0</v>
      </c>
    </row>
    <row r="76" spans="1:9" ht="15" customHeight="1" x14ac:dyDescent="0.7">
      <c r="A76" s="37" t="s">
        <v>171</v>
      </c>
      <c r="C76" s="55">
        <f>IFERROR(MIN(C64,C$53*Mätdata!$C$54/Mätdata!$D$54),0)</f>
        <v>0</v>
      </c>
      <c r="D76" s="55">
        <f>IFERROR(MIN(D64,D$53*Mätdata!$C$54/Mätdata!$D$54),0)</f>
        <v>0</v>
      </c>
      <c r="E76" s="55">
        <f>IFERROR(MIN(E64,E$53*Mätdata!$C$54/Mätdata!$D$54),0)</f>
        <v>0</v>
      </c>
      <c r="F76" s="55">
        <f>IFERROR(MIN(F64,F$53*Mätdata!$C$54/Mätdata!$D$54),0)</f>
        <v>0</v>
      </c>
      <c r="G76" s="55">
        <f>IFERROR(MIN(G64,G$53*Mätdata!$C$54/Mätdata!$D$54),0)</f>
        <v>0</v>
      </c>
      <c r="H76" s="55">
        <f>IFERROR(MIN(H64,H$53*Mätdata!$C$54/Mätdata!$D$54),0)</f>
        <v>0</v>
      </c>
      <c r="I76" s="55">
        <f t="shared" si="7"/>
        <v>0</v>
      </c>
    </row>
    <row r="77" spans="1:9" ht="15" customHeight="1" x14ac:dyDescent="0.7">
      <c r="A77" s="16" t="s">
        <v>24</v>
      </c>
      <c r="C77" s="55">
        <f t="shared" ref="C77:I77" si="8">SUM(C69:C76)</f>
        <v>0</v>
      </c>
      <c r="D77" s="55">
        <f t="shared" si="8"/>
        <v>0</v>
      </c>
      <c r="E77" s="55">
        <f t="shared" si="8"/>
        <v>0</v>
      </c>
      <c r="F77" s="55">
        <f t="shared" si="8"/>
        <v>0</v>
      </c>
      <c r="G77" s="55">
        <f t="shared" si="8"/>
        <v>0</v>
      </c>
      <c r="H77" s="55">
        <f t="shared" si="8"/>
        <v>0</v>
      </c>
      <c r="I77" s="55">
        <f t="shared" si="8"/>
        <v>0</v>
      </c>
    </row>
    <row r="79" spans="1:9" ht="15" customHeight="1" x14ac:dyDescent="0.7">
      <c r="A79" s="45" t="s">
        <v>441</v>
      </c>
    </row>
    <row r="80" spans="1:9" ht="15" customHeight="1" x14ac:dyDescent="0.7">
      <c r="A80" s="16" t="s">
        <v>13</v>
      </c>
      <c r="C80" s="16" t="str">
        <f>Byggnader!C12</f>
        <v>Byggnad 1</v>
      </c>
      <c r="D80" s="16" t="str">
        <f>Byggnader!D12</f>
        <v>Byggnad 2</v>
      </c>
      <c r="E80" s="16" t="str">
        <f>Byggnader!E12</f>
        <v>Byggnad 3</v>
      </c>
      <c r="F80" s="16" t="str">
        <f>Byggnader!F12</f>
        <v>Byggnad 4</v>
      </c>
      <c r="G80" s="16" t="str">
        <f>Byggnader!G12</f>
        <v>Byggnad 5</v>
      </c>
      <c r="H80" s="16" t="str">
        <f>Byggnader!H12</f>
        <v>Byggnad 6</v>
      </c>
      <c r="I80" s="16" t="s">
        <v>24</v>
      </c>
    </row>
    <row r="81" spans="1:9" ht="15" customHeight="1" x14ac:dyDescent="0.7">
      <c r="A81" s="37" t="s">
        <v>161</v>
      </c>
      <c r="C81" s="55">
        <f>MAX(0,C57-C69-IF(Mätdata!$B$57="Räknas bort",Mätdata!$B$56*Byggnader!C$39*IFERROR(Mätdata!$B$47/Mätdata!$B$55,0),0))</f>
        <v>0</v>
      </c>
      <c r="D81" s="55">
        <f>MAX(0,D57-D69-IF(Mätdata!$B$57="Räknas bort",Mätdata!$B$56*Byggnader!D$39*IFERROR(Mätdata!$B$47/Mätdata!$B$55,0),0))</f>
        <v>0</v>
      </c>
      <c r="E81" s="55">
        <f>MAX(0,E57-E69-IF(Mätdata!$B$57="Räknas bort",Mätdata!$B$56*Byggnader!E$39*IFERROR(Mätdata!$B$47/Mätdata!$B$55,0),0))</f>
        <v>0</v>
      </c>
      <c r="F81" s="55">
        <f>MAX(0,F57-F69-IF(Mätdata!$B$57="Räknas bort",Mätdata!$B$56*Byggnader!F$39*IFERROR(Mätdata!$B$47/Mätdata!$B$55,0),0))</f>
        <v>0</v>
      </c>
      <c r="G81" s="55">
        <f>MAX(0,G57-G69-IF(Mätdata!$B$57="Räknas bort",Mätdata!$B$56*Byggnader!G$39*IFERROR(Mätdata!$B$47/Mätdata!$B$55,0),0))</f>
        <v>0</v>
      </c>
      <c r="H81" s="55">
        <f>MAX(0,H57-H69-IF(Mätdata!$B$57="Räknas bort",Mätdata!$B$56*Byggnader!H$39*IFERROR(Mätdata!$B$47/Mätdata!$B$55,0),0))</f>
        <v>0</v>
      </c>
      <c r="I81" s="55">
        <f t="shared" ref="I81:I88" si="9">SUM(C81:H81)</f>
        <v>0</v>
      </c>
    </row>
    <row r="82" spans="1:9" ht="15" customHeight="1" x14ac:dyDescent="0.7">
      <c r="A82" s="37" t="s">
        <v>162</v>
      </c>
      <c r="C82" s="55">
        <f>MAX(0,C58-C70-IF(Mätdata!$B$57="Räknas bort",Mätdata!$B$56*Byggnader!C$39*IFERROR(Mätdata!$B$48/Mätdata!$B$55,0),0))</f>
        <v>0</v>
      </c>
      <c r="D82" s="55">
        <f>MAX(0,D58-D70-IF(Mätdata!$B$57="Räknas bort",Mätdata!$B$56*Byggnader!D$39*IFERROR(Mätdata!$B$48/Mätdata!$B$55,0),0))</f>
        <v>0</v>
      </c>
      <c r="E82" s="55">
        <f>MAX(0,E58-E70-IF(Mätdata!$B$57="Räknas bort",Mätdata!$B$56*Byggnader!E$39*IFERROR(Mätdata!$B$48/Mätdata!$B$55,0),0))</f>
        <v>0</v>
      </c>
      <c r="F82" s="55">
        <f>MAX(0,F58-F70-IF(Mätdata!$B$57="Räknas bort",Mätdata!$B$56*Byggnader!F$39*IFERROR(Mätdata!$B$48/Mätdata!$B$55,0),0))</f>
        <v>0</v>
      </c>
      <c r="G82" s="55">
        <f>MAX(0,G58-G70-IF(Mätdata!$B$57="Räknas bort",Mätdata!$B$56*Byggnader!G$39*IFERROR(Mätdata!$B$48/Mätdata!$B$55,0),0))</f>
        <v>0</v>
      </c>
      <c r="H82" s="55">
        <f>MAX(0,H58-H70-IF(Mätdata!$B$57="Räknas bort",Mätdata!$B$56*Byggnader!H$39*IFERROR(Mätdata!$B$48/Mätdata!$B$55,0),0))</f>
        <v>0</v>
      </c>
      <c r="I82" s="55">
        <f t="shared" si="9"/>
        <v>0</v>
      </c>
    </row>
    <row r="83" spans="1:9" ht="15" customHeight="1" x14ac:dyDescent="0.7">
      <c r="A83" s="37" t="s">
        <v>164</v>
      </c>
      <c r="C83" s="55">
        <f>MAX(0,C59-C71-IF(Mätdata!$B$57="Räknas bort",Mätdata!$B$56*Byggnader!C$39*IFERROR(Mätdata!$B$49/Mätdata!$B$55,0),0))</f>
        <v>0</v>
      </c>
      <c r="D83" s="55">
        <f>MAX(0,D59-D71-IF(Mätdata!$B$57="Räknas bort",Mätdata!$B$56*Byggnader!D$39*IFERROR(Mätdata!$B$49/Mätdata!$B$55,0),0))</f>
        <v>0</v>
      </c>
      <c r="E83" s="55">
        <f>MAX(0,E59-E71-IF(Mätdata!$B$57="Räknas bort",Mätdata!$B$56*Byggnader!E$39*IFERROR(Mätdata!$B$49/Mätdata!$B$55,0),0))</f>
        <v>0</v>
      </c>
      <c r="F83" s="55">
        <f>MAX(0,F59-F71-IF(Mätdata!$B$57="Räknas bort",Mätdata!$B$56*Byggnader!F$39*IFERROR(Mätdata!$B$49/Mätdata!$B$55,0),0))</f>
        <v>0</v>
      </c>
      <c r="G83" s="55">
        <f>MAX(0,G59-G71-IF(Mätdata!$B$57="Räknas bort",Mätdata!$B$56*Byggnader!G$39*IFERROR(Mätdata!$B$49/Mätdata!$B$55,0),0))</f>
        <v>0</v>
      </c>
      <c r="H83" s="55">
        <f>MAX(0,H59-H71-IF(Mätdata!$B$57="Räknas bort",Mätdata!$B$56*Byggnader!H$39*IFERROR(Mätdata!$B$49/Mätdata!$B$55,0),0))</f>
        <v>0</v>
      </c>
      <c r="I83" s="55">
        <f t="shared" si="9"/>
        <v>0</v>
      </c>
    </row>
    <row r="84" spans="1:9" ht="15" customHeight="1" x14ac:dyDescent="0.7">
      <c r="A84" s="37" t="s">
        <v>166</v>
      </c>
      <c r="C84" s="55">
        <f>MAX(0,C60-C72-IF(Mätdata!$B$57="Räknas bort",Mätdata!$B$56*Byggnader!C$39*IFERROR(Mätdata!$B$50/Mätdata!$B$55,0),0))</f>
        <v>0</v>
      </c>
      <c r="D84" s="55">
        <f>MAX(0,D60-D72-IF(Mätdata!$B$57="Räknas bort",Mätdata!$B$56*Byggnader!D$39*IFERROR(Mätdata!$B$50/Mätdata!$B$55,0),0))</f>
        <v>0</v>
      </c>
      <c r="E84" s="55">
        <f>MAX(0,E60-E72-IF(Mätdata!$B$57="Räknas bort",Mätdata!$B$56*Byggnader!E$39*IFERROR(Mätdata!$B$50/Mätdata!$B$55,0),0))</f>
        <v>0</v>
      </c>
      <c r="F84" s="55">
        <f>MAX(0,F60-F72-IF(Mätdata!$B$57="Räknas bort",Mätdata!$B$56*Byggnader!F$39*IFERROR(Mätdata!$B$50/Mätdata!$B$55,0),0))</f>
        <v>0</v>
      </c>
      <c r="G84" s="55">
        <f>MAX(0,G60-G72-IF(Mätdata!$B$57="Räknas bort",Mätdata!$B$56*Byggnader!G$39*IFERROR(Mätdata!$B$50/Mätdata!$B$55,0),0))</f>
        <v>0</v>
      </c>
      <c r="H84" s="55">
        <f>MAX(0,H60-H72-IF(Mätdata!$B$57="Räknas bort",Mätdata!$B$56*Byggnader!H$39*IFERROR(Mätdata!$B$50/Mätdata!$B$55,0),0))</f>
        <v>0</v>
      </c>
      <c r="I84" s="55">
        <f t="shared" si="9"/>
        <v>0</v>
      </c>
    </row>
    <row r="85" spans="1:9" ht="15" customHeight="1" x14ac:dyDescent="0.7">
      <c r="A85" s="37" t="s">
        <v>167</v>
      </c>
      <c r="C85" s="55">
        <f>MAX(0,C61-C73-IF(Mätdata!$B$57="Räknas bort",Mätdata!$B$56*Byggnader!C$39*IFERROR(Mätdata!$B$51/Mätdata!$B$55,0),0))</f>
        <v>0</v>
      </c>
      <c r="D85" s="55">
        <f>MAX(0,D61-D73-IF(Mätdata!$B$57="Räknas bort",Mätdata!$B$56*Byggnader!D$39*IFERROR(Mätdata!$B$51/Mätdata!$B$55,0),0))</f>
        <v>0</v>
      </c>
      <c r="E85" s="55">
        <f>MAX(0,E61-E73-IF(Mätdata!$B$57="Räknas bort",Mätdata!$B$56*Byggnader!E$39*IFERROR(Mätdata!$B$51/Mätdata!$B$55,0),0))</f>
        <v>0</v>
      </c>
      <c r="F85" s="55">
        <f>MAX(0,F61-F73-IF(Mätdata!$B$57="Räknas bort",Mätdata!$B$56*Byggnader!F$39*IFERROR(Mätdata!$B$51/Mätdata!$B$55,0),0))</f>
        <v>0</v>
      </c>
      <c r="G85" s="55">
        <f>MAX(0,G61-G73-IF(Mätdata!$B$57="Räknas bort",Mätdata!$B$56*Byggnader!G$39*IFERROR(Mätdata!$B$51/Mätdata!$B$55,0),0))</f>
        <v>0</v>
      </c>
      <c r="H85" s="55">
        <f>MAX(0,H61-H73-IF(Mätdata!$B$57="Räknas bort",Mätdata!$B$56*Byggnader!H$39*IFERROR(Mätdata!$B$51/Mätdata!$B$55,0),0))</f>
        <v>0</v>
      </c>
      <c r="I85" s="55">
        <f t="shared" si="9"/>
        <v>0</v>
      </c>
    </row>
    <row r="86" spans="1:9" ht="15" customHeight="1" x14ac:dyDescent="0.7">
      <c r="A86" s="37" t="s">
        <v>168</v>
      </c>
      <c r="C86" s="55">
        <f>MAX(0,C62-C74-IF(Mätdata!$B$57="Räknas bort",Mätdata!$B$56*Byggnader!C$39*IFERROR(Mätdata!$B$52/Mätdata!$B$55,0),0))</f>
        <v>0</v>
      </c>
      <c r="D86" s="55">
        <f>MAX(0,D62-D74-IF(Mätdata!$B$57="Räknas bort",Mätdata!$B$56*Byggnader!D$39*IFERROR(Mätdata!$B$52/Mätdata!$B$55,0),0))</f>
        <v>0</v>
      </c>
      <c r="E86" s="55">
        <f>MAX(0,E62-E74-IF(Mätdata!$B$57="Räknas bort",Mätdata!$B$56*Byggnader!E$39*IFERROR(Mätdata!$B$52/Mätdata!$B$55,0),0))</f>
        <v>0</v>
      </c>
      <c r="F86" s="55">
        <f>MAX(0,F62-F74-IF(Mätdata!$B$57="Räknas bort",Mätdata!$B$56*Byggnader!F$39*IFERROR(Mätdata!$B$52/Mätdata!$B$55,0),0))</f>
        <v>0</v>
      </c>
      <c r="G86" s="55">
        <f>MAX(0,G62-G74-IF(Mätdata!$B$57="Räknas bort",Mätdata!$B$56*Byggnader!G$39*IFERROR(Mätdata!$B$52/Mätdata!$B$55,0),0))</f>
        <v>0</v>
      </c>
      <c r="H86" s="55">
        <f>MAX(0,H62-H74-IF(Mätdata!$B$57="Räknas bort",Mätdata!$B$56*Byggnader!H$39*IFERROR(Mätdata!$B$52/Mätdata!$B$55,0),0))</f>
        <v>0</v>
      </c>
      <c r="I86" s="55">
        <f t="shared" si="9"/>
        <v>0</v>
      </c>
    </row>
    <row r="87" spans="1:9" ht="15" customHeight="1" x14ac:dyDescent="0.7">
      <c r="A87" s="37" t="s">
        <v>170</v>
      </c>
      <c r="C87" s="55">
        <f>MAX(0,C63-C75-IF(Mätdata!$B$57="Räknas bort",Mätdata!$B$56*Byggnader!C$39*IFERROR(Mätdata!$B$53/Mätdata!$B$55,0),0))</f>
        <v>0</v>
      </c>
      <c r="D87" s="55">
        <f>MAX(0,D63-D75-IF(Mätdata!$B$57="Räknas bort",Mätdata!$B$56*Byggnader!D$39*IFERROR(Mätdata!$B$53/Mätdata!$B$55,0),0))</f>
        <v>0</v>
      </c>
      <c r="E87" s="55">
        <f>MAX(0,E63-E75-IF(Mätdata!$B$57="Räknas bort",Mätdata!$B$56*Byggnader!E$39*IFERROR(Mätdata!$B$53/Mätdata!$B$55,0),0))</f>
        <v>0</v>
      </c>
      <c r="F87" s="55">
        <f>MAX(0,F63-F75-IF(Mätdata!$B$57="Räknas bort",Mätdata!$B$56*Byggnader!F$39*IFERROR(Mätdata!$B$53/Mätdata!$B$55,0),0))</f>
        <v>0</v>
      </c>
      <c r="G87" s="55">
        <f>MAX(0,G63-G75-IF(Mätdata!$B$57="Räknas bort",Mätdata!$B$56*Byggnader!G$39*IFERROR(Mätdata!$B$53/Mätdata!$B$55,0),0))</f>
        <v>0</v>
      </c>
      <c r="H87" s="55">
        <f>MAX(0,H63-H75-IF(Mätdata!$B$57="Räknas bort",Mätdata!$B$56*Byggnader!H$39*IFERROR(Mätdata!$B$53/Mätdata!$B$55,0),0))</f>
        <v>0</v>
      </c>
      <c r="I87" s="55">
        <f t="shared" si="9"/>
        <v>0</v>
      </c>
    </row>
    <row r="88" spans="1:9" ht="15" customHeight="1" x14ac:dyDescent="0.7">
      <c r="A88" s="37" t="s">
        <v>171</v>
      </c>
      <c r="C88" s="55">
        <f>MAX(0,C64-C76-IF(Mätdata!$B$57="Räknas bort",Mätdata!$B$56*Byggnader!C$39*IFERROR(Mätdata!$B$54/Mätdata!$B$55,0),0))</f>
        <v>0</v>
      </c>
      <c r="D88" s="55">
        <f>MAX(0,D64-D76-IF(Mätdata!$B$57="Räknas bort",Mätdata!$B$56*Byggnader!D$39*IFERROR(Mätdata!$B$54/Mätdata!$B$55,0),0))</f>
        <v>0</v>
      </c>
      <c r="E88" s="55">
        <f>MAX(0,E64-E76-IF(Mätdata!$B$57="Räknas bort",Mätdata!$B$56*Byggnader!E$39*IFERROR(Mätdata!$B$54/Mätdata!$B$55,0),0))</f>
        <v>0</v>
      </c>
      <c r="F88" s="55">
        <f>MAX(0,F64-F76-IF(Mätdata!$B$57="Räknas bort",Mätdata!$B$56*Byggnader!F$39*IFERROR(Mätdata!$B$54/Mätdata!$B$55,0),0))</f>
        <v>0</v>
      </c>
      <c r="G88" s="55">
        <f>MAX(0,G64-G76-IF(Mätdata!$B$57="Räknas bort",Mätdata!$B$56*Byggnader!G$39*IFERROR(Mätdata!$B$54/Mätdata!$B$55,0),0))</f>
        <v>0</v>
      </c>
      <c r="H88" s="55">
        <f>MAX(0,H64-H76-IF(Mätdata!$B$57="Räknas bort",Mätdata!$B$56*Byggnader!H$39*IFERROR(Mätdata!$B$54/Mätdata!$B$55,0),0))</f>
        <v>0</v>
      </c>
      <c r="I88" s="55">
        <f t="shared" si="9"/>
        <v>0</v>
      </c>
    </row>
    <row r="89" spans="1:9" ht="15" customHeight="1" x14ac:dyDescent="0.7">
      <c r="A89" s="16" t="s">
        <v>24</v>
      </c>
      <c r="C89" s="55">
        <f t="shared" ref="C89:I89" si="10">SUM(C81:C88)</f>
        <v>0</v>
      </c>
      <c r="D89" s="55">
        <f t="shared" si="10"/>
        <v>0</v>
      </c>
      <c r="E89" s="55">
        <f t="shared" si="10"/>
        <v>0</v>
      </c>
      <c r="F89" s="55">
        <f t="shared" si="10"/>
        <v>0</v>
      </c>
      <c r="G89" s="55">
        <f t="shared" si="10"/>
        <v>0</v>
      </c>
      <c r="H89" s="55">
        <f t="shared" si="10"/>
        <v>0</v>
      </c>
      <c r="I89" s="55">
        <f t="shared" si="10"/>
        <v>0</v>
      </c>
    </row>
    <row r="91" spans="1:9" ht="15" customHeight="1" x14ac:dyDescent="0.7">
      <c r="A91" s="45" t="s">
        <v>442</v>
      </c>
    </row>
    <row r="92" spans="1:9" ht="15" customHeight="1" x14ac:dyDescent="0.7">
      <c r="A92" s="16" t="s">
        <v>13</v>
      </c>
      <c r="C92" s="16" t="str">
        <f>Byggnader!C12</f>
        <v>Byggnad 1</v>
      </c>
      <c r="D92" s="16" t="str">
        <f>Byggnader!D12</f>
        <v>Byggnad 2</v>
      </c>
      <c r="E92" s="16" t="str">
        <f>Byggnader!E12</f>
        <v>Byggnad 3</v>
      </c>
      <c r="F92" s="16" t="str">
        <f>Byggnader!F12</f>
        <v>Byggnad 4</v>
      </c>
      <c r="G92" s="16" t="str">
        <f>Byggnader!G12</f>
        <v>Byggnad 5</v>
      </c>
      <c r="H92" s="16" t="str">
        <f>Byggnader!H12</f>
        <v>Byggnad 6</v>
      </c>
      <c r="I92" s="16" t="s">
        <v>24</v>
      </c>
    </row>
    <row r="93" spans="1:9" ht="15" customHeight="1" x14ac:dyDescent="0.7">
      <c r="A93" s="37" t="s">
        <v>161</v>
      </c>
      <c r="C93" s="55">
        <f>C81*Mätdata!$D$47</f>
        <v>0</v>
      </c>
      <c r="D93" s="55">
        <f>D81*Mätdata!$D$47</f>
        <v>0</v>
      </c>
      <c r="E93" s="55">
        <f>E81*Mätdata!$D$47</f>
        <v>0</v>
      </c>
      <c r="F93" s="55">
        <f>F81*Mätdata!$D$47</f>
        <v>0</v>
      </c>
      <c r="G93" s="55">
        <f>G81*Mätdata!$D$47</f>
        <v>0</v>
      </c>
      <c r="H93" s="55">
        <f>H81*Mätdata!$D$47</f>
        <v>0</v>
      </c>
      <c r="I93" s="55">
        <f t="shared" ref="I93:I100" si="11">SUM(C93:H93)</f>
        <v>0</v>
      </c>
    </row>
    <row r="94" spans="1:9" ht="15" customHeight="1" x14ac:dyDescent="0.7">
      <c r="A94" s="37" t="s">
        <v>162</v>
      </c>
      <c r="C94" s="55">
        <f>C82*Mätdata!$D$48</f>
        <v>0</v>
      </c>
      <c r="D94" s="55">
        <f>D82*Mätdata!$D$48</f>
        <v>0</v>
      </c>
      <c r="E94" s="55">
        <f>E82*Mätdata!$D$48</f>
        <v>0</v>
      </c>
      <c r="F94" s="55">
        <f>F82*Mätdata!$D$48</f>
        <v>0</v>
      </c>
      <c r="G94" s="55">
        <f>G82*Mätdata!$D$48</f>
        <v>0</v>
      </c>
      <c r="H94" s="55">
        <f>H82*Mätdata!$D$48</f>
        <v>0</v>
      </c>
      <c r="I94" s="55">
        <f t="shared" si="11"/>
        <v>0</v>
      </c>
    </row>
    <row r="95" spans="1:9" ht="15" customHeight="1" x14ac:dyDescent="0.7">
      <c r="A95" s="37" t="s">
        <v>164</v>
      </c>
      <c r="C95" s="55">
        <f>C83*Mätdata!$D$49</f>
        <v>0</v>
      </c>
      <c r="D95" s="55">
        <f>D83*Mätdata!$D$49</f>
        <v>0</v>
      </c>
      <c r="E95" s="55">
        <f>E83*Mätdata!$D$49</f>
        <v>0</v>
      </c>
      <c r="F95" s="55">
        <f>F83*Mätdata!$D$49</f>
        <v>0</v>
      </c>
      <c r="G95" s="55">
        <f>G83*Mätdata!$D$49</f>
        <v>0</v>
      </c>
      <c r="H95" s="55">
        <f>H83*Mätdata!$D$49</f>
        <v>0</v>
      </c>
      <c r="I95" s="55">
        <f t="shared" si="11"/>
        <v>0</v>
      </c>
    </row>
    <row r="96" spans="1:9" ht="15" customHeight="1" x14ac:dyDescent="0.7">
      <c r="A96" s="37" t="s">
        <v>166</v>
      </c>
      <c r="C96" s="55">
        <f>C84*Mätdata!$D$50</f>
        <v>0</v>
      </c>
      <c r="D96" s="55">
        <f>D84*Mätdata!$D$50</f>
        <v>0</v>
      </c>
      <c r="E96" s="55">
        <f>E84*Mätdata!$D$50</f>
        <v>0</v>
      </c>
      <c r="F96" s="55">
        <f>F84*Mätdata!$D$50</f>
        <v>0</v>
      </c>
      <c r="G96" s="55">
        <f>G84*Mätdata!$D$50</f>
        <v>0</v>
      </c>
      <c r="H96" s="55">
        <f>H84*Mätdata!$D$50</f>
        <v>0</v>
      </c>
      <c r="I96" s="55">
        <f t="shared" si="11"/>
        <v>0</v>
      </c>
    </row>
    <row r="97" spans="1:9" ht="15" customHeight="1" x14ac:dyDescent="0.7">
      <c r="A97" s="37" t="s">
        <v>167</v>
      </c>
      <c r="C97" s="55">
        <f>C85*Mätdata!$D$51</f>
        <v>0</v>
      </c>
      <c r="D97" s="55">
        <f>D85*Mätdata!$D$51</f>
        <v>0</v>
      </c>
      <c r="E97" s="55">
        <f>E85*Mätdata!$D$51</f>
        <v>0</v>
      </c>
      <c r="F97" s="55">
        <f>F85*Mätdata!$D$51</f>
        <v>0</v>
      </c>
      <c r="G97" s="55">
        <f>G85*Mätdata!$D$51</f>
        <v>0</v>
      </c>
      <c r="H97" s="55">
        <f>H85*Mätdata!$D$51</f>
        <v>0</v>
      </c>
      <c r="I97" s="55">
        <f t="shared" si="11"/>
        <v>0</v>
      </c>
    </row>
    <row r="98" spans="1:9" ht="15" customHeight="1" x14ac:dyDescent="0.7">
      <c r="A98" s="37" t="s">
        <v>168</v>
      </c>
      <c r="C98" s="55">
        <f>C86*Mätdata!$D$52</f>
        <v>0</v>
      </c>
      <c r="D98" s="55">
        <f>D86*Mätdata!$D$52</f>
        <v>0</v>
      </c>
      <c r="E98" s="55">
        <f>E86*Mätdata!$D$52</f>
        <v>0</v>
      </c>
      <c r="F98" s="55">
        <f>F86*Mätdata!$D$52</f>
        <v>0</v>
      </c>
      <c r="G98" s="55">
        <f>G86*Mätdata!$D$52</f>
        <v>0</v>
      </c>
      <c r="H98" s="55">
        <f>H86*Mätdata!$D$52</f>
        <v>0</v>
      </c>
      <c r="I98" s="55">
        <f t="shared" si="11"/>
        <v>0</v>
      </c>
    </row>
    <row r="99" spans="1:9" ht="15" customHeight="1" x14ac:dyDescent="0.7">
      <c r="A99" s="37" t="s">
        <v>170</v>
      </c>
      <c r="C99" s="55">
        <f>C87*Mätdata!$D$53</f>
        <v>0</v>
      </c>
      <c r="D99" s="55">
        <f>D87*Mätdata!$D$53</f>
        <v>0</v>
      </c>
      <c r="E99" s="55">
        <f>E87*Mätdata!$D$53</f>
        <v>0</v>
      </c>
      <c r="F99" s="55">
        <f>F87*Mätdata!$D$53</f>
        <v>0</v>
      </c>
      <c r="G99" s="55">
        <f>G87*Mätdata!$D$53</f>
        <v>0</v>
      </c>
      <c r="H99" s="55">
        <f>H87*Mätdata!$D$53</f>
        <v>0</v>
      </c>
      <c r="I99" s="55">
        <f t="shared" si="11"/>
        <v>0</v>
      </c>
    </row>
    <row r="100" spans="1:9" ht="15" customHeight="1" x14ac:dyDescent="0.7">
      <c r="A100" s="37" t="s">
        <v>171</v>
      </c>
      <c r="C100" s="55">
        <f>C88*Mätdata!$D$54</f>
        <v>0</v>
      </c>
      <c r="D100" s="55">
        <f>D88*Mätdata!$D$54</f>
        <v>0</v>
      </c>
      <c r="E100" s="55">
        <f>E88*Mätdata!$D$54</f>
        <v>0</v>
      </c>
      <c r="F100" s="55">
        <f>F88*Mätdata!$D$54</f>
        <v>0</v>
      </c>
      <c r="G100" s="55">
        <f>G88*Mätdata!$D$54</f>
        <v>0</v>
      </c>
      <c r="H100" s="55">
        <f>H88*Mätdata!$D$54</f>
        <v>0</v>
      </c>
      <c r="I100" s="55">
        <f t="shared" si="11"/>
        <v>0</v>
      </c>
    </row>
    <row r="101" spans="1:9" ht="15" customHeight="1" x14ac:dyDescent="0.7">
      <c r="A101" s="16" t="s">
        <v>24</v>
      </c>
      <c r="C101" s="55">
        <f t="shared" ref="C101:I101" si="12">SUM(C93:C100)</f>
        <v>0</v>
      </c>
      <c r="D101" s="55">
        <f t="shared" si="12"/>
        <v>0</v>
      </c>
      <c r="E101" s="55">
        <f t="shared" si="12"/>
        <v>0</v>
      </c>
      <c r="F101" s="55">
        <f t="shared" si="12"/>
        <v>0</v>
      </c>
      <c r="G101" s="55">
        <f t="shared" si="12"/>
        <v>0</v>
      </c>
      <c r="H101" s="55">
        <f t="shared" si="12"/>
        <v>0</v>
      </c>
      <c r="I101" s="55">
        <f t="shared" si="12"/>
        <v>0</v>
      </c>
    </row>
    <row r="103" spans="1:9" ht="15" customHeight="1" x14ac:dyDescent="0.7">
      <c r="A103" s="45" t="s">
        <v>443</v>
      </c>
    </row>
    <row r="104" spans="1:9" ht="15" customHeight="1" x14ac:dyDescent="0.7">
      <c r="A104" s="16" t="s">
        <v>13</v>
      </c>
      <c r="C104" s="16" t="str">
        <f>Byggnader!C12</f>
        <v>Byggnad 1</v>
      </c>
      <c r="D104" s="16" t="str">
        <f>Byggnader!D12</f>
        <v>Byggnad 2</v>
      </c>
      <c r="E104" s="16" t="str">
        <f>Byggnader!E12</f>
        <v>Byggnad 3</v>
      </c>
      <c r="F104" s="16" t="str">
        <f>Byggnader!F12</f>
        <v>Byggnad 4</v>
      </c>
      <c r="G104" s="16" t="str">
        <f>Byggnader!G12</f>
        <v>Byggnad 5</v>
      </c>
      <c r="H104" s="16" t="str">
        <f>Byggnader!H12</f>
        <v>Byggnad 6</v>
      </c>
      <c r="I104" s="16" t="s">
        <v>24</v>
      </c>
    </row>
    <row r="105" spans="1:9" ht="15" customHeight="1" x14ac:dyDescent="0.7">
      <c r="A105" s="37" t="s">
        <v>444</v>
      </c>
      <c r="C105" s="55">
        <f t="shared" ref="C105:H105" si="13">IF(C$19="Ja",C101*$B$5*(C$39-C$14),0)</f>
        <v>0</v>
      </c>
      <c r="D105" s="55">
        <f t="shared" si="13"/>
        <v>0</v>
      </c>
      <c r="E105" s="55">
        <f t="shared" si="13"/>
        <v>0</v>
      </c>
      <c r="F105" s="55">
        <f t="shared" si="13"/>
        <v>0</v>
      </c>
      <c r="G105" s="55">
        <f t="shared" si="13"/>
        <v>0</v>
      </c>
      <c r="H105" s="55">
        <f t="shared" si="13"/>
        <v>0</v>
      </c>
      <c r="I105" s="55">
        <f>SUM(C105:H105)</f>
        <v>0</v>
      </c>
    </row>
    <row r="106" spans="1:9" ht="15" customHeight="1" x14ac:dyDescent="0.7">
      <c r="A106" s="37" t="s">
        <v>445</v>
      </c>
      <c r="C106" s="55">
        <f t="shared" ref="C106:H106" si="14">IF(C$21="Ja",(C$49-C$41)*C$26*$B$9/1000,0)</f>
        <v>0</v>
      </c>
      <c r="D106" s="55">
        <f t="shared" si="14"/>
        <v>0</v>
      </c>
      <c r="E106" s="55">
        <f t="shared" si="14"/>
        <v>0</v>
      </c>
      <c r="F106" s="55">
        <f t="shared" si="14"/>
        <v>0</v>
      </c>
      <c r="G106" s="55">
        <f t="shared" si="14"/>
        <v>0</v>
      </c>
      <c r="H106" s="55">
        <f t="shared" si="14"/>
        <v>0</v>
      </c>
      <c r="I106" s="55">
        <f>SUM(C106:H106)</f>
        <v>0</v>
      </c>
    </row>
    <row r="107" spans="1:9" ht="15" customHeight="1" x14ac:dyDescent="0.7">
      <c r="A107" s="37" t="s">
        <v>446</v>
      </c>
      <c r="C107" s="55">
        <f t="shared" ref="C107:H107" si="15">IF(C$20="Ja",-1.2*(C$15-C$40)/1000*C$26*$B$10*(1-C$16),0)</f>
        <v>0</v>
      </c>
      <c r="D107" s="55">
        <f t="shared" si="15"/>
        <v>0</v>
      </c>
      <c r="E107" s="55">
        <f t="shared" si="15"/>
        <v>0</v>
      </c>
      <c r="F107" s="55">
        <f t="shared" si="15"/>
        <v>0</v>
      </c>
      <c r="G107" s="55">
        <f t="shared" si="15"/>
        <v>0</v>
      </c>
      <c r="H107" s="55">
        <f t="shared" si="15"/>
        <v>0</v>
      </c>
      <c r="I107" s="55">
        <f>SUM(C107:H107)</f>
        <v>0</v>
      </c>
    </row>
    <row r="108" spans="1:9" ht="15" customHeight="1" x14ac:dyDescent="0.7">
      <c r="A108" s="16" t="s">
        <v>24</v>
      </c>
      <c r="C108" s="55">
        <f t="shared" ref="C108:H108" si="16">SUM(C105:C107)</f>
        <v>0</v>
      </c>
      <c r="D108" s="55">
        <f t="shared" si="16"/>
        <v>0</v>
      </c>
      <c r="E108" s="55">
        <f t="shared" si="16"/>
        <v>0</v>
      </c>
      <c r="F108" s="55">
        <f t="shared" si="16"/>
        <v>0</v>
      </c>
      <c r="G108" s="55">
        <f t="shared" si="16"/>
        <v>0</v>
      </c>
      <c r="H108" s="55">
        <f t="shared" si="16"/>
        <v>0</v>
      </c>
      <c r="I108" s="55">
        <f>SUM(C108:H108)</f>
        <v>0</v>
      </c>
    </row>
    <row r="110" spans="1:9" ht="15" customHeight="1" x14ac:dyDescent="0.7">
      <c r="A110" s="45" t="s">
        <v>447</v>
      </c>
    </row>
    <row r="111" spans="1:9" ht="15" customHeight="1" x14ac:dyDescent="0.7">
      <c r="A111" s="16" t="s">
        <v>13</v>
      </c>
      <c r="C111" s="16" t="str">
        <f>Byggnader!C12</f>
        <v>Byggnad 1</v>
      </c>
      <c r="D111" s="16" t="str">
        <f>Byggnader!D12</f>
        <v>Byggnad 2</v>
      </c>
      <c r="E111" s="16" t="str">
        <f>Byggnader!E12</f>
        <v>Byggnad 3</v>
      </c>
      <c r="F111" s="16" t="str">
        <f>Byggnader!F12</f>
        <v>Byggnad 4</v>
      </c>
      <c r="G111" s="16" t="str">
        <f>Byggnader!G12</f>
        <v>Byggnad 5</v>
      </c>
      <c r="H111" s="16" t="str">
        <f>Byggnader!H12</f>
        <v>Byggnad 6</v>
      </c>
      <c r="I111" s="16" t="s">
        <v>24</v>
      </c>
    </row>
    <row r="112" spans="1:9" ht="15" customHeight="1" x14ac:dyDescent="0.7">
      <c r="A112" s="37" t="s">
        <v>161</v>
      </c>
      <c r="C112" s="55">
        <f>MAX(0,C81+IFERROR(C93/C$101*C$108/Mätdata!$D$47,0))</f>
        <v>0</v>
      </c>
      <c r="D112" s="55">
        <f>MAX(0,D81+IFERROR(D93/D$101*D$108/Mätdata!$D$47,0))</f>
        <v>0</v>
      </c>
      <c r="E112" s="55">
        <f>MAX(0,E81+IFERROR(E93/E$101*E$108/Mätdata!$D$47,0))</f>
        <v>0</v>
      </c>
      <c r="F112" s="55">
        <f>MAX(0,F81+IFERROR(F93/F$101*F$108/Mätdata!$D$47,0))</f>
        <v>0</v>
      </c>
      <c r="G112" s="55">
        <f>MAX(0,G81+IFERROR(G93/G$101*G$108/Mätdata!$D$47,0))</f>
        <v>0</v>
      </c>
      <c r="H112" s="55">
        <f>MAX(0,H81+IFERROR(H93/H$101*H$108/Mätdata!$D$47,0))</f>
        <v>0</v>
      </c>
      <c r="I112" s="55">
        <f t="shared" ref="I112:I119" si="17">SUM(C112:H112)</f>
        <v>0</v>
      </c>
    </row>
    <row r="113" spans="1:9" ht="15" customHeight="1" x14ac:dyDescent="0.7">
      <c r="A113" s="37" t="s">
        <v>162</v>
      </c>
      <c r="C113" s="55">
        <f>MAX(0,C82+IFERROR(C94/C$101*C$108/Mätdata!$D$48,0))</f>
        <v>0</v>
      </c>
      <c r="D113" s="55">
        <f>MAX(0,D82+IFERROR(D94/D$101*D$108/Mätdata!$D$48,0))</f>
        <v>0</v>
      </c>
      <c r="E113" s="55">
        <f>MAX(0,E82+IFERROR(E94/E$101*E$108/Mätdata!$D$48,0))</f>
        <v>0</v>
      </c>
      <c r="F113" s="55">
        <f>MAX(0,F82+IFERROR(F94/F$101*F$108/Mätdata!$D$48,0))</f>
        <v>0</v>
      </c>
      <c r="G113" s="55">
        <f>MAX(0,G82+IFERROR(G94/G$101*G$108/Mätdata!$D$48,0))</f>
        <v>0</v>
      </c>
      <c r="H113" s="55">
        <f>MAX(0,H82+IFERROR(H94/H$101*H$108/Mätdata!$D$48,0))</f>
        <v>0</v>
      </c>
      <c r="I113" s="55">
        <f t="shared" si="17"/>
        <v>0</v>
      </c>
    </row>
    <row r="114" spans="1:9" ht="15" customHeight="1" x14ac:dyDescent="0.7">
      <c r="A114" s="37" t="s">
        <v>164</v>
      </c>
      <c r="C114" s="55">
        <f>MAX(0,C83+IFERROR(C95/C$101*C$108/Mätdata!$D$49,0))</f>
        <v>0</v>
      </c>
      <c r="D114" s="55">
        <f>MAX(0,D83+IFERROR(D95/D$101*D$108/Mätdata!$D$49,0))</f>
        <v>0</v>
      </c>
      <c r="E114" s="55">
        <f>MAX(0,E83+IFERROR(E95/E$101*E$108/Mätdata!$D$49,0))</f>
        <v>0</v>
      </c>
      <c r="F114" s="55">
        <f>MAX(0,F83+IFERROR(F95/F$101*F$108/Mätdata!$D$49,0))</f>
        <v>0</v>
      </c>
      <c r="G114" s="55">
        <f>MAX(0,G83+IFERROR(G95/G$101*G$108/Mätdata!$D$49,0))</f>
        <v>0</v>
      </c>
      <c r="H114" s="55">
        <f>MAX(0,H83+IFERROR(H95/H$101*H$108/Mätdata!$D$49,0))</f>
        <v>0</v>
      </c>
      <c r="I114" s="55">
        <f t="shared" si="17"/>
        <v>0</v>
      </c>
    </row>
    <row r="115" spans="1:9" ht="15" customHeight="1" x14ac:dyDescent="0.7">
      <c r="A115" s="37" t="s">
        <v>166</v>
      </c>
      <c r="C115" s="55">
        <f>MAX(0,C84+IFERROR(C96/C$101*C$108/Mätdata!$D$50,0))</f>
        <v>0</v>
      </c>
      <c r="D115" s="55">
        <f>MAX(0,D84+IFERROR(D96/D$101*D$108/Mätdata!$D$50,0))</f>
        <v>0</v>
      </c>
      <c r="E115" s="55">
        <f>MAX(0,E84+IFERROR(E96/E$101*E$108/Mätdata!$D$50,0))</f>
        <v>0</v>
      </c>
      <c r="F115" s="55">
        <f>MAX(0,F84+IFERROR(F96/F$101*F$108/Mätdata!$D$50,0))</f>
        <v>0</v>
      </c>
      <c r="G115" s="55">
        <f>MAX(0,G84+IFERROR(G96/G$101*G$108/Mätdata!$D$50,0))</f>
        <v>0</v>
      </c>
      <c r="H115" s="55">
        <f>MAX(0,H84+IFERROR(H96/H$101*H$108/Mätdata!$D$50,0))</f>
        <v>0</v>
      </c>
      <c r="I115" s="55">
        <f t="shared" si="17"/>
        <v>0</v>
      </c>
    </row>
    <row r="116" spans="1:9" ht="15" customHeight="1" x14ac:dyDescent="0.7">
      <c r="A116" s="37" t="s">
        <v>167</v>
      </c>
      <c r="C116" s="55">
        <f>MAX(0,C85+IFERROR(C97/C$101*C$108/Mätdata!$D$51,0))</f>
        <v>0</v>
      </c>
      <c r="D116" s="55">
        <f>MAX(0,D85+IFERROR(D97/D$101*D$108/Mätdata!$D$51,0))</f>
        <v>0</v>
      </c>
      <c r="E116" s="55">
        <f>MAX(0,E85+IFERROR(E97/E$101*E$108/Mätdata!$D$51,0))</f>
        <v>0</v>
      </c>
      <c r="F116" s="55">
        <f>MAX(0,F85+IFERROR(F97/F$101*F$108/Mätdata!$D$51,0))</f>
        <v>0</v>
      </c>
      <c r="G116" s="55">
        <f>MAX(0,G85+IFERROR(G97/G$101*G$108/Mätdata!$D$51,0))</f>
        <v>0</v>
      </c>
      <c r="H116" s="55">
        <f>MAX(0,H85+IFERROR(H97/H$101*H$108/Mätdata!$D$51,0))</f>
        <v>0</v>
      </c>
      <c r="I116" s="55">
        <f t="shared" si="17"/>
        <v>0</v>
      </c>
    </row>
    <row r="117" spans="1:9" ht="15" customHeight="1" x14ac:dyDescent="0.7">
      <c r="A117" s="37" t="s">
        <v>168</v>
      </c>
      <c r="C117" s="55">
        <f>MAX(0,C86+IFERROR(C98/C$101*C$108/Mätdata!$D$52,0))</f>
        <v>0</v>
      </c>
      <c r="D117" s="55">
        <f>MAX(0,D86+IFERROR(D98/D$101*D$108/Mätdata!$D$52,0))</f>
        <v>0</v>
      </c>
      <c r="E117" s="55">
        <f>MAX(0,E86+IFERROR(E98/E$101*E$108/Mätdata!$D$52,0))</f>
        <v>0</v>
      </c>
      <c r="F117" s="55">
        <f>MAX(0,F86+IFERROR(F98/F$101*F$108/Mätdata!$D$52,0))</f>
        <v>0</v>
      </c>
      <c r="G117" s="55">
        <f>MAX(0,G86+IFERROR(G98/G$101*G$108/Mätdata!$D$52,0))</f>
        <v>0</v>
      </c>
      <c r="H117" s="55">
        <f>MAX(0,H86+IFERROR(H98/H$101*H$108/Mätdata!$D$52,0))</f>
        <v>0</v>
      </c>
      <c r="I117" s="55">
        <f t="shared" si="17"/>
        <v>0</v>
      </c>
    </row>
    <row r="118" spans="1:9" ht="15" customHeight="1" x14ac:dyDescent="0.7">
      <c r="A118" s="37" t="s">
        <v>170</v>
      </c>
      <c r="C118" s="55">
        <f>MAX(0,C87+IFERROR(C99/C$101*C$108/Mätdata!$D$53,0))</f>
        <v>0</v>
      </c>
      <c r="D118" s="55">
        <f>MAX(0,D87+IFERROR(D99/D$101*D$108/Mätdata!$D$53,0))</f>
        <v>0</v>
      </c>
      <c r="E118" s="55">
        <f>MAX(0,E87+IFERROR(E99/E$101*E$108/Mätdata!$D$53,0))</f>
        <v>0</v>
      </c>
      <c r="F118" s="55">
        <f>MAX(0,F87+IFERROR(F99/F$101*F$108/Mätdata!$D$53,0))</f>
        <v>0</v>
      </c>
      <c r="G118" s="55">
        <f>MAX(0,G87+IFERROR(G99/G$101*G$108/Mätdata!$D$53,0))</f>
        <v>0</v>
      </c>
      <c r="H118" s="55">
        <f>MAX(0,H87+IFERROR(H99/H$101*H$108/Mätdata!$D$53,0))</f>
        <v>0</v>
      </c>
      <c r="I118" s="55">
        <f t="shared" si="17"/>
        <v>0</v>
      </c>
    </row>
    <row r="119" spans="1:9" ht="15" customHeight="1" x14ac:dyDescent="0.7">
      <c r="A119" s="37" t="s">
        <v>171</v>
      </c>
      <c r="C119" s="55">
        <f>MAX(0,C88+IFERROR(C100/C$101*C$108/Mätdata!$D$54,0))</f>
        <v>0</v>
      </c>
      <c r="D119" s="55">
        <f>MAX(0,D88+IFERROR(D100/D$101*D$108/Mätdata!$D$54,0))</f>
        <v>0</v>
      </c>
      <c r="E119" s="55">
        <f>MAX(0,E88+IFERROR(E100/E$101*E$108/Mätdata!$D$54,0))</f>
        <v>0</v>
      </c>
      <c r="F119" s="55">
        <f>MAX(0,F88+IFERROR(F100/F$101*F$108/Mätdata!$D$54,0))</f>
        <v>0</v>
      </c>
      <c r="G119" s="55">
        <f>MAX(0,G88+IFERROR(G100/G$101*G$108/Mätdata!$D$54,0))</f>
        <v>0</v>
      </c>
      <c r="H119" s="55">
        <f>MAX(0,H88+IFERROR(H100/H$101*H$108/Mätdata!$D$54,0))</f>
        <v>0</v>
      </c>
      <c r="I119" s="55">
        <f t="shared" si="17"/>
        <v>0</v>
      </c>
    </row>
    <row r="120" spans="1:9" ht="15" customHeight="1" x14ac:dyDescent="0.7">
      <c r="A120" s="16" t="s">
        <v>24</v>
      </c>
      <c r="C120" s="55">
        <f t="shared" ref="C120:I120" si="18">SUM(C112:C119)</f>
        <v>0</v>
      </c>
      <c r="D120" s="55">
        <f t="shared" si="18"/>
        <v>0</v>
      </c>
      <c r="E120" s="55">
        <f t="shared" si="18"/>
        <v>0</v>
      </c>
      <c r="F120" s="55">
        <f t="shared" si="18"/>
        <v>0</v>
      </c>
      <c r="G120" s="55">
        <f t="shared" si="18"/>
        <v>0</v>
      </c>
      <c r="H120" s="55">
        <f t="shared" si="18"/>
        <v>0</v>
      </c>
      <c r="I120" s="55">
        <f t="shared" si="18"/>
        <v>0</v>
      </c>
    </row>
    <row r="122" spans="1:9" ht="15" customHeight="1" x14ac:dyDescent="0.7">
      <c r="A122" s="45" t="s">
        <v>448</v>
      </c>
    </row>
    <row r="123" spans="1:9" ht="15" customHeight="1" x14ac:dyDescent="0.7">
      <c r="A123" s="16" t="s">
        <v>13</v>
      </c>
      <c r="C123" s="16" t="str">
        <f>Byggnader!C12</f>
        <v>Byggnad 1</v>
      </c>
      <c r="D123" s="16" t="str">
        <f>Byggnader!D12</f>
        <v>Byggnad 2</v>
      </c>
      <c r="E123" s="16" t="str">
        <f>Byggnader!E12</f>
        <v>Byggnad 3</v>
      </c>
      <c r="F123" s="16" t="str">
        <f>Byggnader!F12</f>
        <v>Byggnad 4</v>
      </c>
      <c r="G123" s="16" t="str">
        <f>Byggnader!G12</f>
        <v>Byggnad 5</v>
      </c>
      <c r="H123" s="16" t="str">
        <f>Byggnader!H12</f>
        <v>Byggnad 6</v>
      </c>
      <c r="I123" s="16" t="s">
        <v>24</v>
      </c>
    </row>
    <row r="124" spans="1:9" ht="15" customHeight="1" x14ac:dyDescent="0.7">
      <c r="A124" s="37" t="s">
        <v>161</v>
      </c>
      <c r="C124" s="55">
        <f>IF(C$22="Ja",IFERROR(C$42*C$26/Mätdata!$B$42*Mätdata!$C$47/Mätdata!$D$47,0),C69)</f>
        <v>0</v>
      </c>
      <c r="D124" s="55">
        <f>IF(D$22="Ja",IFERROR(D$42*D$26/Mätdata!$B$42*Mätdata!$C$47/Mätdata!$D$47,0),D69)</f>
        <v>0</v>
      </c>
      <c r="E124" s="55">
        <f>IF(E$22="Ja",IFERROR(E$42*E$26/Mätdata!$B$42*Mätdata!$C$47/Mätdata!$D$47,0),E69)</f>
        <v>0</v>
      </c>
      <c r="F124" s="55">
        <f>IF(F$22="Ja",IFERROR(F$42*F$26/Mätdata!$B$42*Mätdata!$C$47/Mätdata!$D$47,0),F69)</f>
        <v>0</v>
      </c>
      <c r="G124" s="55">
        <f>IF(G$22="Ja",IFERROR(G$42*G$26/Mätdata!$B$42*Mätdata!$C$47/Mätdata!$D$47,0),G69)</f>
        <v>0</v>
      </c>
      <c r="H124" s="55">
        <f>IF(H$22="Ja",IFERROR(H$42*H$26/Mätdata!$B$42*Mätdata!$C$47/Mätdata!$D$47,0),H69)</f>
        <v>0</v>
      </c>
      <c r="I124" s="55">
        <f t="shared" ref="I124:I131" si="19">SUM(C124:H124)</f>
        <v>0</v>
      </c>
    </row>
    <row r="125" spans="1:9" ht="15" customHeight="1" x14ac:dyDescent="0.7">
      <c r="A125" s="37" t="s">
        <v>162</v>
      </c>
      <c r="C125" s="55">
        <f>IF(C$22="Ja",IFERROR(C$42*C$26/Mätdata!$B$42*Mätdata!$C$48/Mätdata!$D$48,0),C70)</f>
        <v>0</v>
      </c>
      <c r="D125" s="55">
        <f>IF(D$22="Ja",IFERROR(D$42*D$26/Mätdata!$B$42*Mätdata!$C$48/Mätdata!$D$48,0),D70)</f>
        <v>0</v>
      </c>
      <c r="E125" s="55">
        <f>IF(E$22="Ja",IFERROR(E$42*E$26/Mätdata!$B$42*Mätdata!$C$48/Mätdata!$D$48,0),E70)</f>
        <v>0</v>
      </c>
      <c r="F125" s="55">
        <f>IF(F$22="Ja",IFERROR(F$42*F$26/Mätdata!$B$42*Mätdata!$C$48/Mätdata!$D$48,0),F70)</f>
        <v>0</v>
      </c>
      <c r="G125" s="55">
        <f>IF(G$22="Ja",IFERROR(G$42*G$26/Mätdata!$B$42*Mätdata!$C$48/Mätdata!$D$48,0),G70)</f>
        <v>0</v>
      </c>
      <c r="H125" s="55">
        <f>IF(H$22="Ja",IFERROR(H$42*H$26/Mätdata!$B$42*Mätdata!$C$48/Mätdata!$D$48,0),H70)</f>
        <v>0</v>
      </c>
      <c r="I125" s="55">
        <f t="shared" si="19"/>
        <v>0</v>
      </c>
    </row>
    <row r="126" spans="1:9" ht="15" customHeight="1" x14ac:dyDescent="0.7">
      <c r="A126" s="37" t="s">
        <v>164</v>
      </c>
      <c r="C126" s="55">
        <f>IF(C$22="Ja",IFERROR(C$42*C$26/Mätdata!$B$42*Mätdata!$C$49/Mätdata!$D$49,0),C71)</f>
        <v>0</v>
      </c>
      <c r="D126" s="55">
        <f>IF(D$22="Ja",IFERROR(D$42*D$26/Mätdata!$B$42*Mätdata!$C$49/Mätdata!$D$49,0),D71)</f>
        <v>0</v>
      </c>
      <c r="E126" s="55">
        <f>IF(E$22="Ja",IFERROR(E$42*E$26/Mätdata!$B$42*Mätdata!$C$49/Mätdata!$D$49,0),E71)</f>
        <v>0</v>
      </c>
      <c r="F126" s="55">
        <f>IF(F$22="Ja",IFERROR(F$42*F$26/Mätdata!$B$42*Mätdata!$C$49/Mätdata!$D$49,0),F71)</f>
        <v>0</v>
      </c>
      <c r="G126" s="55">
        <f>IF(G$22="Ja",IFERROR(G$42*G$26/Mätdata!$B$42*Mätdata!$C$49/Mätdata!$D$49,0),G71)</f>
        <v>0</v>
      </c>
      <c r="H126" s="55">
        <f>IF(H$22="Ja",IFERROR(H$42*H$26/Mätdata!$B$42*Mätdata!$C$49/Mätdata!$D$49,0),H71)</f>
        <v>0</v>
      </c>
      <c r="I126" s="55">
        <f t="shared" si="19"/>
        <v>0</v>
      </c>
    </row>
    <row r="127" spans="1:9" ht="15" customHeight="1" x14ac:dyDescent="0.7">
      <c r="A127" s="37" t="s">
        <v>166</v>
      </c>
      <c r="C127" s="55">
        <f>IF(C$22="Ja",IFERROR(C$42*C$26/Mätdata!$B$42*Mätdata!$C$50/Mätdata!$D$50,0),C72)</f>
        <v>0</v>
      </c>
      <c r="D127" s="55">
        <f>IF(D$22="Ja",IFERROR(D$42*D$26/Mätdata!$B$42*Mätdata!$C$50/Mätdata!$D$50,0),D72)</f>
        <v>0</v>
      </c>
      <c r="E127" s="55">
        <f>IF(E$22="Ja",IFERROR(E$42*E$26/Mätdata!$B$42*Mätdata!$C$50/Mätdata!$D$50,0),E72)</f>
        <v>0</v>
      </c>
      <c r="F127" s="55">
        <f>IF(F$22="Ja",IFERROR(F$42*F$26/Mätdata!$B$42*Mätdata!$C$50/Mätdata!$D$50,0),F72)</f>
        <v>0</v>
      </c>
      <c r="G127" s="55">
        <f>IF(G$22="Ja",IFERROR(G$42*G$26/Mätdata!$B$42*Mätdata!$C$50/Mätdata!$D$50,0),G72)</f>
        <v>0</v>
      </c>
      <c r="H127" s="55">
        <f>IF(H$22="Ja",IFERROR(H$42*H$26/Mätdata!$B$42*Mätdata!$C$50/Mätdata!$D$50,0),H72)</f>
        <v>0</v>
      </c>
      <c r="I127" s="55">
        <f t="shared" si="19"/>
        <v>0</v>
      </c>
    </row>
    <row r="128" spans="1:9" ht="15" customHeight="1" x14ac:dyDescent="0.7">
      <c r="A128" s="37" t="s">
        <v>167</v>
      </c>
      <c r="C128" s="55">
        <f>IF(C$22="Ja",IFERROR(C$42*C$26/Mätdata!$B$42*Mätdata!$C$51/Mätdata!$D$51,0),C73)</f>
        <v>0</v>
      </c>
      <c r="D128" s="55">
        <f>IF(D$22="Ja",IFERROR(D$42*D$26/Mätdata!$B$42*Mätdata!$C$51/Mätdata!$D$51,0),D73)</f>
        <v>0</v>
      </c>
      <c r="E128" s="55">
        <f>IF(E$22="Ja",IFERROR(E$42*E$26/Mätdata!$B$42*Mätdata!$C$51/Mätdata!$D$51,0),E73)</f>
        <v>0</v>
      </c>
      <c r="F128" s="55">
        <f>IF(F$22="Ja",IFERROR(F$42*F$26/Mätdata!$B$42*Mätdata!$C$51/Mätdata!$D$51,0),F73)</f>
        <v>0</v>
      </c>
      <c r="G128" s="55">
        <f>IF(G$22="Ja",IFERROR(G$42*G$26/Mätdata!$B$42*Mätdata!$C$51/Mätdata!$D$51,0),G73)</f>
        <v>0</v>
      </c>
      <c r="H128" s="55">
        <f>IF(H$22="Ja",IFERROR(H$42*H$26/Mätdata!$B$42*Mätdata!$C$51/Mätdata!$D$51,0),H73)</f>
        <v>0</v>
      </c>
      <c r="I128" s="55">
        <f t="shared" si="19"/>
        <v>0</v>
      </c>
    </row>
    <row r="129" spans="1:9" ht="15" customHeight="1" x14ac:dyDescent="0.7">
      <c r="A129" s="37" t="s">
        <v>168</v>
      </c>
      <c r="C129" s="55">
        <f>IF(C$22="Ja",IFERROR(C$42*C$26/Mätdata!$B$42*Mätdata!$C$52/Mätdata!$D$52,0),C74)</f>
        <v>0</v>
      </c>
      <c r="D129" s="55">
        <f>IF(D$22="Ja",IFERROR(D$42*D$26/Mätdata!$B$42*Mätdata!$C$52/Mätdata!$D$52,0),D74)</f>
        <v>0</v>
      </c>
      <c r="E129" s="55">
        <f>IF(E$22="Ja",IFERROR(E$42*E$26/Mätdata!$B$42*Mätdata!$C$52/Mätdata!$D$52,0),E74)</f>
        <v>0</v>
      </c>
      <c r="F129" s="55">
        <f>IF(F$22="Ja",IFERROR(F$42*F$26/Mätdata!$B$42*Mätdata!$C$52/Mätdata!$D$52,0),F74)</f>
        <v>0</v>
      </c>
      <c r="G129" s="55">
        <f>IF(G$22="Ja",IFERROR(G$42*G$26/Mätdata!$B$42*Mätdata!$C$52/Mätdata!$D$52,0),G74)</f>
        <v>0</v>
      </c>
      <c r="H129" s="55">
        <f>IF(H$22="Ja",IFERROR(H$42*H$26/Mätdata!$B$42*Mätdata!$C$52/Mätdata!$D$52,0),H74)</f>
        <v>0</v>
      </c>
      <c r="I129" s="55">
        <f t="shared" si="19"/>
        <v>0</v>
      </c>
    </row>
    <row r="130" spans="1:9" ht="15" customHeight="1" x14ac:dyDescent="0.7">
      <c r="A130" s="37" t="s">
        <v>170</v>
      </c>
      <c r="C130" s="55">
        <f>IF(C$22="Ja",IFERROR(C$42*C$26/Mätdata!$B$42*Mätdata!$C$53/Mätdata!$D$53,0),C75)</f>
        <v>0</v>
      </c>
      <c r="D130" s="55">
        <f>IF(D$22="Ja",IFERROR(D$42*D$26/Mätdata!$B$42*Mätdata!$C$53/Mätdata!$D$53,0),D75)</f>
        <v>0</v>
      </c>
      <c r="E130" s="55">
        <f>IF(E$22="Ja",IFERROR(E$42*E$26/Mätdata!$B$42*Mätdata!$C$53/Mätdata!$D$53,0),E75)</f>
        <v>0</v>
      </c>
      <c r="F130" s="55">
        <f>IF(F$22="Ja",IFERROR(F$42*F$26/Mätdata!$B$42*Mätdata!$C$53/Mätdata!$D$53,0),F75)</f>
        <v>0</v>
      </c>
      <c r="G130" s="55">
        <f>IF(G$22="Ja",IFERROR(G$42*G$26/Mätdata!$B$42*Mätdata!$C$53/Mätdata!$D$53,0),G75)</f>
        <v>0</v>
      </c>
      <c r="H130" s="55">
        <f>IF(H$22="Ja",IFERROR(H$42*H$26/Mätdata!$B$42*Mätdata!$C$53/Mätdata!$D$53,0),H75)</f>
        <v>0</v>
      </c>
      <c r="I130" s="55">
        <f t="shared" si="19"/>
        <v>0</v>
      </c>
    </row>
    <row r="131" spans="1:9" ht="15" customHeight="1" x14ac:dyDescent="0.7">
      <c r="A131" s="37" t="s">
        <v>171</v>
      </c>
      <c r="C131" s="55">
        <f>IF(C$22="Ja",IFERROR(C$42*C$26/Mätdata!$B$42*Mätdata!$C$54/Mätdata!$D$54,0),C76)</f>
        <v>0</v>
      </c>
      <c r="D131" s="55">
        <f>IF(D$22="Ja",IFERROR(D$42*D$26/Mätdata!$B$42*Mätdata!$C$54/Mätdata!$D$54,0),D76)</f>
        <v>0</v>
      </c>
      <c r="E131" s="55">
        <f>IF(E$22="Ja",IFERROR(E$42*E$26/Mätdata!$B$42*Mätdata!$C$54/Mätdata!$D$54,0),E76)</f>
        <v>0</v>
      </c>
      <c r="F131" s="55">
        <f>IF(F$22="Ja",IFERROR(F$42*F$26/Mätdata!$B$42*Mätdata!$C$54/Mätdata!$D$54,0),F76)</f>
        <v>0</v>
      </c>
      <c r="G131" s="55">
        <f>IF(G$22="Ja",IFERROR(G$42*G$26/Mätdata!$B$42*Mätdata!$C$54/Mätdata!$D$54,0),G76)</f>
        <v>0</v>
      </c>
      <c r="H131" s="55">
        <f>IF(H$22="Ja",IFERROR(H$42*H$26/Mätdata!$B$42*Mätdata!$C$54/Mätdata!$D$54,0),H76)</f>
        <v>0</v>
      </c>
      <c r="I131" s="55">
        <f t="shared" si="19"/>
        <v>0</v>
      </c>
    </row>
    <row r="132" spans="1:9" ht="15" customHeight="1" x14ac:dyDescent="0.7">
      <c r="A132" s="16" t="s">
        <v>24</v>
      </c>
      <c r="C132" s="55">
        <f t="shared" ref="C132:I132" si="20">SUM(C124:C131)</f>
        <v>0</v>
      </c>
      <c r="D132" s="55">
        <f t="shared" si="20"/>
        <v>0</v>
      </c>
      <c r="E132" s="55">
        <f t="shared" si="20"/>
        <v>0</v>
      </c>
      <c r="F132" s="55">
        <f t="shared" si="20"/>
        <v>0</v>
      </c>
      <c r="G132" s="55">
        <f t="shared" si="20"/>
        <v>0</v>
      </c>
      <c r="H132" s="55">
        <f t="shared" si="20"/>
        <v>0</v>
      </c>
      <c r="I132" s="55">
        <f t="shared" si="20"/>
        <v>0</v>
      </c>
    </row>
    <row r="134" spans="1:9" ht="15" customHeight="1" x14ac:dyDescent="0.7">
      <c r="A134" s="45" t="s">
        <v>449</v>
      </c>
    </row>
    <row r="135" spans="1:9" ht="15" customHeight="1" x14ac:dyDescent="0.7">
      <c r="A135" s="16" t="s">
        <v>13</v>
      </c>
      <c r="C135" s="16" t="str">
        <f>Byggnader!C12</f>
        <v>Byggnad 1</v>
      </c>
      <c r="D135" s="16" t="str">
        <f>Byggnader!D12</f>
        <v>Byggnad 2</v>
      </c>
      <c r="E135" s="16" t="str">
        <f>Byggnader!E12</f>
        <v>Byggnad 3</v>
      </c>
      <c r="F135" s="16" t="str">
        <f>Byggnader!F12</f>
        <v>Byggnad 4</v>
      </c>
      <c r="G135" s="16" t="str">
        <f>Byggnader!G12</f>
        <v>Byggnad 5</v>
      </c>
      <c r="H135" s="16" t="str">
        <f>Byggnader!H12</f>
        <v>Byggnad 6</v>
      </c>
      <c r="I135" s="16" t="s">
        <v>24</v>
      </c>
    </row>
    <row r="136" spans="1:9" ht="15" customHeight="1" x14ac:dyDescent="0.7">
      <c r="A136" s="37" t="s">
        <v>450</v>
      </c>
      <c r="C136" s="56">
        <f>Byggnader!C$43</f>
        <v>0</v>
      </c>
      <c r="D136" s="56">
        <f>Byggnader!D$43</f>
        <v>0</v>
      </c>
      <c r="E136" s="56">
        <f>Byggnader!E$43</f>
        <v>0</v>
      </c>
      <c r="F136" s="56">
        <f>Byggnader!F$43</f>
        <v>0</v>
      </c>
      <c r="G136" s="56">
        <f>Byggnader!G$43</f>
        <v>0</v>
      </c>
      <c r="H136" s="56">
        <f>Byggnader!H$43</f>
        <v>0</v>
      </c>
      <c r="I136" s="56">
        <f t="shared" ref="I136:I145" si="21">SUM(C136:H136)</f>
        <v>0</v>
      </c>
    </row>
    <row r="137" spans="1:9" ht="15" customHeight="1" x14ac:dyDescent="0.7">
      <c r="A137" s="37" t="s">
        <v>451</v>
      </c>
      <c r="C137" s="55">
        <f>El!C127</f>
        <v>7342.2500531963396</v>
      </c>
      <c r="D137" s="55">
        <f>El!D127</f>
        <v>0</v>
      </c>
      <c r="E137" s="55">
        <f>El!E127</f>
        <v>0</v>
      </c>
      <c r="F137" s="55">
        <f>El!F127</f>
        <v>0</v>
      </c>
      <c r="G137" s="55">
        <f>El!G127</f>
        <v>0</v>
      </c>
      <c r="H137" s="55">
        <f>El!H127</f>
        <v>0</v>
      </c>
      <c r="I137" s="55">
        <f t="shared" si="21"/>
        <v>7342.2500531963396</v>
      </c>
    </row>
    <row r="138" spans="1:9" ht="15" customHeight="1" x14ac:dyDescent="0.7">
      <c r="A138" s="37" t="s">
        <v>452</v>
      </c>
      <c r="C138" s="55">
        <f>Byggnader!C47</f>
        <v>815.80556146625997</v>
      </c>
      <c r="D138" s="55">
        <f>Byggnader!D47</f>
        <v>0</v>
      </c>
      <c r="E138" s="55">
        <f>Byggnader!E47</f>
        <v>0</v>
      </c>
      <c r="F138" s="55">
        <f>Byggnader!F47</f>
        <v>0</v>
      </c>
      <c r="G138" s="55">
        <f>Byggnader!G47</f>
        <v>0</v>
      </c>
      <c r="H138" s="55">
        <f>Byggnader!H47</f>
        <v>0</v>
      </c>
      <c r="I138" s="55">
        <f t="shared" si="21"/>
        <v>815.80556146625997</v>
      </c>
    </row>
    <row r="139" spans="1:9" ht="15" customHeight="1" x14ac:dyDescent="0.7">
      <c r="A139" s="37" t="s">
        <v>453</v>
      </c>
      <c r="C139" s="55">
        <f t="shared" ref="C139:H139" si="22">MAX(0,C137-C138)</f>
        <v>6526.4444917300798</v>
      </c>
      <c r="D139" s="55">
        <f t="shared" si="22"/>
        <v>0</v>
      </c>
      <c r="E139" s="55">
        <f t="shared" si="22"/>
        <v>0</v>
      </c>
      <c r="F139" s="55">
        <f t="shared" si="22"/>
        <v>0</v>
      </c>
      <c r="G139" s="55">
        <f t="shared" si="22"/>
        <v>0</v>
      </c>
      <c r="H139" s="55">
        <f t="shared" si="22"/>
        <v>0</v>
      </c>
      <c r="I139" s="55">
        <f t="shared" si="21"/>
        <v>6526.4444917300798</v>
      </c>
    </row>
    <row r="140" spans="1:9" ht="15" customHeight="1" x14ac:dyDescent="0.7">
      <c r="A140" s="37" t="s">
        <v>202</v>
      </c>
      <c r="C140" s="55">
        <f>El!C131</f>
        <v>0</v>
      </c>
      <c r="D140" s="55">
        <f>El!D131</f>
        <v>0</v>
      </c>
      <c r="E140" s="55">
        <f>El!E131</f>
        <v>0</v>
      </c>
      <c r="F140" s="55">
        <f>El!F131</f>
        <v>0</v>
      </c>
      <c r="G140" s="55">
        <f>El!G131</f>
        <v>0</v>
      </c>
      <c r="H140" s="55">
        <f>El!H131</f>
        <v>0</v>
      </c>
      <c r="I140" s="55">
        <f t="shared" si="21"/>
        <v>0</v>
      </c>
    </row>
    <row r="141" spans="1:9" ht="15" customHeight="1" x14ac:dyDescent="0.7">
      <c r="A141" s="37" t="s">
        <v>454</v>
      </c>
      <c r="C141" s="55">
        <f>(SUMIFS(Mätdata!$E$6:$E$25,Mätdata!$B$6:$B$25,"Fjärrkyla",Mätdata!$D$6:$D$25,Byggnader!C$12)+SUMIFS(Mätdata!$E$6:$E$25,Mätdata!$B$6:$B$25,"Fjärrkyla",Mätdata!$D$6:$D$25,"Alla")*Byggnader!C$43)</f>
        <v>0</v>
      </c>
      <c r="D141" s="55">
        <f>(SUMIFS(Mätdata!$E$6:$E$25,Mätdata!$B$6:$B$25,"Fjärrkyla",Mätdata!$D$6:$D$25,Byggnader!D$12)+SUMIFS(Mätdata!$E$6:$E$25,Mätdata!$B$6:$B$25,"Fjärrkyla",Mätdata!$D$6:$D$25,"Alla")*Byggnader!D$43)</f>
        <v>0</v>
      </c>
      <c r="E141" s="55">
        <f>(SUMIFS(Mätdata!$E$6:$E$25,Mätdata!$B$6:$B$25,"Fjärrkyla",Mätdata!$D$6:$D$25,Byggnader!E$12)+SUMIFS(Mätdata!$E$6:$E$25,Mätdata!$B$6:$B$25,"Fjärrkyla",Mätdata!$D$6:$D$25,"Alla")*Byggnader!E$43)</f>
        <v>0</v>
      </c>
      <c r="F141" s="55">
        <f>(SUMIFS(Mätdata!$E$6:$E$25,Mätdata!$B$6:$B$25,"Fjärrkyla",Mätdata!$D$6:$D$25,Byggnader!F$12)+SUMIFS(Mätdata!$E$6:$E$25,Mätdata!$B$6:$B$25,"Fjärrkyla",Mätdata!$D$6:$D$25,"Alla")*Byggnader!F$43)</f>
        <v>0</v>
      </c>
      <c r="G141" s="55">
        <f>(SUMIFS(Mätdata!$E$6:$E$25,Mätdata!$B$6:$B$25,"Fjärrkyla",Mätdata!$D$6:$D$25,Byggnader!G$12)+SUMIFS(Mätdata!$E$6:$E$25,Mätdata!$B$6:$B$25,"Fjärrkyla",Mätdata!$D$6:$D$25,"Alla")*Byggnader!G$43)</f>
        <v>0</v>
      </c>
      <c r="H141" s="55">
        <f>(SUMIFS(Mätdata!$E$6:$E$25,Mätdata!$B$6:$B$25,"Fjärrkyla",Mätdata!$D$6:$D$25,Byggnader!H$12)+SUMIFS(Mätdata!$E$6:$E$25,Mätdata!$B$6:$B$25,"Fjärrkyla",Mätdata!$D$6:$D$25,"Alla")*Byggnader!H$43)</f>
        <v>0</v>
      </c>
      <c r="I141" s="55">
        <f t="shared" si="21"/>
        <v>0</v>
      </c>
    </row>
    <row r="142" spans="1:9" ht="15" customHeight="1" x14ac:dyDescent="0.7">
      <c r="A142" s="37" t="s">
        <v>227</v>
      </c>
      <c r="C142" s="55">
        <f>Byggnader!C48</f>
        <v>0</v>
      </c>
      <c r="D142" s="55">
        <f>Byggnader!D48</f>
        <v>0</v>
      </c>
      <c r="E142" s="55">
        <f>Byggnader!E48</f>
        <v>0</v>
      </c>
      <c r="F142" s="55">
        <f>Byggnader!F48</f>
        <v>0</v>
      </c>
      <c r="G142" s="55">
        <f>Byggnader!G48</f>
        <v>0</v>
      </c>
      <c r="H142" s="55">
        <f>Byggnader!H48</f>
        <v>0</v>
      </c>
      <c r="I142" s="55">
        <f t="shared" si="21"/>
        <v>0</v>
      </c>
    </row>
    <row r="143" spans="1:9" ht="15" customHeight="1" x14ac:dyDescent="0.7">
      <c r="A143" s="37" t="s">
        <v>455</v>
      </c>
      <c r="C143" s="55">
        <f t="shared" ref="C143:H143" si="23">C46</f>
        <v>6000</v>
      </c>
      <c r="D143" s="55">
        <f t="shared" si="23"/>
        <v>0</v>
      </c>
      <c r="E143" s="55">
        <f t="shared" si="23"/>
        <v>0</v>
      </c>
      <c r="F143" s="55">
        <f t="shared" si="23"/>
        <v>0</v>
      </c>
      <c r="G143" s="55">
        <f t="shared" si="23"/>
        <v>0</v>
      </c>
      <c r="H143" s="55">
        <f t="shared" si="23"/>
        <v>0</v>
      </c>
      <c r="I143" s="55">
        <f t="shared" si="21"/>
        <v>6000</v>
      </c>
    </row>
    <row r="144" spans="1:9" ht="15" customHeight="1" x14ac:dyDescent="0.7">
      <c r="A144" s="37" t="s">
        <v>23</v>
      </c>
      <c r="C144" s="55">
        <f>El!C134</f>
        <v>9157.7499468036585</v>
      </c>
      <c r="D144" s="55">
        <f>El!D134</f>
        <v>0</v>
      </c>
      <c r="E144" s="55">
        <f>El!E134</f>
        <v>0</v>
      </c>
      <c r="F144" s="55">
        <f>El!F134</f>
        <v>0</v>
      </c>
      <c r="G144" s="55">
        <f>El!G134</f>
        <v>0</v>
      </c>
      <c r="H144" s="55">
        <f>El!H134</f>
        <v>0</v>
      </c>
      <c r="I144" s="55">
        <f t="shared" si="21"/>
        <v>9157.7499468036585</v>
      </c>
    </row>
    <row r="145" spans="1:9" ht="15" customHeight="1" x14ac:dyDescent="0.7">
      <c r="A145" s="37" t="s">
        <v>456</v>
      </c>
      <c r="C145" s="55">
        <f>El!C135</f>
        <v>0</v>
      </c>
      <c r="D145" s="55">
        <f>El!D135</f>
        <v>0</v>
      </c>
      <c r="E145" s="55">
        <f>El!E135</f>
        <v>0</v>
      </c>
      <c r="F145" s="55">
        <f>El!F135</f>
        <v>0</v>
      </c>
      <c r="G145" s="55">
        <f>El!G135</f>
        <v>0</v>
      </c>
      <c r="H145" s="55">
        <f>El!H135</f>
        <v>0</v>
      </c>
      <c r="I145" s="55">
        <f t="shared" si="21"/>
        <v>0</v>
      </c>
    </row>
  </sheetData>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allowBlank="1" xr:uid="{00000000-0002-0000-0800-000000000000}">
          <x14:formula1>
            <xm:f>'Regler BFS 2026'!$X$5:$X$6</xm:f>
          </x14:formula1>
          <x14:formula2>
            <xm:f>0</xm:f>
          </x14:formula2>
          <xm:sqref>C19:H22</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34"/>
  <sheetViews>
    <sheetView zoomScaleNormal="100" workbookViewId="0">
      <pane xSplit="2" ySplit="4" topLeftCell="C5" activePane="bottomRight" state="frozen"/>
      <selection pane="topRight" activeCell="C1" sqref="C1"/>
      <selection pane="bottomLeft" activeCell="A5" sqref="A5"/>
      <selection pane="bottomRight" activeCell="D41" sqref="D41"/>
    </sheetView>
  </sheetViews>
  <sheetFormatPr defaultColWidth="8.7265625" defaultRowHeight="14.5" x14ac:dyDescent="0.7"/>
  <cols>
    <col min="1" max="1" width="50" customWidth="1"/>
    <col min="2" max="2" width="4" customWidth="1"/>
    <col min="3" max="9" width="13" customWidth="1"/>
  </cols>
  <sheetData>
    <row r="1" spans="1:9" ht="21.75" customHeight="1" x14ac:dyDescent="0.95">
      <c r="A1" s="15" t="s">
        <v>457</v>
      </c>
    </row>
    <row r="2" spans="1:9" ht="15" customHeight="1" x14ac:dyDescent="0.7">
      <c r="A2" s="18" t="s">
        <v>458</v>
      </c>
    </row>
    <row r="4" spans="1:9" ht="15" customHeight="1" x14ac:dyDescent="0.7">
      <c r="A4" s="16" t="s">
        <v>13</v>
      </c>
      <c r="C4" s="16" t="str">
        <f>Byggnader!C12</f>
        <v>Byggnad 1</v>
      </c>
      <c r="D4" s="16" t="str">
        <f>Byggnader!D12</f>
        <v>Byggnad 2</v>
      </c>
      <c r="E4" s="16" t="str">
        <f>Byggnader!E12</f>
        <v>Byggnad 3</v>
      </c>
      <c r="F4" s="16" t="str">
        <f>Byggnader!F12</f>
        <v>Byggnad 4</v>
      </c>
      <c r="G4" s="16" t="str">
        <f>Byggnader!G12</f>
        <v>Byggnad 5</v>
      </c>
      <c r="H4" s="16" t="str">
        <f>Byggnader!H12</f>
        <v>Byggnad 6</v>
      </c>
      <c r="I4" s="16" t="s">
        <v>45</v>
      </c>
    </row>
    <row r="5" spans="1:9" ht="15" customHeight="1" x14ac:dyDescent="0.7">
      <c r="A5" s="37" t="s">
        <v>59</v>
      </c>
      <c r="C5" s="68" t="str">
        <f>IF(Byggnader!C13="","",Byggnader!C13)</f>
        <v/>
      </c>
      <c r="D5" s="68" t="str">
        <f>IF(Byggnader!D13="","",Byggnader!D13)</f>
        <v/>
      </c>
      <c r="E5" s="68" t="str">
        <f>IF(Byggnader!E13="","",Byggnader!E13)</f>
        <v/>
      </c>
      <c r="F5" s="68" t="str">
        <f>IF(Byggnader!F13="","",Byggnader!F13)</f>
        <v/>
      </c>
      <c r="G5" s="68" t="str">
        <f>IF(Byggnader!G13="","",Byggnader!G13)</f>
        <v/>
      </c>
      <c r="H5" s="68" t="str">
        <f>IF(Byggnader!H13="","",Byggnader!H13)</f>
        <v/>
      </c>
    </row>
    <row r="6" spans="1:9" ht="15" customHeight="1" x14ac:dyDescent="0.7">
      <c r="A6" s="37" t="s">
        <v>421</v>
      </c>
      <c r="C6" s="55">
        <f>Normalisering!C26</f>
        <v>0</v>
      </c>
      <c r="D6" s="55">
        <f>Normalisering!D26</f>
        <v>0</v>
      </c>
      <c r="E6" s="55">
        <f>Normalisering!E26</f>
        <v>0</v>
      </c>
      <c r="F6" s="55">
        <f>Normalisering!F26</f>
        <v>0</v>
      </c>
      <c r="G6" s="55">
        <f>Normalisering!G26</f>
        <v>0</v>
      </c>
      <c r="H6" s="55">
        <f>Normalisering!H26</f>
        <v>0</v>
      </c>
      <c r="I6" s="55">
        <f>Normalisering!I26</f>
        <v>0</v>
      </c>
    </row>
    <row r="7" spans="1:9" ht="15" customHeight="1" x14ac:dyDescent="0.7">
      <c r="A7" s="37" t="s">
        <v>459</v>
      </c>
      <c r="C7" s="55">
        <f>Normalisering!C120/Byggnader!$C$10</f>
        <v>0</v>
      </c>
      <c r="D7" s="55">
        <f>Normalisering!D120/Byggnader!$C$10</f>
        <v>0</v>
      </c>
      <c r="E7" s="55">
        <f>Normalisering!E120/Byggnader!$C$10</f>
        <v>0</v>
      </c>
      <c r="F7" s="55">
        <f>Normalisering!F120/Byggnader!$C$10</f>
        <v>0</v>
      </c>
      <c r="G7" s="55">
        <f>Normalisering!G120/Byggnader!$C$10</f>
        <v>0</v>
      </c>
      <c r="H7" s="55">
        <f>Normalisering!H120/Byggnader!$C$10</f>
        <v>0</v>
      </c>
      <c r="I7" s="55">
        <f>Normalisering!I120/Byggnader!$C$10</f>
        <v>0</v>
      </c>
    </row>
    <row r="8" spans="1:9" ht="15" customHeight="1" x14ac:dyDescent="0.7">
      <c r="A8" s="37" t="s">
        <v>460</v>
      </c>
      <c r="C8" s="55">
        <f>Normalisering!C132</f>
        <v>0</v>
      </c>
      <c r="D8" s="55">
        <f>Normalisering!D132</f>
        <v>0</v>
      </c>
      <c r="E8" s="55">
        <f>Normalisering!E132</f>
        <v>0</v>
      </c>
      <c r="F8" s="55">
        <f>Normalisering!F132</f>
        <v>0</v>
      </c>
      <c r="G8" s="55">
        <f>Normalisering!G132</f>
        <v>0</v>
      </c>
      <c r="H8" s="55">
        <f>Normalisering!H132</f>
        <v>0</v>
      </c>
      <c r="I8" s="55">
        <f>Normalisering!I132</f>
        <v>0</v>
      </c>
    </row>
    <row r="9" spans="1:9" ht="15" customHeight="1" x14ac:dyDescent="0.7">
      <c r="A9" s="37" t="s">
        <v>461</v>
      </c>
      <c r="C9" s="55">
        <f>Normalisering!C139-Normalisering!C142</f>
        <v>6526.4444917300798</v>
      </c>
      <c r="D9" s="55">
        <f>Normalisering!D139-Normalisering!D142</f>
        <v>0</v>
      </c>
      <c r="E9" s="55">
        <f>Normalisering!E139-Normalisering!E142</f>
        <v>0</v>
      </c>
      <c r="F9" s="55">
        <f>Normalisering!F139-Normalisering!F142</f>
        <v>0</v>
      </c>
      <c r="G9" s="55">
        <f>Normalisering!G139-Normalisering!G142</f>
        <v>0</v>
      </c>
      <c r="H9" s="55">
        <f>Normalisering!H139-Normalisering!H142</f>
        <v>0</v>
      </c>
      <c r="I9" s="55">
        <f>Normalisering!I139-Normalisering!I142</f>
        <v>6526.4444917300798</v>
      </c>
    </row>
    <row r="10" spans="1:9" ht="15" customHeight="1" x14ac:dyDescent="0.7">
      <c r="A10" s="37" t="s">
        <v>462</v>
      </c>
      <c r="C10" s="55">
        <f>Normalisering!C140+Normalisering!C141</f>
        <v>0</v>
      </c>
      <c r="D10" s="55">
        <f>Normalisering!D140+Normalisering!D141</f>
        <v>0</v>
      </c>
      <c r="E10" s="55">
        <f>Normalisering!E140+Normalisering!E141</f>
        <v>0</v>
      </c>
      <c r="F10" s="55">
        <f>Normalisering!F140+Normalisering!F141</f>
        <v>0</v>
      </c>
      <c r="G10" s="55">
        <f>Normalisering!G140+Normalisering!G141</f>
        <v>0</v>
      </c>
      <c r="H10" s="55">
        <f>Normalisering!H140+Normalisering!H141</f>
        <v>0</v>
      </c>
      <c r="I10" s="55">
        <f>Normalisering!I140+Normalisering!I141</f>
        <v>0</v>
      </c>
    </row>
    <row r="11" spans="1:9" ht="15" customHeight="1" x14ac:dyDescent="0.7">
      <c r="A11" s="37" t="s">
        <v>463</v>
      </c>
      <c r="C11" s="55">
        <f t="shared" ref="C11:I11" si="0">C7+C8+C9+C10</f>
        <v>6526.4444917300798</v>
      </c>
      <c r="D11" s="55">
        <f t="shared" si="0"/>
        <v>0</v>
      </c>
      <c r="E11" s="55">
        <f t="shared" si="0"/>
        <v>0</v>
      </c>
      <c r="F11" s="55">
        <f t="shared" si="0"/>
        <v>0</v>
      </c>
      <c r="G11" s="55">
        <f t="shared" si="0"/>
        <v>0</v>
      </c>
      <c r="H11" s="55">
        <f t="shared" si="0"/>
        <v>0</v>
      </c>
      <c r="I11" s="55">
        <f t="shared" si="0"/>
        <v>6526.4444917300798</v>
      </c>
    </row>
    <row r="12" spans="1:9" ht="15" customHeight="1" x14ac:dyDescent="0.7">
      <c r="A12" s="37" t="s">
        <v>464</v>
      </c>
      <c r="C12" s="55">
        <f>SUMPRODUCT(Normalisering!C112:C119,Mätdata!$E$47:$E$54)/Byggnader!$C$10+SUMPRODUCT(Normalisering!C124:C131,Mätdata!$E$47:$E$54)+'Regler BFS 2026'!$B$4*(C9+Normalisering!C140)+'Regler BFS 2026'!$B$6*Normalisering!C141</f>
        <v>11747.600085114143</v>
      </c>
      <c r="D12" s="55">
        <f>SUMPRODUCT(Normalisering!D112:D119,Mätdata!$E$47:$E$54)/Byggnader!$C$10+SUMPRODUCT(Normalisering!D124:D131,Mätdata!$E$47:$E$54)+'Regler BFS 2026'!$B$4*(D9+Normalisering!D140)+'Regler BFS 2026'!$B$6*Normalisering!D141</f>
        <v>0</v>
      </c>
      <c r="E12" s="55">
        <f>SUMPRODUCT(Normalisering!E112:E119,Mätdata!$E$47:$E$54)/Byggnader!$C$10+SUMPRODUCT(Normalisering!E124:E131,Mätdata!$E$47:$E$54)+'Regler BFS 2026'!$B$4*(E9+Normalisering!E140)+'Regler BFS 2026'!$B$6*Normalisering!E141</f>
        <v>0</v>
      </c>
      <c r="F12" s="55">
        <f>SUMPRODUCT(Normalisering!F112:F119,Mätdata!$E$47:$E$54)/Byggnader!$C$10+SUMPRODUCT(Normalisering!F124:F131,Mätdata!$E$47:$E$54)+'Regler BFS 2026'!$B$4*(F9+Normalisering!F140)+'Regler BFS 2026'!$B$6*Normalisering!F141</f>
        <v>0</v>
      </c>
      <c r="G12" s="55">
        <f>SUMPRODUCT(Normalisering!G112:G119,Mätdata!$E$47:$E$54)/Byggnader!$C$10+SUMPRODUCT(Normalisering!G124:G131,Mätdata!$E$47:$E$54)+'Regler BFS 2026'!$B$4*(G9+Normalisering!G140)+'Regler BFS 2026'!$B$6*Normalisering!G141</f>
        <v>0</v>
      </c>
      <c r="H12" s="55">
        <f>SUMPRODUCT(Normalisering!H112:H119,Mätdata!$E$47:$E$54)/Byggnader!$C$10+SUMPRODUCT(Normalisering!H124:H131,Mätdata!$E$47:$E$54)+'Regler BFS 2026'!$B$4*(H9+Normalisering!H140)+'Regler BFS 2026'!$B$6*Normalisering!H141</f>
        <v>0</v>
      </c>
      <c r="I12" s="55">
        <f>SUMPRODUCT(Normalisering!I112:I119,Mätdata!$E$47:$E$54)/Byggnader!$C$10+SUMPRODUCT(Normalisering!I124:I131,Mätdata!$E$47:$E$54)+'Regler BFS 2026'!$B$4*(I9+Normalisering!I140)+'Regler BFS 2026'!$B$6*Normalisering!I141</f>
        <v>11747.600085114143</v>
      </c>
    </row>
    <row r="13" spans="1:9" ht="15" customHeight="1" x14ac:dyDescent="0.7">
      <c r="A13" s="16" t="s">
        <v>465</v>
      </c>
      <c r="C13" s="53" t="str">
        <f t="shared" ref="C13:I13" si="1">IF(C6=0,"",C12/C6)</f>
        <v/>
      </c>
      <c r="D13" s="53" t="str">
        <f t="shared" si="1"/>
        <v/>
      </c>
      <c r="E13" s="53" t="str">
        <f t="shared" si="1"/>
        <v/>
      </c>
      <c r="F13" s="53" t="str">
        <f t="shared" si="1"/>
        <v/>
      </c>
      <c r="G13" s="53" t="str">
        <f t="shared" si="1"/>
        <v/>
      </c>
      <c r="H13" s="53" t="str">
        <f t="shared" si="1"/>
        <v/>
      </c>
      <c r="I13" s="53" t="str">
        <f t="shared" si="1"/>
        <v/>
      </c>
    </row>
    <row r="14" spans="1:9" ht="15" customHeight="1" x14ac:dyDescent="0.7">
      <c r="A14" s="37" t="s">
        <v>466</v>
      </c>
      <c r="C14" s="53" t="str">
        <f t="shared" ref="C14:I14" si="2">IF(C6=0,"",C11/C6)</f>
        <v/>
      </c>
      <c r="D14" s="53" t="str">
        <f t="shared" si="2"/>
        <v/>
      </c>
      <c r="E14" s="53" t="str">
        <f t="shared" si="2"/>
        <v/>
      </c>
      <c r="F14" s="53" t="str">
        <f t="shared" si="2"/>
        <v/>
      </c>
      <c r="G14" s="53" t="str">
        <f t="shared" si="2"/>
        <v/>
      </c>
      <c r="H14" s="53" t="str">
        <f t="shared" si="2"/>
        <v/>
      </c>
      <c r="I14" s="53" t="str">
        <f t="shared" si="2"/>
        <v/>
      </c>
    </row>
    <row r="16" spans="1:9" ht="15" customHeight="1" x14ac:dyDescent="0.7">
      <c r="A16" s="16" t="s">
        <v>467</v>
      </c>
    </row>
    <row r="17" spans="1:9" ht="15" customHeight="1" x14ac:dyDescent="0.7">
      <c r="A17" s="37" t="s">
        <v>468</v>
      </c>
      <c r="C17" s="53" t="str">
        <f>IF(Normalisering!C$38=0,"",(SUMPRODUCT(Normalisering!C$27:C$37,'Regler BFS 2026'!$F$12:$F$22)+Byggnader!$C$7*SUMPRODUCT(Normalisering!C$27:C$37,'Regler BFS 2026'!$G$12:$G$22))/Normalisering!C$38)</f>
        <v/>
      </c>
      <c r="D17" s="53" t="str">
        <f>IF(Normalisering!D$38=0,"",(SUMPRODUCT(Normalisering!D$27:D$37,'Regler BFS 2026'!$F$12:$F$22)+Byggnader!$C$7*SUMPRODUCT(Normalisering!D$27:D$37,'Regler BFS 2026'!$G$12:$G$22))/Normalisering!D$38)</f>
        <v/>
      </c>
      <c r="E17" s="53" t="str">
        <f>IF(Normalisering!E$38=0,"",(SUMPRODUCT(Normalisering!E$27:E$37,'Regler BFS 2026'!$F$12:$F$22)+Byggnader!$C$7*SUMPRODUCT(Normalisering!E$27:E$37,'Regler BFS 2026'!$G$12:$G$22))/Normalisering!E$38)</f>
        <v/>
      </c>
      <c r="F17" s="53" t="str">
        <f>IF(Normalisering!F$38=0,"",(SUMPRODUCT(Normalisering!F$27:F$37,'Regler BFS 2026'!$F$12:$F$22)+Byggnader!$C$7*SUMPRODUCT(Normalisering!F$27:F$37,'Regler BFS 2026'!$G$12:$G$22))/Normalisering!F$38)</f>
        <v/>
      </c>
      <c r="G17" s="53" t="str">
        <f>IF(Normalisering!G$38=0,"",(SUMPRODUCT(Normalisering!G$27:G$37,'Regler BFS 2026'!$F$12:$F$22)+Byggnader!$C$7*SUMPRODUCT(Normalisering!G$27:G$37,'Regler BFS 2026'!$G$12:$G$22))/Normalisering!G$38)</f>
        <v/>
      </c>
      <c r="H17" s="53" t="str">
        <f>IF(Normalisering!H$38=0,"",(SUMPRODUCT(Normalisering!H$27:H$37,'Regler BFS 2026'!$F$12:$F$22)+Byggnader!$C$7*SUMPRODUCT(Normalisering!H$27:H$37,'Regler BFS 2026'!$G$12:$G$22))/Normalisering!H$38)</f>
        <v/>
      </c>
      <c r="I17" s="53" t="str">
        <f>IF(Normalisering!I$38=0,"",(SUMPRODUCT(Normalisering!I$27:I$37,'Regler BFS 2026'!$F$12:$F$22)+Byggnader!$C$7*SUMPRODUCT(Normalisering!I$27:I$37,'Regler BFS 2026'!$G$12:$G$22))/Normalisering!I$38)</f>
        <v/>
      </c>
    </row>
    <row r="18" spans="1:9" ht="15" customHeight="1" x14ac:dyDescent="0.7">
      <c r="A18" s="37" t="s">
        <v>469</v>
      </c>
      <c r="C18" s="53" t="str">
        <f>IF(Normalisering!C$38=0,"",(SUMPRODUCT(Normalisering!C$27:C$37,'Regler BFS 2026'!$H$12:$H$22)+Byggnader!$C$7*SUMPRODUCT(Normalisering!C$27:C$37,'Regler BFS 2026'!$I$12:$I$22))/Normalisering!C$38)</f>
        <v/>
      </c>
      <c r="D18" s="53" t="str">
        <f>IF(Normalisering!D$38=0,"",(SUMPRODUCT(Normalisering!D$27:D$37,'Regler BFS 2026'!$H$12:$H$22)+Byggnader!$C$7*SUMPRODUCT(Normalisering!D$27:D$37,'Regler BFS 2026'!$I$12:$I$22))/Normalisering!D$38)</f>
        <v/>
      </c>
      <c r="E18" s="53" t="str">
        <f>IF(Normalisering!E$38=0,"",(SUMPRODUCT(Normalisering!E$27:E$37,'Regler BFS 2026'!$H$12:$H$22)+Byggnader!$C$7*SUMPRODUCT(Normalisering!E$27:E$37,'Regler BFS 2026'!$I$12:$I$22))/Normalisering!E$38)</f>
        <v/>
      </c>
      <c r="F18" s="53" t="str">
        <f>IF(Normalisering!F$38=0,"",(SUMPRODUCT(Normalisering!F$27:F$37,'Regler BFS 2026'!$H$12:$H$22)+Byggnader!$C$7*SUMPRODUCT(Normalisering!F$27:F$37,'Regler BFS 2026'!$I$12:$I$22))/Normalisering!F$38)</f>
        <v/>
      </c>
      <c r="G18" s="53" t="str">
        <f>IF(Normalisering!G$38=0,"",(SUMPRODUCT(Normalisering!G$27:G$37,'Regler BFS 2026'!$H$12:$H$22)+Byggnader!$C$7*SUMPRODUCT(Normalisering!G$27:G$37,'Regler BFS 2026'!$I$12:$I$22))/Normalisering!G$38)</f>
        <v/>
      </c>
      <c r="H18" s="53" t="str">
        <f>IF(Normalisering!H$38=0,"",(SUMPRODUCT(Normalisering!H$27:H$37,'Regler BFS 2026'!$H$12:$H$22)+Byggnader!$C$7*SUMPRODUCT(Normalisering!H$27:H$37,'Regler BFS 2026'!$I$12:$I$22))/Normalisering!H$38)</f>
        <v/>
      </c>
      <c r="I18" s="53" t="str">
        <f>IF(Normalisering!I$38=0,"",(SUMPRODUCT(Normalisering!I$27:I$37,'Regler BFS 2026'!$H$12:$H$22)+Byggnader!$C$7*SUMPRODUCT(Normalisering!I$27:I$37,'Regler BFS 2026'!$I$12:$I$22))/Normalisering!I$38)</f>
        <v/>
      </c>
    </row>
    <row r="19" spans="1:9" ht="15" customHeight="1" x14ac:dyDescent="0.7">
      <c r="A19" s="37" t="s">
        <v>470</v>
      </c>
      <c r="C19" s="53" t="str">
        <f>IF(Normalisering!C$38=0,"",(SUMPRODUCT(Normalisering!C$27:C$37,'Regler BFS 2026'!$J$12:$J$22)+Byggnader!$C$7*SUMPRODUCT(Normalisering!C$27:C$37,'Regler BFS 2026'!$K$12:$K$22))/Normalisering!C$38)</f>
        <v/>
      </c>
      <c r="D19" s="53" t="str">
        <f>IF(Normalisering!D$38=0,"",(SUMPRODUCT(Normalisering!D$27:D$37,'Regler BFS 2026'!$J$12:$J$22)+Byggnader!$C$7*SUMPRODUCT(Normalisering!D$27:D$37,'Regler BFS 2026'!$K$12:$K$22))/Normalisering!D$38)</f>
        <v/>
      </c>
      <c r="E19" s="53" t="str">
        <f>IF(Normalisering!E$38=0,"",(SUMPRODUCT(Normalisering!E$27:E$37,'Regler BFS 2026'!$J$12:$J$22)+Byggnader!$C$7*SUMPRODUCT(Normalisering!E$27:E$37,'Regler BFS 2026'!$K$12:$K$22))/Normalisering!E$38)</f>
        <v/>
      </c>
      <c r="F19" s="53" t="str">
        <f>IF(Normalisering!F$38=0,"",(SUMPRODUCT(Normalisering!F$27:F$37,'Regler BFS 2026'!$J$12:$J$22)+Byggnader!$C$7*SUMPRODUCT(Normalisering!F$27:F$37,'Regler BFS 2026'!$K$12:$K$22))/Normalisering!F$38)</f>
        <v/>
      </c>
      <c r="G19" s="53" t="str">
        <f>IF(Normalisering!G$38=0,"",(SUMPRODUCT(Normalisering!G$27:G$37,'Regler BFS 2026'!$J$12:$J$22)+Byggnader!$C$7*SUMPRODUCT(Normalisering!G$27:G$37,'Regler BFS 2026'!$K$12:$K$22))/Normalisering!G$38)</f>
        <v/>
      </c>
      <c r="H19" s="53" t="str">
        <f>IF(Normalisering!H$38=0,"",(SUMPRODUCT(Normalisering!H$27:H$37,'Regler BFS 2026'!$J$12:$J$22)+Byggnader!$C$7*SUMPRODUCT(Normalisering!H$27:H$37,'Regler BFS 2026'!$K$12:$K$22))/Normalisering!H$38)</f>
        <v/>
      </c>
      <c r="I19" s="53" t="str">
        <f>IF(Normalisering!I$38=0,"",(SUMPRODUCT(Normalisering!I$27:I$37,'Regler BFS 2026'!$J$12:$J$22)+Byggnader!$C$7*SUMPRODUCT(Normalisering!I$27:I$37,'Regler BFS 2026'!$K$12:$K$22))/Normalisering!I$38)</f>
        <v/>
      </c>
    </row>
    <row r="20" spans="1:9" ht="15" customHeight="1" x14ac:dyDescent="0.7">
      <c r="A20" s="37" t="s">
        <v>471</v>
      </c>
      <c r="C20" s="53" t="str">
        <f>IF(Normalisering!C$38=0,"",(SUMPRODUCT(Normalisering!C$27:C$37,'Regler BFS 2026'!$L$12:$L$22)+Byggnader!$C$7*SUMPRODUCT(Normalisering!C$27:C$37,'Regler BFS 2026'!$M$12:$M$22))/Normalisering!C$38)</f>
        <v/>
      </c>
      <c r="D20" s="53" t="str">
        <f>IF(Normalisering!D$38=0,"",(SUMPRODUCT(Normalisering!D$27:D$37,'Regler BFS 2026'!$L$12:$L$22)+Byggnader!$C$7*SUMPRODUCT(Normalisering!D$27:D$37,'Regler BFS 2026'!$M$12:$M$22))/Normalisering!D$38)</f>
        <v/>
      </c>
      <c r="E20" s="53" t="str">
        <f>IF(Normalisering!E$38=0,"",(SUMPRODUCT(Normalisering!E$27:E$37,'Regler BFS 2026'!$L$12:$L$22)+Byggnader!$C$7*SUMPRODUCT(Normalisering!E$27:E$37,'Regler BFS 2026'!$M$12:$M$22))/Normalisering!E$38)</f>
        <v/>
      </c>
      <c r="F20" s="53" t="str">
        <f>IF(Normalisering!F$38=0,"",(SUMPRODUCT(Normalisering!F$27:F$37,'Regler BFS 2026'!$L$12:$L$22)+Byggnader!$C$7*SUMPRODUCT(Normalisering!F$27:F$37,'Regler BFS 2026'!$M$12:$M$22))/Normalisering!F$38)</f>
        <v/>
      </c>
      <c r="G20" s="53" t="str">
        <f>IF(Normalisering!G$38=0,"",(SUMPRODUCT(Normalisering!G$27:G$37,'Regler BFS 2026'!$L$12:$L$22)+Byggnader!$C$7*SUMPRODUCT(Normalisering!G$27:G$37,'Regler BFS 2026'!$M$12:$M$22))/Normalisering!G$38)</f>
        <v/>
      </c>
      <c r="H20" s="53" t="str">
        <f>IF(Normalisering!H$38=0,"",(SUMPRODUCT(Normalisering!H$27:H$37,'Regler BFS 2026'!$L$12:$L$22)+Byggnader!$C$7*SUMPRODUCT(Normalisering!H$27:H$37,'Regler BFS 2026'!$M$12:$M$22))/Normalisering!H$38)</f>
        <v/>
      </c>
      <c r="I20" s="53" t="str">
        <f>IF(Normalisering!I$38=0,"",(SUMPRODUCT(Normalisering!I$27:I$37,'Regler BFS 2026'!$L$12:$L$22)+Byggnader!$C$7*SUMPRODUCT(Normalisering!I$27:I$37,'Regler BFS 2026'!$M$12:$M$22))/Normalisering!I$38)</f>
        <v/>
      </c>
    </row>
    <row r="21" spans="1:9" ht="15" customHeight="1" x14ac:dyDescent="0.7">
      <c r="A21" s="37" t="s">
        <v>472</v>
      </c>
      <c r="C21" s="53" t="str">
        <f>IF(Normalisering!C$38=0,"",(SUMPRODUCT(Normalisering!C$27:C$37,'Regler BFS 2026'!$N$12:$N$22)+Byggnader!$C$7*SUMPRODUCT(Normalisering!C$27:C$37,'Regler BFS 2026'!$O$12:$O$22))/Normalisering!C$38)</f>
        <v/>
      </c>
      <c r="D21" s="53" t="str">
        <f>IF(Normalisering!D$38=0,"",(SUMPRODUCT(Normalisering!D$27:D$37,'Regler BFS 2026'!$N$12:$N$22)+Byggnader!$C$7*SUMPRODUCT(Normalisering!D$27:D$37,'Regler BFS 2026'!$O$12:$O$22))/Normalisering!D$38)</f>
        <v/>
      </c>
      <c r="E21" s="53" t="str">
        <f>IF(Normalisering!E$38=0,"",(SUMPRODUCT(Normalisering!E$27:E$37,'Regler BFS 2026'!$N$12:$N$22)+Byggnader!$C$7*SUMPRODUCT(Normalisering!E$27:E$37,'Regler BFS 2026'!$O$12:$O$22))/Normalisering!E$38)</f>
        <v/>
      </c>
      <c r="F21" s="53" t="str">
        <f>IF(Normalisering!F$38=0,"",(SUMPRODUCT(Normalisering!F$27:F$37,'Regler BFS 2026'!$N$12:$N$22)+Byggnader!$C$7*SUMPRODUCT(Normalisering!F$27:F$37,'Regler BFS 2026'!$O$12:$O$22))/Normalisering!F$38)</f>
        <v/>
      </c>
      <c r="G21" s="53" t="str">
        <f>IF(Normalisering!G$38=0,"",(SUMPRODUCT(Normalisering!G$27:G$37,'Regler BFS 2026'!$N$12:$N$22)+Byggnader!$C$7*SUMPRODUCT(Normalisering!G$27:G$37,'Regler BFS 2026'!$O$12:$O$22))/Normalisering!G$38)</f>
        <v/>
      </c>
      <c r="H21" s="53" t="str">
        <f>IF(Normalisering!H$38=0,"",(SUMPRODUCT(Normalisering!H$27:H$37,'Regler BFS 2026'!$N$12:$N$22)+Byggnader!$C$7*SUMPRODUCT(Normalisering!H$27:H$37,'Regler BFS 2026'!$O$12:$O$22))/Normalisering!H$38)</f>
        <v/>
      </c>
      <c r="I21" s="53" t="str">
        <f>IF(Normalisering!I$38=0,"",(SUMPRODUCT(Normalisering!I$27:I$37,'Regler BFS 2026'!$N$12:$N$22)+Byggnader!$C$7*SUMPRODUCT(Normalisering!I$27:I$37,'Regler BFS 2026'!$O$12:$O$22))/Normalisering!I$38)</f>
        <v/>
      </c>
    </row>
    <row r="22" spans="1:9" ht="15" customHeight="1" x14ac:dyDescent="0.7">
      <c r="A22" s="37" t="s">
        <v>473</v>
      </c>
      <c r="C22" s="53" t="str">
        <f>IF(Normalisering!C$38=0,"",(SUMPRODUCT(Normalisering!C$27:C$37,'Regler BFS 2026'!$P$12:$P$22)+Byggnader!$C$7*SUMPRODUCT(Normalisering!C$27:C$37,'Regler BFS 2026'!$Q$12:$Q$22))/Normalisering!C$38)</f>
        <v/>
      </c>
      <c r="D22" s="53" t="str">
        <f>IF(Normalisering!D$38=0,"",(SUMPRODUCT(Normalisering!D$27:D$37,'Regler BFS 2026'!$P$12:$P$22)+Byggnader!$C$7*SUMPRODUCT(Normalisering!D$27:D$37,'Regler BFS 2026'!$Q$12:$Q$22))/Normalisering!D$38)</f>
        <v/>
      </c>
      <c r="E22" s="53" t="str">
        <f>IF(Normalisering!E$38=0,"",(SUMPRODUCT(Normalisering!E$27:E$37,'Regler BFS 2026'!$P$12:$P$22)+Byggnader!$C$7*SUMPRODUCT(Normalisering!E$27:E$37,'Regler BFS 2026'!$Q$12:$Q$22))/Normalisering!E$38)</f>
        <v/>
      </c>
      <c r="F22" s="53" t="str">
        <f>IF(Normalisering!F$38=0,"",(SUMPRODUCT(Normalisering!F$27:F$37,'Regler BFS 2026'!$P$12:$P$22)+Byggnader!$C$7*SUMPRODUCT(Normalisering!F$27:F$37,'Regler BFS 2026'!$Q$12:$Q$22))/Normalisering!F$38)</f>
        <v/>
      </c>
      <c r="G22" s="53" t="str">
        <f>IF(Normalisering!G$38=0,"",(SUMPRODUCT(Normalisering!G$27:G$37,'Regler BFS 2026'!$P$12:$P$22)+Byggnader!$C$7*SUMPRODUCT(Normalisering!G$27:G$37,'Regler BFS 2026'!$Q$12:$Q$22))/Normalisering!G$38)</f>
        <v/>
      </c>
      <c r="H22" s="53" t="str">
        <f>IF(Normalisering!H$38=0,"",(SUMPRODUCT(Normalisering!H$27:H$37,'Regler BFS 2026'!$P$12:$P$22)+Byggnader!$C$7*SUMPRODUCT(Normalisering!H$27:H$37,'Regler BFS 2026'!$Q$12:$Q$22))/Normalisering!H$38)</f>
        <v/>
      </c>
      <c r="I22" s="53" t="str">
        <f>IF(Normalisering!I$38=0,"",(SUMPRODUCT(Normalisering!I$27:I$37,'Regler BFS 2026'!$P$12:$P$22)+Byggnader!$C$7*SUMPRODUCT(Normalisering!I$27:I$37,'Regler BFS 2026'!$Q$12:$Q$22))/Normalisering!I$38)</f>
        <v/>
      </c>
    </row>
    <row r="24" spans="1:9" ht="15" customHeight="1" x14ac:dyDescent="0.7">
      <c r="A24" s="16" t="s">
        <v>474</v>
      </c>
      <c r="C24" s="68" t="str">
        <f t="shared" ref="C24:I24" si="3">IF(C13="","",IF(C13&lt;=C17,"A",IF(C13&lt;=C18,"B",IF(C13&lt;=C19,"C",IF(C13&lt;=C20,"D",IF(C13&lt;=C21,"E",IF(C13&lt;=C22,"F","G")))))))</f>
        <v/>
      </c>
      <c r="D24" s="68" t="str">
        <f t="shared" si="3"/>
        <v/>
      </c>
      <c r="E24" s="68" t="str">
        <f t="shared" si="3"/>
        <v/>
      </c>
      <c r="F24" s="68" t="str">
        <f t="shared" si="3"/>
        <v/>
      </c>
      <c r="G24" s="68" t="str">
        <f t="shared" si="3"/>
        <v/>
      </c>
      <c r="H24" s="68" t="str">
        <f t="shared" si="3"/>
        <v/>
      </c>
      <c r="I24" s="68" t="str">
        <f t="shared" si="3"/>
        <v/>
      </c>
    </row>
    <row r="25" spans="1:9" ht="15" customHeight="1" x14ac:dyDescent="0.7">
      <c r="A25" s="37" t="s">
        <v>475</v>
      </c>
      <c r="C25" s="68" t="str">
        <f>IF(C6=0,"",IF(Normalisering!C60+Normalisering!C61&gt;0,"Ja","Nej"))</f>
        <v/>
      </c>
      <c r="D25" s="68" t="str">
        <f>IF(D6=0,"",IF(Normalisering!D60+Normalisering!D61&gt;0,"Ja","Nej"))</f>
        <v/>
      </c>
      <c r="E25" s="68" t="str">
        <f>IF(E6=0,"",IF(Normalisering!E60+Normalisering!E61&gt;0,"Ja","Nej"))</f>
        <v/>
      </c>
      <c r="F25" s="68" t="str">
        <f>IF(F6=0,"",IF(Normalisering!F60+Normalisering!F61&gt;0,"Ja","Nej"))</f>
        <v/>
      </c>
      <c r="G25" s="68" t="str">
        <f>IF(G6=0,"",IF(Normalisering!G60+Normalisering!G61&gt;0,"Ja","Nej"))</f>
        <v/>
      </c>
      <c r="H25" s="68" t="str">
        <f>IF(H6=0,"",IF(Normalisering!H60+Normalisering!H61&gt;0,"Ja","Nej"))</f>
        <v/>
      </c>
      <c r="I25" s="68" t="str">
        <f>IF(I6=0,"",IF(Normalisering!I60+Normalisering!I61&gt;0,"Ja","Nej"))</f>
        <v/>
      </c>
    </row>
    <row r="26" spans="1:9" ht="15" customHeight="1" x14ac:dyDescent="0.7">
      <c r="A26" s="37" t="s">
        <v>476</v>
      </c>
      <c r="C26" s="68" t="str">
        <f t="shared" ref="C26:I26" si="4">IF(C13="","",IF(C25="Ja","Ej uppfyllt (fossilt)",IF(C13&lt;=C18,"Uppfyllt","Ej uppfyllt")))</f>
        <v/>
      </c>
      <c r="D26" s="68" t="str">
        <f t="shared" si="4"/>
        <v/>
      </c>
      <c r="E26" s="68" t="str">
        <f t="shared" si="4"/>
        <v/>
      </c>
      <c r="F26" s="68" t="str">
        <f t="shared" si="4"/>
        <v/>
      </c>
      <c r="G26" s="68" t="str">
        <f t="shared" si="4"/>
        <v/>
      </c>
      <c r="H26" s="68" t="str">
        <f t="shared" si="4"/>
        <v/>
      </c>
      <c r="I26" s="68" t="str">
        <f t="shared" si="4"/>
        <v/>
      </c>
    </row>
    <row r="27" spans="1:9" ht="15" customHeight="1" x14ac:dyDescent="0.7">
      <c r="A27" s="37" t="s">
        <v>477</v>
      </c>
      <c r="C27" s="53" t="str">
        <f t="shared" ref="C27:I28" si="5">C17</f>
        <v/>
      </c>
      <c r="D27" s="53" t="str">
        <f t="shared" si="5"/>
        <v/>
      </c>
      <c r="E27" s="53" t="str">
        <f t="shared" si="5"/>
        <v/>
      </c>
      <c r="F27" s="53" t="str">
        <f t="shared" si="5"/>
        <v/>
      </c>
      <c r="G27" s="53" t="str">
        <f t="shared" si="5"/>
        <v/>
      </c>
      <c r="H27" s="53" t="str">
        <f t="shared" si="5"/>
        <v/>
      </c>
      <c r="I27" s="53" t="str">
        <f t="shared" si="5"/>
        <v/>
      </c>
    </row>
    <row r="28" spans="1:9" ht="15" customHeight="1" x14ac:dyDescent="0.7">
      <c r="A28" s="37" t="s">
        <v>478</v>
      </c>
      <c r="C28" s="53" t="str">
        <f t="shared" si="5"/>
        <v/>
      </c>
      <c r="D28" s="53" t="str">
        <f t="shared" si="5"/>
        <v/>
      </c>
      <c r="E28" s="53" t="str">
        <f t="shared" si="5"/>
        <v/>
      </c>
      <c r="F28" s="53" t="str">
        <f t="shared" si="5"/>
        <v/>
      </c>
      <c r="G28" s="53" t="str">
        <f t="shared" si="5"/>
        <v/>
      </c>
      <c r="H28" s="53" t="str">
        <f t="shared" si="5"/>
        <v/>
      </c>
      <c r="I28" s="53" t="str">
        <f t="shared" si="5"/>
        <v/>
      </c>
    </row>
    <row r="29" spans="1:9" ht="15" customHeight="1" x14ac:dyDescent="0.7">
      <c r="A29" s="37" t="s">
        <v>479</v>
      </c>
      <c r="C29" s="53" t="str">
        <f>IF(Normalisering!C$38=0,"",(SUMPRODUCT(Normalisering!C$27:C$37,'Regler BFS 2026'!$R$12:$R$22)+Byggnader!$C$7*SUMPRODUCT(Normalisering!C$27:C$37,'Regler BFS 2026'!$S$12:$S$22))/Normalisering!C$38)</f>
        <v/>
      </c>
      <c r="D29" s="53" t="str">
        <f>IF(Normalisering!D$38=0,"",(SUMPRODUCT(Normalisering!D$27:D$37,'Regler BFS 2026'!$R$12:$R$22)+Byggnader!$C$7*SUMPRODUCT(Normalisering!D$27:D$37,'Regler BFS 2026'!$S$12:$S$22))/Normalisering!D$38)</f>
        <v/>
      </c>
      <c r="E29" s="53" t="str">
        <f>IF(Normalisering!E$38=0,"",(SUMPRODUCT(Normalisering!E$27:E$37,'Regler BFS 2026'!$R$12:$R$22)+Byggnader!$C$7*SUMPRODUCT(Normalisering!E$27:E$37,'Regler BFS 2026'!$S$12:$S$22))/Normalisering!E$38)</f>
        <v/>
      </c>
      <c r="F29" s="53" t="str">
        <f>IF(Normalisering!F$38=0,"",(SUMPRODUCT(Normalisering!F$27:F$37,'Regler BFS 2026'!$R$12:$R$22)+Byggnader!$C$7*SUMPRODUCT(Normalisering!F$27:F$37,'Regler BFS 2026'!$S$12:$S$22))/Normalisering!F$38)</f>
        <v/>
      </c>
      <c r="G29" s="53" t="str">
        <f>IF(Normalisering!G$38=0,"",(SUMPRODUCT(Normalisering!G$27:G$37,'Regler BFS 2026'!$R$12:$R$22)+Byggnader!$C$7*SUMPRODUCT(Normalisering!G$27:G$37,'Regler BFS 2026'!$S$12:$S$22))/Normalisering!G$38)</f>
        <v/>
      </c>
      <c r="H29" s="53" t="str">
        <f>IF(Normalisering!H$38=0,"",(SUMPRODUCT(Normalisering!H$27:H$37,'Regler BFS 2026'!$R$12:$R$22)+Byggnader!$C$7*SUMPRODUCT(Normalisering!H$27:H$37,'Regler BFS 2026'!$S$12:$S$22))/Normalisering!H$38)</f>
        <v/>
      </c>
      <c r="I29" s="53" t="str">
        <f>IF(Normalisering!I$38=0,"",(SUMPRODUCT(Normalisering!I$27:I$37,'Regler BFS 2026'!$R$12:$R$22)+Byggnader!$C$7*SUMPRODUCT(Normalisering!I$27:I$37,'Regler BFS 2026'!$S$12:$S$22))/Normalisering!I$38)</f>
        <v/>
      </c>
    </row>
    <row r="31" spans="1:9" ht="15" customHeight="1" x14ac:dyDescent="0.7">
      <c r="A31" s="45" t="s">
        <v>480</v>
      </c>
    </row>
    <row r="32" spans="1:9" ht="15" customHeight="1" x14ac:dyDescent="0.7">
      <c r="A32" s="37" t="s">
        <v>481</v>
      </c>
      <c r="C32" s="53" t="str">
        <f>IF(Byggnader!C51="","",Byggnader!C51)</f>
        <v/>
      </c>
      <c r="D32" s="53" t="str">
        <f>IF(Byggnader!D51="","",Byggnader!D51)</f>
        <v/>
      </c>
      <c r="E32" s="53" t="str">
        <f>IF(Byggnader!E51="","",Byggnader!E51)</f>
        <v/>
      </c>
      <c r="F32" s="53" t="str">
        <f>IF(Byggnader!F51="","",Byggnader!F51)</f>
        <v/>
      </c>
      <c r="G32" s="53" t="str">
        <f>IF(Byggnader!G51="","",Byggnader!G51)</f>
        <v/>
      </c>
      <c r="H32" s="53" t="str">
        <f>IF(Byggnader!H51="","",Byggnader!H51)</f>
        <v/>
      </c>
    </row>
    <row r="33" spans="1:8" ht="15" customHeight="1" x14ac:dyDescent="0.7">
      <c r="A33" s="37" t="s">
        <v>482</v>
      </c>
      <c r="C33" s="68" t="str">
        <f>IF(Byggnader!C52="","",Byggnader!C52)</f>
        <v/>
      </c>
      <c r="D33" s="68" t="str">
        <f>IF(Byggnader!D52="","",Byggnader!D52)</f>
        <v/>
      </c>
      <c r="E33" s="68" t="str">
        <f>IF(Byggnader!E52="","",Byggnader!E52)</f>
        <v/>
      </c>
      <c r="F33" s="68" t="str">
        <f>IF(Byggnader!F52="","",Byggnader!F52)</f>
        <v/>
      </c>
      <c r="G33" s="68" t="str">
        <f>IF(Byggnader!G52="","",Byggnader!G52)</f>
        <v/>
      </c>
      <c r="H33" s="68" t="str">
        <f>IF(Byggnader!H52="","",Byggnader!H52)</f>
        <v/>
      </c>
    </row>
    <row r="34" spans="1:8" ht="15" customHeight="1" x14ac:dyDescent="0.7">
      <c r="A34" s="37" t="s">
        <v>483</v>
      </c>
      <c r="C34" s="53" t="str">
        <f t="shared" ref="C34:H34" si="6">IF(OR(C13="",C32=""),"",C13-C32)</f>
        <v/>
      </c>
      <c r="D34" s="53" t="str">
        <f t="shared" si="6"/>
        <v/>
      </c>
      <c r="E34" s="53" t="str">
        <f t="shared" si="6"/>
        <v/>
      </c>
      <c r="F34" s="53" t="str">
        <f t="shared" si="6"/>
        <v/>
      </c>
      <c r="G34" s="53" t="str">
        <f t="shared" si="6"/>
        <v/>
      </c>
      <c r="H34" s="53" t="str">
        <f t="shared" si="6"/>
        <v/>
      </c>
    </row>
  </sheetData>
  <pageMargins left="0.75" right="0.75" top="1" bottom="1" header="0.511811023622047" footer="0.511811023622047"/>
  <pageSetup paperSize="9" orientation="portrait" horizontalDpi="300" verticalDpi="30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02"/>
  <sheetViews>
    <sheetView zoomScaleNormal="100" workbookViewId="0">
      <pane ySplit="6" topLeftCell="A32" activePane="bottomLeft" state="frozen"/>
      <selection pane="bottomLeft" activeCell="C57" sqref="C57"/>
    </sheetView>
  </sheetViews>
  <sheetFormatPr defaultColWidth="8.7265625" defaultRowHeight="14.5" x14ac:dyDescent="0.7"/>
  <cols>
    <col min="1" max="1" width="52" customWidth="1"/>
    <col min="2" max="4" width="18" customWidth="1"/>
    <col min="5" max="5" width="16" customWidth="1"/>
    <col min="6" max="6" width="62" customWidth="1"/>
  </cols>
  <sheetData>
    <row r="1" spans="1:4" ht="21.75" customHeight="1" x14ac:dyDescent="0.95">
      <c r="A1" s="15" t="s">
        <v>484</v>
      </c>
    </row>
    <row r="2" spans="1:4" ht="15" customHeight="1" x14ac:dyDescent="0.7">
      <c r="A2" s="18" t="s">
        <v>485</v>
      </c>
    </row>
    <row r="4" spans="1:4" ht="15" customHeight="1" x14ac:dyDescent="0.7">
      <c r="A4" s="16" t="s">
        <v>13</v>
      </c>
      <c r="B4" s="46" t="s">
        <v>53</v>
      </c>
    </row>
    <row r="5" spans="1:4" ht="15" customHeight="1" x14ac:dyDescent="0.7">
      <c r="A5" s="37" t="s">
        <v>486</v>
      </c>
      <c r="B5" s="53">
        <f>MATCH(B4,Byggnader!$C$12:$H$12,0)</f>
        <v>1</v>
      </c>
    </row>
    <row r="6" spans="1:4" ht="15" customHeight="1" x14ac:dyDescent="0.7">
      <c r="A6" s="37" t="s">
        <v>487</v>
      </c>
      <c r="B6" s="291" t="str">
        <f>INDEX(Byggnader!$C$13:$H$13,$B$5)&amp;IF(INDEX(Byggnader!$C$14:$H$14,$B$5)="",""," – "&amp;INDEX(Byggnader!$C$14:$H$14,$B$5))</f>
        <v/>
      </c>
      <c r="C6" s="291"/>
      <c r="D6" s="291"/>
    </row>
    <row r="8" spans="1:4" ht="15" customHeight="1" x14ac:dyDescent="0.7">
      <c r="A8" s="45" t="s">
        <v>488</v>
      </c>
    </row>
    <row r="9" spans="1:4" ht="15" customHeight="1" x14ac:dyDescent="0.7">
      <c r="A9" s="37" t="s">
        <v>489</v>
      </c>
      <c r="B9" s="55">
        <f>INDEX(Normalisering!$C$26:$H$26,$B$5)</f>
        <v>0</v>
      </c>
    </row>
    <row r="10" spans="1:4" ht="15" customHeight="1" x14ac:dyDescent="0.7">
      <c r="A10" s="37" t="s">
        <v>63</v>
      </c>
      <c r="B10" s="53" t="str">
        <f>IF(INDEX(Byggnader!$C$17:$H$17,$B$5)="","",INDEX(Byggnader!$C$17:$H$17,$B$5))</f>
        <v/>
      </c>
    </row>
    <row r="12" spans="1:4" ht="15" customHeight="1" x14ac:dyDescent="0.7">
      <c r="A12" s="45" t="s">
        <v>105</v>
      </c>
    </row>
    <row r="13" spans="1:4" ht="25.5" customHeight="1" x14ac:dyDescent="0.7">
      <c r="A13" s="50" t="s">
        <v>17</v>
      </c>
      <c r="B13" s="50" t="s">
        <v>490</v>
      </c>
    </row>
    <row r="14" spans="1:4" ht="15" customHeight="1" x14ac:dyDescent="0.7">
      <c r="A14" s="37" t="s">
        <v>62</v>
      </c>
      <c r="B14" s="63">
        <f>IFERROR((INDEX(Normalisering!$C$27:$H$27,$B$5))/INDEX(Normalisering!$C$38:$H$38,$B$5),0)</f>
        <v>0</v>
      </c>
    </row>
    <row r="15" spans="1:4" ht="15" customHeight="1" x14ac:dyDescent="0.7">
      <c r="A15" s="37" t="s">
        <v>491</v>
      </c>
      <c r="B15" s="63">
        <f>IFERROR((INDEX(Normalisering!$C$28:$H$28,$B$5)+INDEX(Normalisering!$C$29:$H$29,$B$5)+INDEX(Normalisering!$C$30:$H$30,$B$5))/INDEX(Normalisering!$C$38:$H$38,$B$5),0)</f>
        <v>0</v>
      </c>
    </row>
    <row r="16" spans="1:4" ht="15" customHeight="1" x14ac:dyDescent="0.7">
      <c r="A16" s="37" t="s">
        <v>68</v>
      </c>
      <c r="B16" s="63">
        <f>IFERROR((INDEX(Normalisering!$C$31:$H$31,$B$5))/INDEX(Normalisering!$C$38:$H$38,$B$5),0)</f>
        <v>0</v>
      </c>
    </row>
    <row r="17" spans="1:4" ht="15" customHeight="1" x14ac:dyDescent="0.7">
      <c r="A17" s="37" t="s">
        <v>69</v>
      </c>
      <c r="B17" s="63">
        <f>IFERROR((INDEX(Normalisering!$C$32:$H$32,$B$5))/INDEX(Normalisering!$C$38:$H$38,$B$5),0)</f>
        <v>0</v>
      </c>
    </row>
    <row r="18" spans="1:4" ht="15" customHeight="1" x14ac:dyDescent="0.7">
      <c r="A18" s="37" t="s">
        <v>70</v>
      </c>
      <c r="B18" s="63">
        <f>IFERROR((INDEX(Normalisering!$C$33:$H$33,$B$5))/INDEX(Normalisering!$C$38:$H$38,$B$5),0)</f>
        <v>0</v>
      </c>
    </row>
    <row r="19" spans="1:4" ht="15" customHeight="1" x14ac:dyDescent="0.7">
      <c r="A19" s="37" t="s">
        <v>71</v>
      </c>
      <c r="B19" s="63">
        <f>IFERROR((INDEX(Normalisering!$C$34:$H$34,$B$5))/INDEX(Normalisering!$C$38:$H$38,$B$5),0)</f>
        <v>0</v>
      </c>
    </row>
    <row r="20" spans="1:4" ht="15" customHeight="1" x14ac:dyDescent="0.7">
      <c r="A20" s="37" t="s">
        <v>72</v>
      </c>
      <c r="B20" s="63">
        <f>IFERROR((INDEX(Normalisering!$C$35:$H$35,$B$5))/INDEX(Normalisering!$C$38:$H$38,$B$5),0)</f>
        <v>0</v>
      </c>
    </row>
    <row r="21" spans="1:4" ht="15" customHeight="1" x14ac:dyDescent="0.7">
      <c r="A21" s="37" t="s">
        <v>73</v>
      </c>
      <c r="B21" s="63">
        <f>IFERROR((INDEX(Normalisering!$C$36:$H$36,$B$5))/INDEX(Normalisering!$C$38:$H$38,$B$5),0)</f>
        <v>0</v>
      </c>
    </row>
    <row r="22" spans="1:4" ht="15" customHeight="1" x14ac:dyDescent="0.7">
      <c r="A22" s="37" t="s">
        <v>74</v>
      </c>
      <c r="B22" s="63">
        <f>IFERROR((INDEX(Normalisering!$C$37:$H$37,$B$5))/INDEX(Normalisering!$C$38:$H$38,$B$5),0)</f>
        <v>0</v>
      </c>
    </row>
    <row r="23" spans="1:4" ht="15" customHeight="1" x14ac:dyDescent="0.7">
      <c r="A23" s="16" t="s">
        <v>24</v>
      </c>
      <c r="B23" s="63">
        <f>SUM(B14:B22)</f>
        <v>0</v>
      </c>
    </row>
    <row r="25" spans="1:4" ht="15" customHeight="1" x14ac:dyDescent="0.7">
      <c r="A25" s="45" t="s">
        <v>492</v>
      </c>
    </row>
    <row r="26" spans="1:4" ht="15" customHeight="1" x14ac:dyDescent="0.7">
      <c r="A26" s="37" t="s">
        <v>493</v>
      </c>
      <c r="B26" s="173">
        <f>Byggnader!C8</f>
        <v>0</v>
      </c>
    </row>
    <row r="27" spans="1:4" ht="15" customHeight="1" x14ac:dyDescent="0.7">
      <c r="A27" s="37" t="s">
        <v>494</v>
      </c>
      <c r="B27" s="173">
        <f>Byggnader!C9</f>
        <v>0</v>
      </c>
    </row>
    <row r="28" spans="1:4" ht="15" customHeight="1" x14ac:dyDescent="0.7">
      <c r="A28" s="37" t="s">
        <v>495</v>
      </c>
      <c r="B28" s="68" t="str">
        <f>Byggnader!C6</f>
        <v>Karlstad</v>
      </c>
    </row>
    <row r="30" spans="1:4" ht="15" customHeight="1" x14ac:dyDescent="0.7">
      <c r="A30" s="16" t="s">
        <v>496</v>
      </c>
    </row>
    <row r="31" spans="1:4" ht="25.5" customHeight="1" x14ac:dyDescent="0.7">
      <c r="A31" s="50" t="s">
        <v>497</v>
      </c>
      <c r="B31" s="50" t="s">
        <v>498</v>
      </c>
      <c r="C31" s="50" t="s">
        <v>156</v>
      </c>
      <c r="D31" s="50" t="s">
        <v>158</v>
      </c>
    </row>
    <row r="32" spans="1:4" ht="15" customHeight="1" x14ac:dyDescent="0.7">
      <c r="A32" s="174" t="str">
        <f>Mätdata!F47</f>
        <v>Fjärrvärme</v>
      </c>
      <c r="B32" s="55">
        <f>INDEX(Normalisering!$C$112:$H$112,$B$5)</f>
        <v>0</v>
      </c>
      <c r="C32" s="55">
        <f>INDEX(Normalisering!$C$81:$H$81,$B$5)</f>
        <v>0</v>
      </c>
      <c r="D32" s="172">
        <f>Mätdata!D47</f>
        <v>1</v>
      </c>
    </row>
    <row r="33" spans="1:4" ht="15" customHeight="1" x14ac:dyDescent="0.7">
      <c r="A33" s="174" t="str">
        <f>Mätdata!F48</f>
        <v>Värmepump – välj typ</v>
      </c>
      <c r="B33" s="55">
        <f>INDEX(Normalisering!$C$113:$H$113,$B$5)</f>
        <v>0</v>
      </c>
      <c r="C33" s="55">
        <f>INDEX(Normalisering!$C$82:$H$82,$B$5)</f>
        <v>0</v>
      </c>
      <c r="D33" s="172">
        <f>Mätdata!D48</f>
        <v>2.5</v>
      </c>
    </row>
    <row r="34" spans="1:4" ht="15" customHeight="1" x14ac:dyDescent="0.7">
      <c r="A34" s="174" t="str">
        <f>Mätdata!F49</f>
        <v>El – välj typ</v>
      </c>
      <c r="B34" s="55">
        <f>INDEX(Normalisering!$C$114:$H$114,$B$5)</f>
        <v>0</v>
      </c>
      <c r="C34" s="55">
        <f>INDEX(Normalisering!$C$83:$H$83,$B$5)</f>
        <v>0</v>
      </c>
      <c r="D34" s="172">
        <f>Mätdata!D49</f>
        <v>1</v>
      </c>
    </row>
    <row r="35" spans="1:4" ht="15" customHeight="1" x14ac:dyDescent="0.7">
      <c r="A35" s="174" t="str">
        <f>Mätdata!F50</f>
        <v>Olja</v>
      </c>
      <c r="B35" s="55">
        <f>INDEX(Normalisering!$C$115:$H$115,$B$5)</f>
        <v>0</v>
      </c>
      <c r="C35" s="55">
        <f>INDEX(Normalisering!$C$84:$H$84,$B$5)</f>
        <v>0</v>
      </c>
      <c r="D35" s="172">
        <f>Mätdata!D50</f>
        <v>0.85</v>
      </c>
    </row>
    <row r="36" spans="1:4" ht="15" customHeight="1" x14ac:dyDescent="0.7">
      <c r="A36" s="174" t="str">
        <f>Mätdata!F51</f>
        <v>Gas</v>
      </c>
      <c r="B36" s="55">
        <f>INDEX(Normalisering!$C$116:$H$116,$B$5)</f>
        <v>0</v>
      </c>
      <c r="C36" s="55">
        <f>INDEX(Normalisering!$C$85:$H$85,$B$5)</f>
        <v>0</v>
      </c>
      <c r="D36" s="172">
        <f>Mätdata!D51</f>
        <v>0.9</v>
      </c>
    </row>
    <row r="37" spans="1:4" ht="15" customHeight="1" x14ac:dyDescent="0.7">
      <c r="A37" s="174" t="str">
        <f>Mätdata!F52</f>
        <v>Flis/pellets/briketter</v>
      </c>
      <c r="B37" s="55">
        <f>INDEX(Normalisering!$C$117:$H$117,$B$5)</f>
        <v>0</v>
      </c>
      <c r="C37" s="55">
        <f>INDEX(Normalisering!$C$86:$H$86,$B$5)</f>
        <v>0</v>
      </c>
      <c r="D37" s="172">
        <f>Mätdata!D52</f>
        <v>0.85</v>
      </c>
    </row>
    <row r="38" spans="1:4" ht="15" customHeight="1" x14ac:dyDescent="0.7">
      <c r="A38" s="174" t="str">
        <f>Mätdata!F53</f>
        <v>Ved</v>
      </c>
      <c r="B38" s="55">
        <f>INDEX(Normalisering!$C$118:$H$118,$B$5)</f>
        <v>0</v>
      </c>
      <c r="C38" s="55">
        <f>INDEX(Normalisering!$C$87:$H$87,$B$5)</f>
        <v>0</v>
      </c>
      <c r="D38" s="172">
        <f>Mätdata!D53</f>
        <v>0.75</v>
      </c>
    </row>
    <row r="39" spans="1:4" ht="15" customHeight="1" x14ac:dyDescent="0.7">
      <c r="A39" s="174" t="str">
        <f>Mätdata!F54</f>
        <v>Övrigt biobränsle</v>
      </c>
      <c r="B39" s="55">
        <f>INDEX(Normalisering!$C$119:$H$119,$B$5)</f>
        <v>0</v>
      </c>
      <c r="C39" s="55">
        <f>INDEX(Normalisering!$C$88:$H$88,$B$5)</f>
        <v>0</v>
      </c>
      <c r="D39" s="172">
        <f>Mätdata!D54</f>
        <v>0.85</v>
      </c>
    </row>
    <row r="41" spans="1:4" ht="15" customHeight="1" x14ac:dyDescent="0.7">
      <c r="A41" s="16" t="s">
        <v>499</v>
      </c>
    </row>
    <row r="42" spans="1:4" ht="25.5" customHeight="1" x14ac:dyDescent="0.7">
      <c r="A42" s="50" t="s">
        <v>497</v>
      </c>
      <c r="B42" s="50" t="s">
        <v>498</v>
      </c>
      <c r="C42" s="50" t="s">
        <v>156</v>
      </c>
      <c r="D42" s="50" t="s">
        <v>158</v>
      </c>
    </row>
    <row r="43" spans="1:4" ht="15" customHeight="1" x14ac:dyDescent="0.7">
      <c r="A43" s="174" t="str">
        <f>Mätdata!F47</f>
        <v>Fjärrvärme</v>
      </c>
      <c r="B43" s="55">
        <f>INDEX(Normalisering!$C$124:$H$124,$B$5)</f>
        <v>0</v>
      </c>
      <c r="C43" s="55">
        <f>INDEX(Normalisering!$C$69:$H$69,$B$5)</f>
        <v>0</v>
      </c>
      <c r="D43" s="172">
        <f>Mätdata!D47</f>
        <v>1</v>
      </c>
    </row>
    <row r="44" spans="1:4" ht="15" customHeight="1" x14ac:dyDescent="0.7">
      <c r="A44" s="174" t="str">
        <f>Mätdata!F48</f>
        <v>Värmepump – välj typ</v>
      </c>
      <c r="B44" s="55">
        <f>INDEX(Normalisering!$C$125:$H$125,$B$5)</f>
        <v>0</v>
      </c>
      <c r="C44" s="55">
        <f>INDEX(Normalisering!$C$70:$H$70,$B$5)</f>
        <v>0</v>
      </c>
      <c r="D44" s="172">
        <f>Mätdata!D48</f>
        <v>2.5</v>
      </c>
    </row>
    <row r="45" spans="1:4" ht="15" customHeight="1" x14ac:dyDescent="0.7">
      <c r="A45" s="174" t="str">
        <f>Mätdata!F49</f>
        <v>El – välj typ</v>
      </c>
      <c r="B45" s="55">
        <f>INDEX(Normalisering!$C$126:$H$126,$B$5)</f>
        <v>0</v>
      </c>
      <c r="C45" s="55">
        <f>INDEX(Normalisering!$C$71:$H$71,$B$5)</f>
        <v>0</v>
      </c>
      <c r="D45" s="172">
        <f>Mätdata!D49</f>
        <v>1</v>
      </c>
    </row>
    <row r="46" spans="1:4" ht="15" customHeight="1" x14ac:dyDescent="0.7">
      <c r="A46" s="174" t="str">
        <f>Mätdata!F50</f>
        <v>Olja</v>
      </c>
      <c r="B46" s="55">
        <f>INDEX(Normalisering!$C$127:$H$127,$B$5)</f>
        <v>0</v>
      </c>
      <c r="C46" s="55">
        <f>INDEX(Normalisering!$C$72:$H$72,$B$5)</f>
        <v>0</v>
      </c>
      <c r="D46" s="172">
        <f>Mätdata!D50</f>
        <v>0.85</v>
      </c>
    </row>
    <row r="47" spans="1:4" ht="15" customHeight="1" x14ac:dyDescent="0.7">
      <c r="A47" s="174" t="str">
        <f>Mätdata!F51</f>
        <v>Gas</v>
      </c>
      <c r="B47" s="55">
        <f>INDEX(Normalisering!$C$128:$H$128,$B$5)</f>
        <v>0</v>
      </c>
      <c r="C47" s="55">
        <f>INDEX(Normalisering!$C$73:$H$73,$B$5)</f>
        <v>0</v>
      </c>
      <c r="D47" s="172">
        <f>Mätdata!D51</f>
        <v>0.9</v>
      </c>
    </row>
    <row r="48" spans="1:4" ht="15" customHeight="1" x14ac:dyDescent="0.7">
      <c r="A48" s="174" t="str">
        <f>Mätdata!F52</f>
        <v>Flis/pellets/briketter</v>
      </c>
      <c r="B48" s="55">
        <f>INDEX(Normalisering!$C$129:$H$129,$B$5)</f>
        <v>0</v>
      </c>
      <c r="C48" s="55">
        <f>INDEX(Normalisering!$C$74:$H$74,$B$5)</f>
        <v>0</v>
      </c>
      <c r="D48" s="172">
        <f>Mätdata!D52</f>
        <v>0.85</v>
      </c>
    </row>
    <row r="49" spans="1:4" ht="15" customHeight="1" x14ac:dyDescent="0.7">
      <c r="A49" s="174" t="str">
        <f>Mätdata!F53</f>
        <v>Ved</v>
      </c>
      <c r="B49" s="55">
        <f>INDEX(Normalisering!$C$130:$H$130,$B$5)</f>
        <v>0</v>
      </c>
      <c r="C49" s="55">
        <f>INDEX(Normalisering!$C$75:$H$75,$B$5)</f>
        <v>0</v>
      </c>
      <c r="D49" s="172">
        <f>Mätdata!D53</f>
        <v>0.75</v>
      </c>
    </row>
    <row r="50" spans="1:4" ht="15" customHeight="1" x14ac:dyDescent="0.7">
      <c r="A50" s="174" t="str">
        <f>Mätdata!F54</f>
        <v>Övrigt biobränsle</v>
      </c>
      <c r="B50" s="55">
        <f>INDEX(Normalisering!$C$131:$H$131,$B$5)</f>
        <v>0</v>
      </c>
      <c r="C50" s="55">
        <f>INDEX(Normalisering!$C$76:$H$76,$B$5)</f>
        <v>0</v>
      </c>
      <c r="D50" s="172">
        <f>Mätdata!D54</f>
        <v>0.85</v>
      </c>
    </row>
    <row r="52" spans="1:4" ht="15" customHeight="1" x14ac:dyDescent="0.7">
      <c r="A52" s="16" t="s">
        <v>500</v>
      </c>
    </row>
    <row r="53" spans="1:4" ht="25.5" customHeight="1" x14ac:dyDescent="0.7">
      <c r="A53" s="50" t="s">
        <v>497</v>
      </c>
      <c r="B53" s="50" t="s">
        <v>498</v>
      </c>
      <c r="C53" s="50" t="s">
        <v>156</v>
      </c>
      <c r="D53" s="50" t="s">
        <v>158</v>
      </c>
    </row>
    <row r="54" spans="1:4" ht="15" customHeight="1" x14ac:dyDescent="0.7">
      <c r="A54" s="37" t="s">
        <v>202</v>
      </c>
      <c r="B54" s="55">
        <f>INDEX(Normalisering!$C$140:$H$140,$B$5)</f>
        <v>0</v>
      </c>
      <c r="C54" s="55">
        <f>INDEX(Normalisering!$C$140:$H$140,$B$5)</f>
        <v>0</v>
      </c>
    </row>
    <row r="55" spans="1:4" ht="15" customHeight="1" x14ac:dyDescent="0.7">
      <c r="A55" s="37" t="s">
        <v>454</v>
      </c>
      <c r="B55" s="55">
        <f>INDEX(Normalisering!$C$141:$H$141,$B$5)</f>
        <v>0</v>
      </c>
      <c r="C55" s="55">
        <f>INDEX(Normalisering!$C$141:$H$141,$B$5)</f>
        <v>0</v>
      </c>
    </row>
    <row r="56" spans="1:4" ht="15" customHeight="1" x14ac:dyDescent="0.7">
      <c r="A56" s="37" t="s">
        <v>501</v>
      </c>
      <c r="B56" s="55">
        <f>INDEX(Normalisering!$C$139:$H$139,$B$5)</f>
        <v>6526.4444917300798</v>
      </c>
      <c r="C56" s="55">
        <f>INDEX(Normalisering!$C$139:$H$139,$B$5)</f>
        <v>6526.4444917300798</v>
      </c>
    </row>
    <row r="58" spans="1:4" ht="15" customHeight="1" x14ac:dyDescent="0.7">
      <c r="A58" s="16" t="s">
        <v>502</v>
      </c>
    </row>
    <row r="59" spans="1:4" ht="15" customHeight="1" x14ac:dyDescent="0.7">
      <c r="A59" s="37" t="s">
        <v>503</v>
      </c>
      <c r="B59" s="55">
        <f>INDEX(Normalisering!$C$138:$H$138,$B$5)+INDEX(Normalisering!$C$142:$H$142,$B$5)</f>
        <v>815.80556146625997</v>
      </c>
    </row>
    <row r="60" spans="1:4" ht="15" customHeight="1" x14ac:dyDescent="0.7">
      <c r="A60" s="37" t="s">
        <v>504</v>
      </c>
      <c r="B60" s="47">
        <f>INDEX(El!$C$14:$H$14,$B$5)</f>
        <v>5</v>
      </c>
      <c r="C60" s="55">
        <f>INDEX(El!$C$17:$H$17,$B$5)</f>
        <v>3000</v>
      </c>
      <c r="D60" s="60"/>
    </row>
    <row r="61" spans="1:4" ht="15" customHeight="1" x14ac:dyDescent="0.7">
      <c r="A61" s="16" t="s">
        <v>505</v>
      </c>
    </row>
    <row r="62" spans="1:4" ht="15" customHeight="1" x14ac:dyDescent="0.7">
      <c r="A62" s="37" t="s">
        <v>455</v>
      </c>
      <c r="B62" s="55">
        <f>INDEX(Normalisering!$C$143:$H$143,$B$5)</f>
        <v>6000</v>
      </c>
    </row>
    <row r="63" spans="1:4" ht="15" customHeight="1" x14ac:dyDescent="0.7">
      <c r="A63" s="37" t="s">
        <v>23</v>
      </c>
      <c r="B63" s="55">
        <f>INDEX(Normalisering!$C$144:$H$144,$B$5)</f>
        <v>9157.7499468036585</v>
      </c>
    </row>
    <row r="64" spans="1:4" ht="15" customHeight="1" x14ac:dyDescent="0.7">
      <c r="A64" s="37" t="s">
        <v>506</v>
      </c>
      <c r="B64" s="55">
        <f>INDEX(Normalisering!$C$145:$H$145,$B$5)</f>
        <v>0</v>
      </c>
    </row>
    <row r="66" spans="1:6" ht="15" customHeight="1" x14ac:dyDescent="0.7">
      <c r="A66" s="45" t="s">
        <v>507</v>
      </c>
    </row>
    <row r="67" spans="1:6" ht="15" customHeight="1" x14ac:dyDescent="0.7">
      <c r="A67" s="18" t="s">
        <v>508</v>
      </c>
    </row>
    <row r="68" spans="1:6" ht="15" customHeight="1" x14ac:dyDescent="0.7">
      <c r="A68" s="37" t="s">
        <v>509</v>
      </c>
      <c r="B68" s="53" t="str">
        <f>INDEX(Resultat!$C$13:$H$13,$B$5)</f>
        <v/>
      </c>
    </row>
    <row r="69" spans="1:6" ht="15" customHeight="1" x14ac:dyDescent="0.7">
      <c r="A69" s="37" t="s">
        <v>463</v>
      </c>
      <c r="B69" s="55">
        <f>INDEX(Resultat!$C$11:$H$11,$B$5)</f>
        <v>6526.4444917300798</v>
      </c>
    </row>
    <row r="70" spans="1:6" ht="15" customHeight="1" x14ac:dyDescent="0.7">
      <c r="A70" s="37" t="s">
        <v>464</v>
      </c>
      <c r="B70" s="55">
        <f>INDEX(Resultat!$C$12:$H$12,$B$5)</f>
        <v>11747.600085114143</v>
      </c>
    </row>
    <row r="71" spans="1:6" ht="15" customHeight="1" x14ac:dyDescent="0.7">
      <c r="A71" s="37" t="s">
        <v>510</v>
      </c>
      <c r="B71" s="53" t="str">
        <f>INDEX(Resultat!$C$27:$H$27,$B$5)</f>
        <v/>
      </c>
    </row>
    <row r="72" spans="1:6" ht="15" customHeight="1" x14ac:dyDescent="0.7">
      <c r="A72" s="37" t="s">
        <v>511</v>
      </c>
      <c r="B72" s="53" t="str">
        <f>INDEX(Resultat!$C$28:$H$28,$B$5)</f>
        <v/>
      </c>
    </row>
    <row r="73" spans="1:6" ht="15" customHeight="1" x14ac:dyDescent="0.7">
      <c r="A73" s="37" t="s">
        <v>93</v>
      </c>
      <c r="B73" s="68" t="str">
        <f>INDEX(Resultat!$C$24:$H$24,$B$5)</f>
        <v/>
      </c>
    </row>
    <row r="74" spans="1:6" ht="15" customHeight="1" x14ac:dyDescent="0.7">
      <c r="A74" s="37" t="s">
        <v>512</v>
      </c>
      <c r="B74" s="55">
        <f>INDEX(Normalisering!$C$120:$H$120,$B$5)+INDEX(Normalisering!$C$140:$H$140,$B$5)+INDEX(Normalisering!$C$141:$H$141,$B$5)</f>
        <v>0</v>
      </c>
    </row>
    <row r="76" spans="1:6" ht="15" customHeight="1" x14ac:dyDescent="0.7">
      <c r="A76" s="45" t="s">
        <v>513</v>
      </c>
    </row>
    <row r="77" spans="1:6" ht="25.5" customHeight="1" x14ac:dyDescent="0.7">
      <c r="A77" s="50" t="s">
        <v>514</v>
      </c>
      <c r="B77" s="50" t="s">
        <v>515</v>
      </c>
      <c r="C77" s="50" t="s">
        <v>516</v>
      </c>
      <c r="D77" s="50" t="s">
        <v>517</v>
      </c>
      <c r="E77" s="50" t="s">
        <v>518</v>
      </c>
      <c r="F77" s="50" t="s">
        <v>519</v>
      </c>
    </row>
    <row r="78" spans="1:6" ht="25.5" customHeight="1" x14ac:dyDescent="0.7">
      <c r="A78" s="37" t="s">
        <v>520</v>
      </c>
      <c r="B78" s="47">
        <f>INDEX(Normalisering!$C$14:$H$14,$B$5)</f>
        <v>21</v>
      </c>
      <c r="C78" s="47">
        <f>INDEX(Normalisering!$C$39:$H$39,$B$5)</f>
        <v>0</v>
      </c>
      <c r="D78" s="68" t="str">
        <f>INDEX(Normalisering!$C$19:$H$19,$B$5)</f>
        <v>Ja</v>
      </c>
      <c r="E78" s="47">
        <f>IFERROR(INDEX(Normalisering!$C$105:$H$105,$B$5)/$B$9,0)</f>
        <v>0</v>
      </c>
      <c r="F78" s="175" t="str">
        <f>IF(ABS(B78-C78)&lt;0.005,"Faktisk användning motsvarar kategoritypisk.",IF(D78="Ja","Normaliserat från "&amp;FIXED(B78,1)&amp;" till kategoritypiska "&amp;FIXED(C78,1)&amp;" °C. Påverkan "&amp;FIXED(E78,1)&amp;" kWh/m²,år.","Ej normaliserat, avvikelsen bedöms försumbar."))</f>
        <v>Normaliserat från 21,0 till kategoritypiska 0,0 °C. Påverkan 0,0 kWh/m²,år.</v>
      </c>
    </row>
    <row r="79" spans="1:6" ht="25.5" customHeight="1" x14ac:dyDescent="0.7">
      <c r="A79" s="37" t="s">
        <v>521</v>
      </c>
      <c r="B79" s="172">
        <f>INDEX(Normalisering!$C$15:$H$15,$B$5)</f>
        <v>0.35</v>
      </c>
      <c r="C79" s="172">
        <f>INDEX(Normalisering!$C$40:$H$40,$B$5)</f>
        <v>0</v>
      </c>
      <c r="D79" s="68" t="str">
        <f>INDEX(Normalisering!$C$20:$H$20,$B$5)</f>
        <v>Ja</v>
      </c>
      <c r="E79" s="47">
        <f>IFERROR(INDEX(Normalisering!$C$107:$H$107,$B$5)/$B$9,0)</f>
        <v>0</v>
      </c>
      <c r="F79" s="175" t="str">
        <f>IF(ABS(B79-C79)&lt;0.005,"Faktisk användning motsvarar kategoritypisk.",IF(D79="Ja","Normaliserat från "&amp;FIXED(B79,2)&amp;" till kategoritypiska "&amp;FIXED(C79,2)&amp;" l/s,m². Påverkan "&amp;FIXED(E79,1)&amp;" kWh/m²,år.","Ej normaliserat, avvikelsen bedöms försumbar."))</f>
        <v>Normaliserat från 0,35 till kategoritypiska 0,00 l/s,m². Påverkan 0,0 kWh/m²,år.</v>
      </c>
    </row>
    <row r="80" spans="1:6" ht="25.5" customHeight="1" x14ac:dyDescent="0.7">
      <c r="A80" s="37" t="s">
        <v>522</v>
      </c>
      <c r="B80" s="172">
        <f>INDEX(Normalisering!$C$49:$H$49,$B$5)</f>
        <v>0</v>
      </c>
      <c r="C80" s="172">
        <f>INDEX(Normalisering!$C$41:$H$41,$B$5)</f>
        <v>0</v>
      </c>
      <c r="D80" s="68" t="str">
        <f>INDEX(Normalisering!$C$21:$H$21,$B$5)</f>
        <v>Ja</v>
      </c>
      <c r="E80" s="47">
        <f>IFERROR(INDEX(Normalisering!$C$106:$H$106,$B$5)/$B$9,0)</f>
        <v>0</v>
      </c>
      <c r="F80" s="175" t="str">
        <f>IF(ABS(B80-C80)&lt;0.005,"Faktisk användning motsvarar kategoritypisk.",IF(D80="Ja","Normaliserat från "&amp;FIXED(B80,2)&amp;" till kategoritypiska "&amp;FIXED(C80,2)&amp;" W/m². Påverkan "&amp;FIXED(E80,1)&amp;" kWh/m²,år.","Ej normaliserat, avvikelsen bedöms försumbar."))</f>
        <v>Faktisk användning motsvarar kategoritypisk.</v>
      </c>
    </row>
    <row r="81" spans="1:6" ht="25.5" customHeight="1" x14ac:dyDescent="0.7">
      <c r="A81" s="37" t="s">
        <v>523</v>
      </c>
      <c r="B81" s="47">
        <f>INDEX(Normalisering!$C$52:$H$52,$B$5)</f>
        <v>0</v>
      </c>
      <c r="C81" s="47">
        <f>INDEX(Normalisering!$C$42:$H$42,$B$5)</f>
        <v>0</v>
      </c>
      <c r="D81" s="68" t="str">
        <f>INDEX(Normalisering!$C$22:$H$22,$B$5)</f>
        <v>Ja</v>
      </c>
      <c r="E81" s="47">
        <f>IFERROR((INDEX(Normalisering!$C$132:$H$132,$B$5)-INDEX(Normalisering!$C$77:$H$77,$B$5))/$B$9,0)</f>
        <v>0</v>
      </c>
      <c r="F81" s="175" t="str">
        <f>IF(ABS(B81-C81)&lt;0.005,"Faktisk användning motsvarar kategoritypisk.",IF(D81="Ja","Normaliserat från "&amp;FIXED(B81,1)&amp;" till kategoritypiska "&amp;FIXED(C81,1)&amp;" kWh/m². Påverkan "&amp;FIXED(E81,1)&amp;" kWh/m²,år.","Ej normaliserat, avvikelsen bedöms försumbar."))</f>
        <v>Faktisk användning motsvarar kategoritypisk.</v>
      </c>
    </row>
    <row r="83" spans="1:6" ht="15" customHeight="1" x14ac:dyDescent="0.7">
      <c r="A83" s="45" t="s">
        <v>524</v>
      </c>
    </row>
    <row r="84" spans="1:6" ht="15" customHeight="1" x14ac:dyDescent="0.7">
      <c r="A84" s="37" t="s">
        <v>525</v>
      </c>
      <c r="B84" s="53">
        <f>Besiktningsprotokoll!H30</f>
        <v>63.39</v>
      </c>
    </row>
    <row r="85" spans="1:6" ht="15" customHeight="1" x14ac:dyDescent="0.7">
      <c r="A85" s="37" t="s">
        <v>526</v>
      </c>
      <c r="B85" s="53">
        <f>Besiktningsprotokoll!B28*$B$9/1000</f>
        <v>0</v>
      </c>
    </row>
    <row r="87" spans="1:6" ht="15" customHeight="1" x14ac:dyDescent="0.7">
      <c r="A87" s="45" t="s">
        <v>527</v>
      </c>
    </row>
    <row r="88" spans="1:6" ht="25.5" customHeight="1" x14ac:dyDescent="0.7">
      <c r="A88" s="50" t="s">
        <v>31</v>
      </c>
      <c r="B88" s="50" t="s">
        <v>32</v>
      </c>
      <c r="C88" s="50" t="s">
        <v>528</v>
      </c>
      <c r="D88" s="50" t="s">
        <v>529</v>
      </c>
      <c r="E88" s="50" t="s">
        <v>530</v>
      </c>
    </row>
    <row r="89" spans="1:6" ht="15" customHeight="1" x14ac:dyDescent="0.7">
      <c r="A89" s="174" t="str">
        <f>'Installera bergvärme'!A1</f>
        <v>Bergvärme</v>
      </c>
      <c r="B89" s="68" t="str">
        <f>'Installera bergvärme'!B2</f>
        <v>Nej</v>
      </c>
      <c r="C89" s="55" t="str">
        <f>Sammanfattning!N19</f>
        <v/>
      </c>
      <c r="D89" s="55" t="str">
        <f>IF(B89="Ja",IFERROR(C89*INDEX(Byggnader!$C$33:$H$33,$B$5),0),"")</f>
        <v/>
      </c>
      <c r="E89" s="172" t="str">
        <f>IFERROR(IF(B89="Ja",'Installera bergvärme'!C43,""),"")</f>
        <v/>
      </c>
    </row>
    <row r="90" spans="1:6" ht="15" customHeight="1" x14ac:dyDescent="0.7">
      <c r="A90" s="174" t="str">
        <f>'Injustering av värmesystem'!A1</f>
        <v>Injustering av värmesystem</v>
      </c>
      <c r="B90" s="68" t="str">
        <f>'Injustering av värmesystem'!B2</f>
        <v>Nej</v>
      </c>
      <c r="C90" s="55" t="str">
        <f>Sammanfattning!N20</f>
        <v/>
      </c>
      <c r="D90" s="55" t="str">
        <f>IF(B90="Ja",IFERROR(C90*INDEX(Byggnader!$C$33:$H$33,$B$5),0),"")</f>
        <v/>
      </c>
      <c r="E90" s="172" t="str">
        <f>IFERROR(IF(B90="Ja",'Injustering av värmesystem'!C43,""),"")</f>
        <v/>
      </c>
    </row>
    <row r="91" spans="1:6" ht="15" customHeight="1" x14ac:dyDescent="0.7">
      <c r="A91" s="174" t="str">
        <f>'Styrsystem för värme'!A1</f>
        <v>Byte styrsystem för värme</v>
      </c>
      <c r="B91" s="68" t="str">
        <f>'Styrsystem för värme'!B2</f>
        <v>Nej</v>
      </c>
      <c r="C91" s="55" t="str">
        <f>Sammanfattning!N21</f>
        <v/>
      </c>
      <c r="D91" s="55" t="str">
        <f>IF(B91="Ja",IFERROR(C91*INDEX(Byggnader!$C$33:$H$33,$B$5),0),"")</f>
        <v/>
      </c>
      <c r="E91" s="172" t="str">
        <f>IFERROR(IF(B91="Ja",'Styrsystem för värme'!C43,""),"")</f>
        <v/>
      </c>
    </row>
    <row r="92" spans="1:6" ht="15" customHeight="1" x14ac:dyDescent="0.7">
      <c r="A92" s="174" t="str">
        <f>'Tilläggisolering av vindsbjälk'!A1</f>
        <v>Tilläggisolering av vindbjälklaget</v>
      </c>
      <c r="B92" s="68" t="str">
        <f>'Tilläggisolering av vindsbjälk'!B2</f>
        <v>Nej</v>
      </c>
      <c r="C92" s="55" t="str">
        <f>Sammanfattning!N22</f>
        <v/>
      </c>
      <c r="D92" s="55" t="str">
        <f>IF(B92="Ja",IFERROR(C92*INDEX(Byggnader!$C$33:$H$33,$B$5),0),"")</f>
        <v/>
      </c>
      <c r="E92" s="172" t="str">
        <f>IFERROR(IF(B92="Ja",'Tilläggisolering av vindsbjälk'!C43,""),"")</f>
        <v/>
      </c>
    </row>
    <row r="93" spans="1:6" ht="15" customHeight="1" x14ac:dyDescent="0.7">
      <c r="A93" s="174" t="str">
        <f>'Byte fönster'!A1</f>
        <v>Byte av fönster</v>
      </c>
      <c r="B93" s="68" t="str">
        <f>'Byte fönster'!B2</f>
        <v>Nej</v>
      </c>
      <c r="C93" s="55" t="str">
        <f>Sammanfattning!N23</f>
        <v/>
      </c>
      <c r="D93" s="55" t="str">
        <f>IF(B93="Ja",IFERROR(C93*INDEX(Byggnader!$C$33:$H$33,$B$5),0),"")</f>
        <v/>
      </c>
      <c r="E93" s="172" t="str">
        <f>IFERROR(IF(B93="Ja",'Byte fönster'!C43,""),"")</f>
        <v/>
      </c>
    </row>
    <row r="94" spans="1:6" ht="15" customHeight="1" x14ac:dyDescent="0.7">
      <c r="A94" s="174" t="str">
        <f>'Tilläggisol fasad'!A1</f>
        <v>Tilläggisolering av fasader</v>
      </c>
      <c r="B94" s="68" t="str">
        <f>'Tilläggisol fasad'!B2</f>
        <v>Nej</v>
      </c>
      <c r="C94" s="55" t="str">
        <f>Sammanfattning!N24</f>
        <v/>
      </c>
      <c r="D94" s="55" t="str">
        <f>IF(B94="Ja",IFERROR(C94*INDEX(Byggnader!$C$33:$H$33,$B$5),0),"")</f>
        <v/>
      </c>
      <c r="E94" s="172" t="str">
        <f>IFERROR(IF(B94="Ja",'Tilläggisol fasad'!C43,""),"")</f>
        <v/>
      </c>
    </row>
    <row r="95" spans="1:6" ht="15" customHeight="1" x14ac:dyDescent="0.7">
      <c r="A95" s="174" t="str">
        <f>'Installation F-återvinning'!A1</f>
        <v>Installation av frånluftsåtervinning</v>
      </c>
      <c r="B95" s="68" t="str">
        <f>'Installation F-återvinning'!B2</f>
        <v>Nej</v>
      </c>
      <c r="C95" s="55" t="str">
        <f>Sammanfattning!N25</f>
        <v/>
      </c>
      <c r="D95" s="55" t="str">
        <f>IF(B95="Ja",IFERROR(C95*INDEX(Byggnader!$C$33:$H$33,$B$5),0),"")</f>
        <v/>
      </c>
      <c r="E95" s="172" t="str">
        <f>IFERROR(IF(B95="Ja",'Installation F-återvinning'!C43,""),"")</f>
        <v/>
      </c>
    </row>
    <row r="96" spans="1:6" ht="15" customHeight="1" x14ac:dyDescent="0.7">
      <c r="A96" s="174" t="str">
        <f>'Installation av solceller'!A1</f>
        <v>Installation av solceller på taket</v>
      </c>
      <c r="B96" s="68" t="str">
        <f>'Installation av solceller'!B2</f>
        <v>Nej</v>
      </c>
      <c r="C96" s="55" t="str">
        <f>Sammanfattning!N26</f>
        <v/>
      </c>
      <c r="D96" s="55" t="str">
        <f>IF(B96="Ja",IFERROR(C96*INDEX(Byggnader!$C$33:$H$33,$B$5),0),"")</f>
        <v/>
      </c>
      <c r="E96" s="172" t="str">
        <f>IFERROR(IF(B96="Ja",'Installation av solceller'!C43,""),"")</f>
        <v/>
      </c>
    </row>
    <row r="97" spans="1:5" ht="15" customHeight="1" x14ac:dyDescent="0.7">
      <c r="A97" s="174" t="str">
        <f>'Byte av pump'!A1</f>
        <v>Byte av pump till tryckstyrd med bättre effektivitet</v>
      </c>
      <c r="B97" s="68" t="str">
        <f>'Byte av pump'!B2</f>
        <v>Nej</v>
      </c>
      <c r="C97" s="55" t="str">
        <f>Sammanfattning!N27</f>
        <v/>
      </c>
      <c r="D97" s="55" t="str">
        <f>IF(B97="Ja",IFERROR(C97*INDEX(Byggnader!$C$33:$H$33,$B$5),0),"")</f>
        <v/>
      </c>
      <c r="E97" s="172" t="str">
        <f>IFERROR(IF(B97="Ja",'Byte av pump'!C43,""),"")</f>
        <v/>
      </c>
    </row>
    <row r="98" spans="1:5" ht="15" customHeight="1" x14ac:dyDescent="0.7">
      <c r="A98" s="174" t="str">
        <f>'Byte av fläkt'!A1</f>
        <v>Byte av fläktar till tryckstyrd med bättre effektivitet</v>
      </c>
      <c r="B98" s="68" t="str">
        <f>'Byte av fläkt'!B2</f>
        <v>Nej</v>
      </c>
      <c r="C98" s="55" t="str">
        <f>Sammanfattning!N28</f>
        <v/>
      </c>
      <c r="D98" s="55" t="str">
        <f>IF(B98="Ja",IFERROR(C98*INDEX(Byggnader!$C$33:$H$33,$B$5),0),"")</f>
        <v/>
      </c>
      <c r="E98" s="172" t="str">
        <f>IFERROR(IF(B98="Ja",'Byte av fläkt'!C43,""),"")</f>
        <v/>
      </c>
    </row>
    <row r="99" spans="1:5" ht="15" customHeight="1" x14ac:dyDescent="0.7">
      <c r="A99" s="174" t="str">
        <f>'Övrig åtgärd'!A1</f>
        <v>Övrig åtgärd</v>
      </c>
      <c r="B99" s="68" t="str">
        <f>'Övrig åtgärd'!B2</f>
        <v>Nej</v>
      </c>
      <c r="C99" s="55" t="str">
        <f>Sammanfattning!N29</f>
        <v/>
      </c>
      <c r="D99" s="55" t="str">
        <f>IF(B99="Ja",IFERROR(C99*INDEX(Byggnader!$C$33:$H$33,$B$5),0),"")</f>
        <v/>
      </c>
      <c r="E99" s="172" t="str">
        <f>IFERROR(IF(B99="Ja",'Övrig åtgärd'!C43,""),"")</f>
        <v/>
      </c>
    </row>
    <row r="100" spans="1:5" ht="15" customHeight="1" x14ac:dyDescent="0.7">
      <c r="A100" s="45" t="s">
        <v>531</v>
      </c>
    </row>
    <row r="101" spans="1:5" ht="15" customHeight="1" x14ac:dyDescent="0.7">
      <c r="A101" s="37" t="s">
        <v>475</v>
      </c>
      <c r="B101" s="68" t="str">
        <f>INDEX(Resultat!$C$25:$H$25,$B$5)</f>
        <v/>
      </c>
    </row>
    <row r="102" spans="1:5" ht="15" customHeight="1" x14ac:dyDescent="0.7">
      <c r="A102" s="37" t="s">
        <v>532</v>
      </c>
      <c r="B102" s="68" t="str">
        <f>INDEX(Resultat!$C$26:$H$26,$B$5)</f>
        <v/>
      </c>
    </row>
  </sheetData>
  <mergeCells count="1">
    <mergeCell ref="B6:D6"/>
  </mergeCell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xr:uid="{00000000-0002-0000-0A00-000000000000}">
          <x14:formula1>
            <xm:f>Byggnader!$C$12:$H$12</xm:f>
          </x14:formula1>
          <x14:formula2>
            <xm:f>0</xm:f>
          </x14:formula2>
          <xm:sqref>B4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5:D96"/>
  <sheetViews>
    <sheetView zoomScaleNormal="100" workbookViewId="0">
      <selection activeCell="B33" sqref="B33"/>
    </sheetView>
  </sheetViews>
  <sheetFormatPr defaultColWidth="8.7265625" defaultRowHeight="14.5" x14ac:dyDescent="0.7"/>
  <cols>
    <col min="1" max="1" width="37.26953125" customWidth="1"/>
    <col min="2" max="2" width="13.86328125" customWidth="1"/>
    <col min="3" max="3" width="16.26953125" customWidth="1"/>
    <col min="4" max="4" width="19.26953125" customWidth="1"/>
  </cols>
  <sheetData>
    <row r="5" spans="1:4" ht="15.75" customHeight="1" x14ac:dyDescent="0.7"/>
    <row r="6" spans="1:4" ht="15" customHeight="1" x14ac:dyDescent="0.7">
      <c r="A6" s="176" t="s">
        <v>533</v>
      </c>
      <c r="B6" s="177"/>
      <c r="C6" s="177"/>
      <c r="D6" s="178"/>
    </row>
    <row r="7" spans="1:4" ht="15" customHeight="1" x14ac:dyDescent="0.7">
      <c r="A7" s="179" t="s">
        <v>534</v>
      </c>
      <c r="B7">
        <v>0.35</v>
      </c>
      <c r="D7" s="180"/>
    </row>
    <row r="8" spans="1:4" ht="15" customHeight="1" x14ac:dyDescent="0.7">
      <c r="A8" s="179" t="s">
        <v>535</v>
      </c>
      <c r="B8">
        <v>7</v>
      </c>
      <c r="D8" s="180"/>
    </row>
    <row r="9" spans="1:4" ht="15.75" customHeight="1" x14ac:dyDescent="0.7">
      <c r="A9" s="181" t="s">
        <v>536</v>
      </c>
      <c r="B9" s="182">
        <f>1/((1/B7)+B8)</f>
        <v>0.10144927536231883</v>
      </c>
      <c r="C9" s="183"/>
      <c r="D9" s="184"/>
    </row>
    <row r="10" spans="1:4" ht="15.75" customHeight="1" x14ac:dyDescent="0.7">
      <c r="B10" s="185"/>
    </row>
    <row r="11" spans="1:4" ht="15" customHeight="1" x14ac:dyDescent="0.7">
      <c r="A11" s="176" t="s">
        <v>537</v>
      </c>
      <c r="B11" s="186"/>
      <c r="C11" s="177"/>
      <c r="D11" s="178"/>
    </row>
    <row r="12" spans="1:4" ht="15" customHeight="1" x14ac:dyDescent="0.7">
      <c r="A12" s="179" t="s">
        <v>538</v>
      </c>
      <c r="B12">
        <v>4</v>
      </c>
      <c r="D12" s="180"/>
    </row>
    <row r="13" spans="1:4" ht="15" customHeight="1" x14ac:dyDescent="0.7">
      <c r="A13" s="179" t="s">
        <v>539</v>
      </c>
      <c r="B13">
        <v>5</v>
      </c>
      <c r="D13" s="180"/>
    </row>
    <row r="14" spans="1:4" ht="15" customHeight="1" x14ac:dyDescent="0.7">
      <c r="A14" s="179" t="s">
        <v>540</v>
      </c>
      <c r="B14" s="187">
        <v>0.15</v>
      </c>
      <c r="D14" s="180"/>
    </row>
    <row r="15" spans="1:4" ht="15" customHeight="1" x14ac:dyDescent="0.7">
      <c r="A15" s="179" t="s">
        <v>541</v>
      </c>
      <c r="B15">
        <v>0.4</v>
      </c>
      <c r="D15" s="180"/>
    </row>
    <row r="16" spans="1:4" ht="15" customHeight="1" x14ac:dyDescent="0.7">
      <c r="A16" s="179" t="s">
        <v>542</v>
      </c>
      <c r="B16">
        <v>0.31</v>
      </c>
      <c r="D16" s="180"/>
    </row>
    <row r="17" spans="1:4" ht="15" customHeight="1" x14ac:dyDescent="0.7">
      <c r="A17" s="179" t="s">
        <v>300</v>
      </c>
      <c r="B17">
        <v>100000</v>
      </c>
      <c r="D17" s="180"/>
    </row>
    <row r="18" spans="1:4" ht="15" customHeight="1" x14ac:dyDescent="0.7">
      <c r="A18" s="179" t="s">
        <v>543</v>
      </c>
      <c r="B18">
        <v>10</v>
      </c>
      <c r="D18" s="180"/>
    </row>
    <row r="19" spans="1:4" ht="15" customHeight="1" x14ac:dyDescent="0.7">
      <c r="A19" s="179" t="s">
        <v>544</v>
      </c>
      <c r="B19">
        <v>30</v>
      </c>
      <c r="D19" s="180"/>
    </row>
    <row r="20" spans="1:4" ht="15.75" customHeight="1" x14ac:dyDescent="0.7">
      <c r="A20" s="188" t="s">
        <v>545</v>
      </c>
      <c r="B20" s="189">
        <f>B16*(B18+B19+B18+B19)*B13/(((B18+B19+B18+B19)*B12*2.7-B14*B18*B19*B12))*100000/1000</f>
        <v>18.12865497076023</v>
      </c>
      <c r="C20" s="183"/>
      <c r="D20" s="184"/>
    </row>
    <row r="22" spans="1:4" ht="15.75" customHeight="1" x14ac:dyDescent="0.7"/>
    <row r="23" spans="1:4" ht="15" customHeight="1" x14ac:dyDescent="0.7">
      <c r="A23" s="176" t="s">
        <v>546</v>
      </c>
      <c r="B23" s="177"/>
      <c r="C23" s="177"/>
      <c r="D23" s="178"/>
    </row>
    <row r="24" spans="1:4" ht="15" customHeight="1" x14ac:dyDescent="0.7">
      <c r="A24" s="179"/>
      <c r="C24" t="s">
        <v>492</v>
      </c>
      <c r="D24" s="180" t="s">
        <v>547</v>
      </c>
    </row>
    <row r="25" spans="1:4" ht="15" customHeight="1" x14ac:dyDescent="0.7">
      <c r="A25" s="179" t="s">
        <v>548</v>
      </c>
      <c r="B25">
        <v>110000</v>
      </c>
      <c r="D25" s="180"/>
    </row>
    <row r="26" spans="1:4" ht="15" customHeight="1" x14ac:dyDescent="0.7">
      <c r="A26" s="179" t="s">
        <v>549</v>
      </c>
      <c r="B26">
        <v>100000</v>
      </c>
      <c r="D26" s="180"/>
    </row>
    <row r="27" spans="1:4" ht="15" customHeight="1" x14ac:dyDescent="0.7">
      <c r="A27" s="179" t="s">
        <v>550</v>
      </c>
      <c r="B27">
        <v>3679</v>
      </c>
      <c r="D27" s="180"/>
    </row>
    <row r="28" spans="1:4" ht="15" customHeight="1" x14ac:dyDescent="0.7">
      <c r="A28" s="179" t="s">
        <v>551</v>
      </c>
      <c r="B28">
        <v>0.35</v>
      </c>
      <c r="C28">
        <f>B28*B27*B25/1000</f>
        <v>141641.49999999997</v>
      </c>
      <c r="D28" s="180">
        <f>C28/B27</f>
        <v>38.499999999999993</v>
      </c>
    </row>
    <row r="29" spans="1:4" ht="15" customHeight="1" x14ac:dyDescent="0.7">
      <c r="A29" s="179" t="s">
        <v>552</v>
      </c>
      <c r="B29">
        <v>0.1</v>
      </c>
      <c r="C29">
        <f>B29*B27*B26/1000</f>
        <v>36790</v>
      </c>
      <c r="D29" s="180">
        <f>C29/B27</f>
        <v>10</v>
      </c>
    </row>
    <row r="30" spans="1:4" ht="15.75" customHeight="1" x14ac:dyDescent="0.7">
      <c r="A30" s="181" t="s">
        <v>553</v>
      </c>
      <c r="B30" s="190">
        <f>(B28*B27*B25/1000)-(B29*B27*B26/1000)</f>
        <v>104851.49999999997</v>
      </c>
      <c r="C30" s="183"/>
      <c r="D30" s="184">
        <f>D28-D29</f>
        <v>28.499999999999993</v>
      </c>
    </row>
    <row r="31" spans="1:4" ht="15.75" customHeight="1" x14ac:dyDescent="0.7"/>
    <row r="32" spans="1:4" ht="15" customHeight="1" x14ac:dyDescent="0.7">
      <c r="A32" s="176" t="s">
        <v>554</v>
      </c>
      <c r="B32" s="177"/>
      <c r="C32" s="177"/>
      <c r="D32" s="178"/>
    </row>
    <row r="33" spans="1:4" ht="15" customHeight="1" x14ac:dyDescent="0.7">
      <c r="A33" s="179"/>
      <c r="D33" s="180"/>
    </row>
    <row r="34" spans="1:4" ht="15" customHeight="1" x14ac:dyDescent="0.7">
      <c r="A34" s="179" t="s">
        <v>555</v>
      </c>
      <c r="B34">
        <v>22</v>
      </c>
      <c r="D34" s="180"/>
    </row>
    <row r="35" spans="1:4" ht="15" customHeight="1" x14ac:dyDescent="0.7">
      <c r="A35" s="179" t="s">
        <v>556</v>
      </c>
      <c r="B35">
        <v>21</v>
      </c>
      <c r="D35" s="180"/>
    </row>
    <row r="36" spans="1:4" ht="15" customHeight="1" x14ac:dyDescent="0.7">
      <c r="A36" s="179" t="s">
        <v>557</v>
      </c>
      <c r="B36">
        <v>5</v>
      </c>
      <c r="C36" s="191">
        <f>(B34-B35)/100*B36</f>
        <v>0.05</v>
      </c>
      <c r="D36" s="180"/>
    </row>
    <row r="37" spans="1:4" ht="15" customHeight="1" x14ac:dyDescent="0.7">
      <c r="A37" s="179" t="s">
        <v>558</v>
      </c>
      <c r="B37" s="185" t="e">
        <f>Normalisering!$I$89/Byggnader!$I$32</f>
        <v>#DIV/0!</v>
      </c>
      <c r="D37" s="180"/>
    </row>
    <row r="38" spans="1:4" ht="15" customHeight="1" x14ac:dyDescent="0.7">
      <c r="A38" s="179" t="s">
        <v>559</v>
      </c>
      <c r="B38" s="185" t="e">
        <f>B37-B37*C36</f>
        <v>#DIV/0!</v>
      </c>
      <c r="D38" s="180"/>
    </row>
    <row r="39" spans="1:4" ht="15" customHeight="1" x14ac:dyDescent="0.7">
      <c r="A39" s="179" t="s">
        <v>560</v>
      </c>
      <c r="B39" s="185" t="e">
        <f>B37-B38</f>
        <v>#DIV/0!</v>
      </c>
      <c r="D39" s="180"/>
    </row>
    <row r="40" spans="1:4" ht="15.75" customHeight="1" x14ac:dyDescent="0.7">
      <c r="A40" s="181"/>
      <c r="B40" s="183"/>
      <c r="C40" s="183"/>
      <c r="D40" s="184"/>
    </row>
    <row r="41" spans="1:4" ht="15.75" customHeight="1" x14ac:dyDescent="0.7"/>
    <row r="42" spans="1:4" ht="15" customHeight="1" x14ac:dyDescent="0.7">
      <c r="A42" s="176" t="s">
        <v>561</v>
      </c>
      <c r="B42" s="177"/>
      <c r="C42" s="177"/>
      <c r="D42" s="178"/>
    </row>
    <row r="43" spans="1:4" ht="15" customHeight="1" x14ac:dyDescent="0.7">
      <c r="A43" s="179"/>
      <c r="D43" s="180"/>
    </row>
    <row r="44" spans="1:4" ht="15" customHeight="1" x14ac:dyDescent="0.7">
      <c r="A44" s="179" t="s">
        <v>562</v>
      </c>
      <c r="B44">
        <v>0.35</v>
      </c>
      <c r="D44" s="180"/>
    </row>
    <row r="45" spans="1:4" ht="15" customHeight="1" x14ac:dyDescent="0.7">
      <c r="A45" s="179" t="s">
        <v>563</v>
      </c>
      <c r="B45" s="187">
        <v>0.15</v>
      </c>
      <c r="D45" s="180"/>
    </row>
    <row r="46" spans="1:4" ht="15" customHeight="1" x14ac:dyDescent="0.7">
      <c r="A46" s="179" t="s">
        <v>564</v>
      </c>
      <c r="B46" s="187">
        <v>0.1</v>
      </c>
      <c r="D46" s="180"/>
    </row>
    <row r="47" spans="1:4" ht="15" customHeight="1" x14ac:dyDescent="0.7">
      <c r="A47" s="179" t="s">
        <v>565</v>
      </c>
      <c r="B47" s="187">
        <v>0.05</v>
      </c>
      <c r="D47" s="180"/>
    </row>
    <row r="48" spans="1:4" ht="15" customHeight="1" x14ac:dyDescent="0.7">
      <c r="A48" s="179"/>
      <c r="D48" s="180"/>
    </row>
    <row r="49" spans="1:4" ht="15" customHeight="1" x14ac:dyDescent="0.7">
      <c r="A49" s="179"/>
      <c r="D49" s="180"/>
    </row>
    <row r="50" spans="1:4" ht="15.75" customHeight="1" x14ac:dyDescent="0.7">
      <c r="A50" s="181"/>
      <c r="B50" s="183"/>
      <c r="C50" s="183"/>
      <c r="D50" s="184"/>
    </row>
    <row r="52" spans="1:4" ht="15.75" customHeight="1" x14ac:dyDescent="0.7"/>
    <row r="53" spans="1:4" ht="15" customHeight="1" x14ac:dyDescent="0.7">
      <c r="A53" s="176" t="s">
        <v>566</v>
      </c>
      <c r="B53" s="177"/>
      <c r="C53" s="177"/>
      <c r="D53" s="178"/>
    </row>
    <row r="54" spans="1:4" ht="15" customHeight="1" x14ac:dyDescent="0.7">
      <c r="A54" s="179"/>
      <c r="D54" s="180"/>
    </row>
    <row r="55" spans="1:4" ht="15" customHeight="1" x14ac:dyDescent="0.7">
      <c r="A55" s="179" t="s">
        <v>567</v>
      </c>
      <c r="B55">
        <v>0.35</v>
      </c>
      <c r="D55" s="180"/>
    </row>
    <row r="56" spans="1:4" ht="15" customHeight="1" x14ac:dyDescent="0.7">
      <c r="A56" s="179" t="s">
        <v>568</v>
      </c>
      <c r="B56">
        <f>Byggnader!$I$32*B55/1000</f>
        <v>0</v>
      </c>
      <c r="D56" s="180"/>
    </row>
    <row r="57" spans="1:4" ht="15" customHeight="1" x14ac:dyDescent="0.7">
      <c r="A57" s="179" t="s">
        <v>569</v>
      </c>
      <c r="B57">
        <v>4</v>
      </c>
      <c r="D57" s="180"/>
    </row>
    <row r="58" spans="1:4" ht="15" customHeight="1" x14ac:dyDescent="0.7">
      <c r="A58" s="179" t="s">
        <v>570</v>
      </c>
      <c r="B58">
        <v>18</v>
      </c>
      <c r="D58" s="180"/>
    </row>
    <row r="59" spans="1:4" ht="15" customHeight="1" x14ac:dyDescent="0.7">
      <c r="A59" s="179" t="s">
        <v>343</v>
      </c>
      <c r="B59">
        <v>5500</v>
      </c>
      <c r="D59" s="180"/>
    </row>
    <row r="60" spans="1:4" ht="15" customHeight="1" x14ac:dyDescent="0.7">
      <c r="A60" s="179" t="s">
        <v>571</v>
      </c>
      <c r="B60">
        <f>(B58-B57)*B56*1.2*1*5000</f>
        <v>0</v>
      </c>
      <c r="D60" s="180"/>
    </row>
    <row r="61" spans="1:4" ht="15" customHeight="1" x14ac:dyDescent="0.7">
      <c r="A61" s="179" t="s">
        <v>572</v>
      </c>
      <c r="B61">
        <v>3.2</v>
      </c>
      <c r="D61" s="180"/>
    </row>
    <row r="62" spans="1:4" ht="15" customHeight="1" x14ac:dyDescent="0.7">
      <c r="A62" s="179" t="s">
        <v>573</v>
      </c>
      <c r="B62" s="30">
        <f>B60/B61</f>
        <v>0</v>
      </c>
      <c r="D62" s="180"/>
    </row>
    <row r="63" spans="1:4" ht="15" customHeight="1" x14ac:dyDescent="0.7">
      <c r="A63" s="179" t="s">
        <v>574</v>
      </c>
      <c r="B63" s="30">
        <v>1</v>
      </c>
      <c r="D63" s="180"/>
    </row>
    <row r="64" spans="1:4" ht="15" customHeight="1" x14ac:dyDescent="0.7">
      <c r="A64" s="179" t="s">
        <v>575</v>
      </c>
      <c r="B64">
        <f>B63*8760</f>
        <v>8760</v>
      </c>
      <c r="D64" s="180"/>
    </row>
    <row r="65" spans="1:4" ht="15" customHeight="1" x14ac:dyDescent="0.7">
      <c r="A65" s="179"/>
      <c r="D65" s="180"/>
    </row>
    <row r="66" spans="1:4" ht="15.75" customHeight="1" x14ac:dyDescent="0.7">
      <c r="A66" s="181"/>
      <c r="B66" s="183"/>
      <c r="C66" s="183"/>
      <c r="D66" s="184"/>
    </row>
    <row r="67" spans="1:4" ht="15.75" customHeight="1" x14ac:dyDescent="0.7"/>
    <row r="68" spans="1:4" ht="15" customHeight="1" x14ac:dyDescent="0.7">
      <c r="A68" s="176" t="s">
        <v>576</v>
      </c>
      <c r="B68" s="177"/>
      <c r="C68" s="177"/>
      <c r="D68" s="178"/>
    </row>
    <row r="69" spans="1:4" ht="15" customHeight="1" x14ac:dyDescent="0.7">
      <c r="A69" s="179" t="s">
        <v>577</v>
      </c>
      <c r="B69" s="30">
        <f>Normalisering!$I$53/12</f>
        <v>0</v>
      </c>
      <c r="D69" s="180"/>
    </row>
    <row r="70" spans="1:4" ht="15" customHeight="1" x14ac:dyDescent="0.7">
      <c r="A70" s="179" t="s">
        <v>578</v>
      </c>
      <c r="B70">
        <v>100</v>
      </c>
      <c r="D70" s="180"/>
    </row>
    <row r="71" spans="1:4" ht="15" customHeight="1" x14ac:dyDescent="0.7">
      <c r="A71" s="179" t="s">
        <v>579</v>
      </c>
      <c r="B71">
        <v>450</v>
      </c>
      <c r="D71" s="180"/>
    </row>
    <row r="72" spans="1:4" ht="15" customHeight="1" x14ac:dyDescent="0.7">
      <c r="A72" s="179" t="s">
        <v>580</v>
      </c>
      <c r="B72">
        <f>B71*B70</f>
        <v>45000</v>
      </c>
      <c r="D72" s="180"/>
    </row>
    <row r="73" spans="1:4" ht="15" customHeight="1" x14ac:dyDescent="0.7">
      <c r="A73" s="179" t="s">
        <v>581</v>
      </c>
      <c r="B73">
        <f>1000</f>
        <v>1000</v>
      </c>
      <c r="D73" s="180"/>
    </row>
    <row r="74" spans="1:4" ht="15" customHeight="1" x14ac:dyDescent="0.7">
      <c r="A74" s="179" t="s">
        <v>582</v>
      </c>
      <c r="B74">
        <v>200</v>
      </c>
      <c r="D74" s="180"/>
    </row>
    <row r="75" spans="1:4" ht="15" customHeight="1" x14ac:dyDescent="0.7">
      <c r="A75" s="179"/>
      <c r="D75" s="180"/>
    </row>
    <row r="76" spans="1:4" ht="15.75" customHeight="1" x14ac:dyDescent="0.7">
      <c r="A76" s="181"/>
      <c r="B76" s="183"/>
      <c r="C76" s="183"/>
      <c r="D76" s="184"/>
    </row>
    <row r="78" spans="1:4" ht="15" customHeight="1" x14ac:dyDescent="0.7">
      <c r="A78" t="s">
        <v>538</v>
      </c>
      <c r="B78">
        <v>4</v>
      </c>
    </row>
    <row r="79" spans="1:4" ht="15" customHeight="1" x14ac:dyDescent="0.7">
      <c r="A79" t="s">
        <v>539</v>
      </c>
      <c r="B79">
        <v>5</v>
      </c>
    </row>
    <row r="80" spans="1:4" ht="15" customHeight="1" x14ac:dyDescent="0.7">
      <c r="A80" t="s">
        <v>540</v>
      </c>
      <c r="B80" s="187">
        <v>0.15</v>
      </c>
    </row>
    <row r="81" spans="1:3" ht="15" customHeight="1" x14ac:dyDescent="0.7">
      <c r="A81" t="s">
        <v>541</v>
      </c>
      <c r="B81">
        <v>0.4</v>
      </c>
    </row>
    <row r="82" spans="1:3" ht="15" customHeight="1" x14ac:dyDescent="0.7">
      <c r="A82" t="s">
        <v>542</v>
      </c>
      <c r="B82">
        <v>0.31</v>
      </c>
    </row>
    <row r="83" spans="1:3" ht="15" customHeight="1" x14ac:dyDescent="0.7">
      <c r="A83" t="s">
        <v>300</v>
      </c>
      <c r="B83">
        <v>100000</v>
      </c>
    </row>
    <row r="84" spans="1:3" ht="15" customHeight="1" x14ac:dyDescent="0.7">
      <c r="A84" t="s">
        <v>543</v>
      </c>
      <c r="B84">
        <v>10</v>
      </c>
    </row>
    <row r="85" spans="1:3" ht="15" customHeight="1" x14ac:dyDescent="0.7">
      <c r="A85" t="s">
        <v>544</v>
      </c>
      <c r="B85">
        <v>30</v>
      </c>
    </row>
    <row r="88" spans="1:3" ht="15" customHeight="1" x14ac:dyDescent="0.7">
      <c r="A88" t="s">
        <v>583</v>
      </c>
      <c r="B88" s="192">
        <f>B82*(B84+B85+B84+B85)*B79/(((B84+B85+B84+B85)*B78*2.7-B80*B84*B85*B78))*100000/1000</f>
        <v>18.12865497076023</v>
      </c>
    </row>
    <row r="91" spans="1:3" ht="15" customHeight="1" x14ac:dyDescent="0.7">
      <c r="A91" t="s">
        <v>584</v>
      </c>
    </row>
    <row r="92" spans="1:3" ht="30.75" customHeight="1" x14ac:dyDescent="0.7">
      <c r="A92" s="36"/>
      <c r="B92" s="36" t="s">
        <v>585</v>
      </c>
      <c r="C92" s="36" t="s">
        <v>586</v>
      </c>
    </row>
    <row r="93" spans="1:3" ht="15" customHeight="1" x14ac:dyDescent="0.7">
      <c r="A93" t="s">
        <v>587</v>
      </c>
      <c r="B93">
        <v>240</v>
      </c>
      <c r="C93">
        <v>700</v>
      </c>
    </row>
    <row r="94" spans="1:3" ht="15" customHeight="1" x14ac:dyDescent="0.7">
      <c r="A94" t="s">
        <v>588</v>
      </c>
      <c r="B94">
        <v>270</v>
      </c>
      <c r="C94">
        <v>800</v>
      </c>
    </row>
    <row r="95" spans="1:3" ht="15" customHeight="1" x14ac:dyDescent="0.7">
      <c r="A95" t="s">
        <v>589</v>
      </c>
      <c r="B95">
        <v>285</v>
      </c>
      <c r="C95">
        <v>850</v>
      </c>
    </row>
    <row r="96" spans="1:3" ht="15" customHeight="1" x14ac:dyDescent="0.7">
      <c r="A96" t="s">
        <v>590</v>
      </c>
      <c r="B96">
        <v>300</v>
      </c>
      <c r="C96">
        <v>900</v>
      </c>
    </row>
  </sheetData>
  <pageMargins left="0.75" right="0.75" top="1" bottom="1" header="0.511811023622047" footer="0.511811023622047"/>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G16"/>
  <sheetViews>
    <sheetView zoomScaleNormal="100" workbookViewId="0">
      <selection activeCell="A5" sqref="A5"/>
    </sheetView>
  </sheetViews>
  <sheetFormatPr defaultColWidth="8.7265625" defaultRowHeight="14.5" x14ac:dyDescent="0.7"/>
  <cols>
    <col min="1" max="1" width="38.86328125" customWidth="1"/>
    <col min="2" max="2" width="12.26953125" customWidth="1"/>
    <col min="4" max="4" width="19.26953125" customWidth="1"/>
    <col min="7" max="7" width="46.6796875" customWidth="1"/>
  </cols>
  <sheetData>
    <row r="2" spans="1:7" ht="15" customHeight="1" x14ac:dyDescent="0.7">
      <c r="A2" s="193" t="s">
        <v>31</v>
      </c>
      <c r="B2" s="193" t="s">
        <v>591</v>
      </c>
      <c r="C2" s="193" t="s">
        <v>592</v>
      </c>
      <c r="D2" s="193" t="s">
        <v>593</v>
      </c>
      <c r="E2" s="193" t="s">
        <v>594</v>
      </c>
      <c r="F2" s="193" t="s">
        <v>595</v>
      </c>
      <c r="G2" s="193" t="s">
        <v>38</v>
      </c>
    </row>
    <row r="3" spans="1:7" ht="15" customHeight="1" x14ac:dyDescent="0.7">
      <c r="A3" t="s">
        <v>596</v>
      </c>
      <c r="B3">
        <v>2400</v>
      </c>
      <c r="C3">
        <v>225000</v>
      </c>
      <c r="G3" t="s">
        <v>597</v>
      </c>
    </row>
    <row r="4" spans="1:7" ht="15" customHeight="1" x14ac:dyDescent="0.7">
      <c r="A4" t="s">
        <v>598</v>
      </c>
      <c r="B4">
        <v>1100</v>
      </c>
      <c r="C4">
        <v>61000</v>
      </c>
      <c r="G4" t="s">
        <v>599</v>
      </c>
    </row>
    <row r="5" spans="1:7" ht="15" customHeight="1" x14ac:dyDescent="0.7">
      <c r="A5" t="s">
        <v>600</v>
      </c>
      <c r="B5">
        <v>20000</v>
      </c>
      <c r="G5" t="s">
        <v>601</v>
      </c>
    </row>
    <row r="6" spans="1:7" ht="15" customHeight="1" x14ac:dyDescent="0.7">
      <c r="A6" t="s">
        <v>602</v>
      </c>
      <c r="B6">
        <v>35000</v>
      </c>
      <c r="G6" t="s">
        <v>603</v>
      </c>
    </row>
    <row r="7" spans="1:7" ht="15" customHeight="1" x14ac:dyDescent="0.7">
      <c r="A7" t="s">
        <v>604</v>
      </c>
      <c r="C7">
        <v>80000</v>
      </c>
      <c r="G7" t="s">
        <v>605</v>
      </c>
    </row>
    <row r="8" spans="1:7" ht="15" customHeight="1" x14ac:dyDescent="0.7">
      <c r="A8" t="s">
        <v>606</v>
      </c>
      <c r="C8">
        <v>27000</v>
      </c>
      <c r="G8" t="s">
        <v>607</v>
      </c>
    </row>
    <row r="9" spans="1:7" ht="15" customHeight="1" x14ac:dyDescent="0.7">
      <c r="A9" t="s">
        <v>608</v>
      </c>
      <c r="F9">
        <v>17500</v>
      </c>
      <c r="G9" t="s">
        <v>609</v>
      </c>
    </row>
    <row r="10" spans="1:7" ht="15" customHeight="1" x14ac:dyDescent="0.7">
      <c r="A10" t="s">
        <v>610</v>
      </c>
      <c r="C10">
        <v>4500</v>
      </c>
      <c r="G10" t="s">
        <v>611</v>
      </c>
    </row>
    <row r="11" spans="1:7" ht="15" customHeight="1" x14ac:dyDescent="0.7">
      <c r="A11" t="s">
        <v>612</v>
      </c>
      <c r="C11">
        <v>3500</v>
      </c>
      <c r="G11" t="s">
        <v>613</v>
      </c>
    </row>
    <row r="12" spans="1:7" ht="15" customHeight="1" x14ac:dyDescent="0.7">
      <c r="A12" t="s">
        <v>614</v>
      </c>
      <c r="D12">
        <v>200</v>
      </c>
      <c r="G12" t="s">
        <v>615</v>
      </c>
    </row>
    <row r="13" spans="1:7" ht="15" customHeight="1" x14ac:dyDescent="0.7">
      <c r="A13" t="s">
        <v>616</v>
      </c>
      <c r="C13">
        <v>2000</v>
      </c>
      <c r="E13">
        <v>100000</v>
      </c>
      <c r="G13" t="s">
        <v>617</v>
      </c>
    </row>
    <row r="16" spans="1:7" ht="45" customHeight="1" x14ac:dyDescent="0.7">
      <c r="A16" s="194" t="s">
        <v>618</v>
      </c>
      <c r="B16" s="292" t="s">
        <v>619</v>
      </c>
      <c r="C16" s="292"/>
      <c r="D16" s="292"/>
      <c r="E16" s="292"/>
      <c r="F16" s="292"/>
      <c r="G16" s="292"/>
    </row>
  </sheetData>
  <mergeCells count="1">
    <mergeCell ref="B16:G16"/>
  </mergeCells>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3:C7"/>
  <sheetViews>
    <sheetView zoomScaleNormal="100" workbookViewId="0">
      <selection activeCell="B16" sqref="B16"/>
    </sheetView>
  </sheetViews>
  <sheetFormatPr defaultColWidth="8.7265625" defaultRowHeight="14.5" x14ac:dyDescent="0.7"/>
  <cols>
    <col min="1" max="1" width="38.26953125" customWidth="1"/>
    <col min="2" max="2" width="15.58984375" customWidth="1"/>
  </cols>
  <sheetData>
    <row r="3" spans="1:3" ht="15.75" customHeight="1" x14ac:dyDescent="0.7">
      <c r="A3" s="195"/>
      <c r="B3" s="195" t="s">
        <v>161</v>
      </c>
      <c r="C3" s="195" t="s">
        <v>175</v>
      </c>
    </row>
    <row r="4" spans="1:3" ht="15.75" customHeight="1" x14ac:dyDescent="0.7">
      <c r="A4" s="196" t="s">
        <v>620</v>
      </c>
      <c r="B4" s="197">
        <v>1.1499999999999999</v>
      </c>
      <c r="C4" s="197">
        <v>2</v>
      </c>
    </row>
    <row r="5" spans="1:3" ht="15" customHeight="1" x14ac:dyDescent="0.7">
      <c r="A5" s="196" t="s">
        <v>621</v>
      </c>
      <c r="B5" s="198">
        <v>0.03</v>
      </c>
      <c r="C5" s="199">
        <v>0.04</v>
      </c>
    </row>
    <row r="6" spans="1:3" ht="15" customHeight="1" x14ac:dyDescent="0.7">
      <c r="A6" s="196" t="s">
        <v>622</v>
      </c>
      <c r="B6" s="199">
        <v>0.04</v>
      </c>
    </row>
    <row r="7" spans="1:3" ht="15" customHeight="1" x14ac:dyDescent="0.7">
      <c r="A7" s="196" t="s">
        <v>623</v>
      </c>
      <c r="B7" s="199">
        <v>0.02</v>
      </c>
    </row>
  </sheetData>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9"/>
  <sheetViews>
    <sheetView zoomScaleNormal="100" workbookViewId="0">
      <selection activeCell="I36" sqref="I36"/>
    </sheetView>
  </sheetViews>
  <sheetFormatPr defaultColWidth="9.1328125" defaultRowHeight="14.5" outlineLevelRow="1" outlineLevelCol="1" x14ac:dyDescent="0.7"/>
  <cols>
    <col min="1" max="1" width="58.86328125" customWidth="1"/>
    <col min="2" max="2" width="7.40625" customWidth="1"/>
    <col min="3" max="3" width="16" customWidth="1"/>
    <col min="4" max="4" width="15.86328125" customWidth="1"/>
    <col min="5" max="5" width="9.1328125" outlineLevel="1"/>
    <col min="6" max="6" width="20.54296875" customWidth="1" outlineLevel="1"/>
    <col min="9" max="9" width="30.54296875" customWidth="1"/>
    <col min="10" max="10" width="23.54296875" customWidth="1"/>
    <col min="11" max="11" width="10" customWidth="1"/>
  </cols>
  <sheetData>
    <row r="1" spans="1:14" ht="45.75" customHeight="1" x14ac:dyDescent="0.9">
      <c r="A1" s="200" t="s">
        <v>624</v>
      </c>
      <c r="C1" s="201" t="s">
        <v>625</v>
      </c>
      <c r="D1" s="202"/>
    </row>
    <row r="2" spans="1:14" ht="24" customHeight="1" x14ac:dyDescent="1">
      <c r="A2" s="203" t="s">
        <v>626</v>
      </c>
      <c r="B2" s="204" t="s">
        <v>204</v>
      </c>
      <c r="C2" s="293"/>
      <c r="D2" s="293"/>
      <c r="E2" s="201" t="s">
        <v>627</v>
      </c>
      <c r="F2" s="202"/>
    </row>
    <row r="3" spans="1:14" ht="15.75" customHeight="1" x14ac:dyDescent="1">
      <c r="A3" s="205"/>
      <c r="B3" s="206"/>
      <c r="C3" s="207" t="s">
        <v>628</v>
      </c>
      <c r="D3" s="208" t="s">
        <v>629</v>
      </c>
      <c r="E3" s="201" t="s">
        <v>630</v>
      </c>
      <c r="F3" s="202"/>
    </row>
    <row r="4" spans="1:14" ht="13.5" customHeight="1" x14ac:dyDescent="0.7">
      <c r="A4" s="205" t="s">
        <v>631</v>
      </c>
      <c r="C4" s="209">
        <f>Byggnader!$I$32</f>
        <v>0</v>
      </c>
      <c r="D4" s="209" t="s">
        <v>632</v>
      </c>
    </row>
    <row r="5" spans="1:14" ht="13.5" customHeight="1" x14ac:dyDescent="0.7">
      <c r="A5" s="205" t="s">
        <v>633</v>
      </c>
      <c r="C5" s="210">
        <f>Energiprisfaktorer!B6</f>
        <v>0.04</v>
      </c>
      <c r="D5" s="211" t="s">
        <v>634</v>
      </c>
      <c r="E5" s="212"/>
      <c r="F5" s="213" t="s">
        <v>635</v>
      </c>
    </row>
    <row r="6" spans="1:14" ht="15.75" customHeight="1" x14ac:dyDescent="0.7">
      <c r="A6" s="205" t="s">
        <v>636</v>
      </c>
      <c r="C6" s="214">
        <v>20</v>
      </c>
      <c r="D6" s="211" t="s">
        <v>637</v>
      </c>
      <c r="E6" s="215" t="e">
        <f>(D20-C20)/(C34+C22-D34-D22)</f>
        <v>#DIV/0!</v>
      </c>
      <c r="F6" s="213" t="s">
        <v>638</v>
      </c>
    </row>
    <row r="7" spans="1:14" ht="15.75" customHeight="1" x14ac:dyDescent="0.7">
      <c r="A7" s="216" t="s">
        <v>639</v>
      </c>
      <c r="C7" s="210">
        <f>Energiprisfaktorer!B7</f>
        <v>0.02</v>
      </c>
      <c r="D7" s="217" t="str">
        <f>D5</f>
        <v>nominell</v>
      </c>
      <c r="E7" s="218"/>
      <c r="F7" s="219"/>
      <c r="I7" s="294" t="s">
        <v>640</v>
      </c>
      <c r="J7" s="294"/>
      <c r="K7" s="294"/>
      <c r="L7" s="294"/>
    </row>
    <row r="8" spans="1:14" ht="15.75" customHeight="1" x14ac:dyDescent="0.7">
      <c r="A8" s="220" t="s">
        <v>641</v>
      </c>
      <c r="C8" s="221" t="s">
        <v>161</v>
      </c>
      <c r="D8" s="221" t="s">
        <v>143</v>
      </c>
      <c r="E8" s="218"/>
      <c r="F8" s="219"/>
    </row>
    <row r="9" spans="1:14" ht="14.25" customHeight="1" x14ac:dyDescent="0.7">
      <c r="A9" s="222" t="s">
        <v>642</v>
      </c>
      <c r="C9" s="223">
        <f>Energiprisfaktorer!B4</f>
        <v>1.1499999999999999</v>
      </c>
      <c r="D9" s="224" t="s">
        <v>643</v>
      </c>
      <c r="E9" s="218"/>
      <c r="F9" s="219"/>
      <c r="I9" s="196" t="s">
        <v>644</v>
      </c>
      <c r="K9" s="185">
        <v>20000</v>
      </c>
    </row>
    <row r="10" spans="1:14" ht="14.25" customHeight="1" x14ac:dyDescent="0.7">
      <c r="A10" s="225" t="s">
        <v>645</v>
      </c>
      <c r="C10" s="226">
        <f>Energiprisfaktorer!B5</f>
        <v>0.03</v>
      </c>
      <c r="D10" s="227" t="str">
        <f>D5</f>
        <v>nominell</v>
      </c>
      <c r="E10" s="218"/>
      <c r="F10" s="219"/>
      <c r="I10" s="196" t="s">
        <v>646</v>
      </c>
      <c r="K10">
        <f>K9*J21*0.001</f>
        <v>0</v>
      </c>
    </row>
    <row r="11" spans="1:14" ht="14.25" customHeight="1" outlineLevel="1" x14ac:dyDescent="0.7">
      <c r="A11" s="220" t="s">
        <v>647</v>
      </c>
      <c r="C11" s="221" t="s">
        <v>175</v>
      </c>
      <c r="D11" s="221"/>
      <c r="E11" s="218"/>
      <c r="F11" s="219"/>
    </row>
    <row r="12" spans="1:14" ht="14.25" customHeight="1" outlineLevel="1" x14ac:dyDescent="0.7">
      <c r="A12" s="222" t="s">
        <v>642</v>
      </c>
      <c r="C12" s="223">
        <f>Energiprisfaktorer!C4</f>
        <v>2</v>
      </c>
      <c r="D12" s="224" t="s">
        <v>643</v>
      </c>
      <c r="E12" s="218"/>
      <c r="F12" s="219"/>
      <c r="I12" s="228" t="s">
        <v>648</v>
      </c>
      <c r="J12" s="229"/>
      <c r="K12" s="229"/>
      <c r="L12" s="229"/>
    </row>
    <row r="13" spans="1:14" ht="14.25" customHeight="1" outlineLevel="1" x14ac:dyDescent="0.7">
      <c r="A13" s="225" t="s">
        <v>645</v>
      </c>
      <c r="C13" s="226">
        <f>Energiprisfaktorer!C5</f>
        <v>0.04</v>
      </c>
      <c r="D13" s="227" t="str">
        <f>D5</f>
        <v>nominell</v>
      </c>
      <c r="E13" s="218"/>
      <c r="F13" s="219"/>
    </row>
    <row r="14" spans="1:14" ht="14.25" customHeight="1" outlineLevel="1" x14ac:dyDescent="0.7">
      <c r="A14" s="220" t="s">
        <v>649</v>
      </c>
      <c r="C14" s="221"/>
      <c r="D14" s="221"/>
      <c r="E14" s="218"/>
      <c r="F14" s="219"/>
      <c r="I14" s="196" t="s">
        <v>650</v>
      </c>
    </row>
    <row r="15" spans="1:14" ht="15.75" customHeight="1" outlineLevel="1" x14ac:dyDescent="0.7">
      <c r="A15" s="222" t="s">
        <v>642</v>
      </c>
      <c r="C15" s="223">
        <v>0.6</v>
      </c>
      <c r="D15" s="224" t="s">
        <v>643</v>
      </c>
      <c r="I15" s="295" t="s">
        <v>651</v>
      </c>
      <c r="J15" s="295"/>
      <c r="K15" s="295"/>
      <c r="L15" s="295"/>
      <c r="M15" s="295"/>
      <c r="N15" s="295"/>
    </row>
    <row r="16" spans="1:14" ht="15.75" customHeight="1" outlineLevel="1" x14ac:dyDescent="0.7">
      <c r="A16" s="225" t="s">
        <v>645</v>
      </c>
      <c r="C16" s="226">
        <v>0.04</v>
      </c>
      <c r="D16" s="227" t="str">
        <f>D5</f>
        <v>nominell</v>
      </c>
      <c r="I16" s="295"/>
      <c r="J16" s="295"/>
      <c r="K16" s="295"/>
      <c r="L16" s="295"/>
      <c r="M16" s="295"/>
      <c r="N16" s="295"/>
    </row>
    <row r="17" spans="1:12" ht="15.75" customHeight="1" x14ac:dyDescent="0.7">
      <c r="A17" s="225" t="s">
        <v>652</v>
      </c>
      <c r="C17" s="230"/>
      <c r="D17" s="230"/>
      <c r="E17" s="218"/>
    </row>
    <row r="18" spans="1:12" ht="15.75" customHeight="1" x14ac:dyDescent="0.7">
      <c r="A18" s="231"/>
      <c r="C18" s="231"/>
      <c r="D18" s="230"/>
      <c r="E18" s="218"/>
      <c r="I18" s="232" t="s">
        <v>653</v>
      </c>
    </row>
    <row r="19" spans="1:12" ht="15.75" customHeight="1" x14ac:dyDescent="0.7">
      <c r="A19" s="231"/>
      <c r="C19" s="233" t="s">
        <v>654</v>
      </c>
      <c r="D19" s="234" t="s">
        <v>655</v>
      </c>
      <c r="I19" s="196" t="s">
        <v>656</v>
      </c>
      <c r="J19" s="187">
        <v>0.5</v>
      </c>
    </row>
    <row r="20" spans="1:12" ht="15.75" customHeight="1" x14ac:dyDescent="0.7">
      <c r="A20" s="235" t="s">
        <v>657</v>
      </c>
      <c r="C20" s="236">
        <v>0</v>
      </c>
      <c r="D20" s="236">
        <f>K10</f>
        <v>0</v>
      </c>
      <c r="E20" s="237" t="e">
        <f>D20+C41-D41</f>
        <v>#DIV/0!</v>
      </c>
      <c r="F20" s="213" t="s">
        <v>658</v>
      </c>
      <c r="I20" s="196" t="s">
        <v>321</v>
      </c>
      <c r="J20">
        <f>Besiktningsprotokoll!B27</f>
        <v>0</v>
      </c>
    </row>
    <row r="21" spans="1:12" ht="15.75" customHeight="1" x14ac:dyDescent="0.7">
      <c r="A21" s="231"/>
      <c r="C21" s="238"/>
      <c r="D21" s="238"/>
      <c r="E21" s="239"/>
      <c r="F21" s="240"/>
      <c r="I21" s="196" t="s">
        <v>659</v>
      </c>
      <c r="J21" s="192">
        <f>J20*J19</f>
        <v>0</v>
      </c>
    </row>
    <row r="22" spans="1:12" ht="15.75" customHeight="1" x14ac:dyDescent="0.7">
      <c r="A22" s="216" t="s">
        <v>660</v>
      </c>
      <c r="C22" s="241">
        <v>0</v>
      </c>
      <c r="D22" s="241">
        <v>0</v>
      </c>
      <c r="I22" s="196" t="s">
        <v>661</v>
      </c>
      <c r="J22" s="192">
        <v>3.5</v>
      </c>
    </row>
    <row r="23" spans="1:12" ht="15.75" hidden="1" customHeight="1" outlineLevel="1" x14ac:dyDescent="0.7">
      <c r="A23" s="216" t="s">
        <v>662</v>
      </c>
      <c r="C23" s="236"/>
      <c r="D23" s="236"/>
    </row>
    <row r="24" spans="1:12" ht="15.75" hidden="1" customHeight="1" outlineLevel="1" x14ac:dyDescent="0.7">
      <c r="A24" s="216" t="s">
        <v>663</v>
      </c>
      <c r="C24" s="236"/>
      <c r="D24" s="236"/>
    </row>
    <row r="25" spans="1:12" ht="15.75" hidden="1" customHeight="1" outlineLevel="1" x14ac:dyDescent="0.7">
      <c r="A25" s="216" t="s">
        <v>664</v>
      </c>
      <c r="C25" s="236"/>
      <c r="D25" s="236"/>
    </row>
    <row r="26" spans="1:12" ht="15" customHeight="1" x14ac:dyDescent="0.7">
      <c r="A26" s="216" t="s">
        <v>665</v>
      </c>
      <c r="C26" s="242"/>
      <c r="D26" s="242"/>
      <c r="I26" s="196" t="s">
        <v>666</v>
      </c>
      <c r="J26" s="30">
        <f>J28/25</f>
        <v>0</v>
      </c>
    </row>
    <row r="27" spans="1:12" ht="15.75" customHeight="1" x14ac:dyDescent="0.7">
      <c r="A27" s="231"/>
      <c r="C27" s="242"/>
      <c r="D27" s="242"/>
      <c r="I27" s="196" t="s">
        <v>667</v>
      </c>
      <c r="J27" s="30">
        <f>J21/(J22)</f>
        <v>0</v>
      </c>
    </row>
    <row r="28" spans="1:12" ht="15.75" customHeight="1" x14ac:dyDescent="0.7">
      <c r="A28" s="220" t="s">
        <v>668</v>
      </c>
      <c r="C28" s="243" t="e">
        <f>Normalisering!$I$89/'Installera bergvärme'!C4</f>
        <v>#DIV/0!</v>
      </c>
      <c r="D28" s="243" t="e">
        <f>(Normalisering!$I$89-'Installera bergvärme'!J30)/'Installera bergvärme'!C4</f>
        <v>#DIV/0!</v>
      </c>
      <c r="I28" s="196" t="s">
        <v>669</v>
      </c>
      <c r="J28" s="30">
        <f>J21-J27</f>
        <v>0</v>
      </c>
      <c r="K28" s="196"/>
      <c r="L28" s="196"/>
    </row>
    <row r="29" spans="1:12" ht="15.75" customHeight="1" x14ac:dyDescent="0.7">
      <c r="A29" s="244" t="s">
        <v>670</v>
      </c>
      <c r="C29" s="245" t="e">
        <f>C28*$C$4*$C$9</f>
        <v>#DIV/0!</v>
      </c>
      <c r="D29" s="245" t="e">
        <f>D28*$C$4*$C$9</f>
        <v>#DIV/0!</v>
      </c>
      <c r="I29" s="196" t="s">
        <v>325</v>
      </c>
      <c r="J29">
        <v>5000</v>
      </c>
    </row>
    <row r="30" spans="1:12" ht="15.75" customHeight="1" outlineLevel="1" x14ac:dyDescent="0.7">
      <c r="A30" s="220" t="s">
        <v>671</v>
      </c>
      <c r="C30" s="243" t="e">
        <f>El!$I$127/'Installera bergvärme'!C4</f>
        <v>#DIV/0!</v>
      </c>
      <c r="D30" s="246" t="e">
        <f>(El!$I$127+'Installera bergvärme'!J31)/C4</f>
        <v>#DIV/0!</v>
      </c>
      <c r="I30" s="196" t="s">
        <v>672</v>
      </c>
      <c r="J30" s="192">
        <f>J21*J29*0.001</f>
        <v>0</v>
      </c>
    </row>
    <row r="31" spans="1:12" ht="15.75" customHeight="1" outlineLevel="1" x14ac:dyDescent="0.7">
      <c r="A31" s="244" t="s">
        <v>673</v>
      </c>
      <c r="C31" s="245" t="e">
        <f>C30*$C$4*$C$12</f>
        <v>#DIV/0!</v>
      </c>
      <c r="D31" s="245" t="e">
        <f>D30*$C$4*$C$12</f>
        <v>#DIV/0!</v>
      </c>
      <c r="I31" s="196" t="s">
        <v>674</v>
      </c>
      <c r="J31" s="192">
        <f>J27*J29*0.001</f>
        <v>0</v>
      </c>
    </row>
    <row r="32" spans="1:12" ht="15.75" customHeight="1" outlineLevel="1" x14ac:dyDescent="0.7">
      <c r="A32" s="220" t="s">
        <v>675</v>
      </c>
      <c r="C32" s="243"/>
      <c r="D32" s="243"/>
    </row>
    <row r="33" spans="1:6" ht="15.75" customHeight="1" outlineLevel="1" x14ac:dyDescent="0.7">
      <c r="A33" s="244" t="s">
        <v>676</v>
      </c>
      <c r="C33" s="245">
        <f>C32*$C$4*$C$15</f>
        <v>0</v>
      </c>
      <c r="D33" s="245">
        <f>D32*$C$4*$C$15</f>
        <v>0</v>
      </c>
    </row>
    <row r="34" spans="1:6" ht="15" customHeight="1" outlineLevel="1" x14ac:dyDescent="0.7">
      <c r="A34" s="231" t="s">
        <v>677</v>
      </c>
      <c r="C34" s="242" t="e">
        <f>C29+C31+C33</f>
        <v>#DIV/0!</v>
      </c>
      <c r="D34" s="242" t="e">
        <f>D29+D31+D33</f>
        <v>#DIV/0!</v>
      </c>
      <c r="F34" s="231"/>
    </row>
    <row r="35" spans="1:6" ht="15" customHeight="1" outlineLevel="1" x14ac:dyDescent="0.7">
      <c r="A35" s="231" t="s">
        <v>678</v>
      </c>
      <c r="C35" s="242" t="e">
        <f>(C28+C30+C32)*$C$4</f>
        <v>#DIV/0!</v>
      </c>
      <c r="D35" s="242" t="e">
        <f>(D28+D30+D32)*$C$4</f>
        <v>#DIV/0!</v>
      </c>
      <c r="F35" s="231"/>
    </row>
    <row r="36" spans="1:6" ht="15" customHeight="1" outlineLevel="1" x14ac:dyDescent="0.7">
      <c r="A36" s="231" t="s">
        <v>679</v>
      </c>
      <c r="C36" s="247" t="e">
        <f>C34/C35</f>
        <v>#DIV/0!</v>
      </c>
      <c r="D36" s="242"/>
      <c r="F36" s="231"/>
    </row>
    <row r="37" spans="1:6" ht="15" customHeight="1" x14ac:dyDescent="0.7">
      <c r="A37" s="222" t="s">
        <v>652</v>
      </c>
      <c r="C37" s="242"/>
      <c r="D37" s="242"/>
      <c r="F37" s="231"/>
    </row>
    <row r="38" spans="1:6" ht="15.75" customHeight="1" x14ac:dyDescent="0.7">
      <c r="A38" s="248"/>
      <c r="C38" s="242"/>
      <c r="D38" s="242"/>
      <c r="F38" s="231"/>
    </row>
    <row r="39" spans="1:6" ht="15" customHeight="1" x14ac:dyDescent="0.7">
      <c r="A39" s="249" t="s">
        <v>680</v>
      </c>
      <c r="B39" s="250"/>
      <c r="C39" s="251">
        <f>C20-PV($C$5-$C$7,$C$6,C22)+C23+C24/(1+$C$5-$C$7)^10+C25/(1+$C$5-$C$7)^20</f>
        <v>0</v>
      </c>
      <c r="D39" s="252">
        <f>D20-PV($C$5-$C$7,$C$6,D22)+D23+D24/(1+$C$5-$C$7)^10+D25/(1+$C$5-$C$7)^20</f>
        <v>0</v>
      </c>
      <c r="F39" s="231"/>
    </row>
    <row r="40" spans="1:6" ht="15.75" customHeight="1" x14ac:dyDescent="0.7">
      <c r="A40" s="253" t="s">
        <v>681</v>
      </c>
      <c r="B40" s="254"/>
      <c r="C40" s="255" t="e">
        <f>-PV($C$5-$C$10,$C$6,C29)-PV($C$5-$C$13,$C$6,C31)-PV($C$5-$C$16,$C$6,C33)</f>
        <v>#DIV/0!</v>
      </c>
      <c r="D40" s="256" t="e">
        <f>-PV($C$5-$C$10,$C$6,D29)-PV($C$5-$C$13,$C$6,D31)-PV($C$5-$C$16,$C$6,D33)</f>
        <v>#DIV/0!</v>
      </c>
      <c r="F40" s="231"/>
    </row>
    <row r="41" spans="1:6" ht="15.75" customHeight="1" x14ac:dyDescent="0.7">
      <c r="A41" s="257" t="s">
        <v>682</v>
      </c>
      <c r="B41" s="258"/>
      <c r="C41" s="259" t="e">
        <f>C39+C40</f>
        <v>#DIV/0!</v>
      </c>
      <c r="D41" s="260" t="e">
        <f>D39+D40</f>
        <v>#DIV/0!</v>
      </c>
      <c r="F41" s="231"/>
    </row>
    <row r="42" spans="1:6" ht="15.75" customHeight="1" x14ac:dyDescent="0.7">
      <c r="A42" s="261"/>
      <c r="B42" s="262"/>
      <c r="C42" s="263" t="s">
        <v>683</v>
      </c>
      <c r="D42" s="264" t="e">
        <f>C41-D41</f>
        <v>#DIV/0!</v>
      </c>
      <c r="F42" s="231"/>
    </row>
    <row r="43" spans="1:6" s="231" customFormat="1" ht="12.75" customHeight="1" x14ac:dyDescent="0.6">
      <c r="A43" s="265" t="s">
        <v>684</v>
      </c>
      <c r="B43" s="266"/>
      <c r="C43" s="267" t="e">
        <f>(D39-C39)/(C40-D40)*C36</f>
        <v>#DIV/0!</v>
      </c>
      <c r="D43" s="268" t="e">
        <f>IF($D42&gt;0,"LÖNSAMT","EJ LÖNSAMT")</f>
        <v>#DIV/0!</v>
      </c>
    </row>
    <row r="44" spans="1:6" ht="15.75" customHeight="1" x14ac:dyDescent="0.7">
      <c r="A44" s="269" t="s">
        <v>685</v>
      </c>
      <c r="B44" s="183"/>
      <c r="C44" s="270" t="e">
        <f>C36</f>
        <v>#DIV/0!</v>
      </c>
      <c r="D44" s="271"/>
      <c r="F44" s="231"/>
    </row>
    <row r="45" spans="1:6" ht="15" customHeight="1" x14ac:dyDescent="0.7">
      <c r="C45" s="242"/>
      <c r="D45" s="242"/>
      <c r="F45" s="231"/>
    </row>
    <row r="46" spans="1:6" ht="15.75" customHeight="1" x14ac:dyDescent="0.7">
      <c r="D46" s="272"/>
    </row>
    <row r="47" spans="1:6" ht="15.75" customHeight="1" x14ac:dyDescent="0.7">
      <c r="A47" s="273" t="s">
        <v>686</v>
      </c>
      <c r="B47" s="274"/>
      <c r="D47" s="275" t="s">
        <v>687</v>
      </c>
    </row>
    <row r="49" spans="6:6" ht="15" customHeight="1" x14ac:dyDescent="0.7">
      <c r="F49" s="218"/>
    </row>
  </sheetData>
  <mergeCells count="3">
    <mergeCell ref="C2:D2"/>
    <mergeCell ref="I7:L7"/>
    <mergeCell ref="I15:N16"/>
  </mergeCells>
  <dataValidations count="1">
    <dataValidation type="list" sqref="B2" xr:uid="{00000000-0002-0000-0E00-000000000000}">
      <formula1>"Ja,Nej"</formula1>
      <formula2>0</formula2>
    </dataValidation>
  </dataValidations>
  <pageMargins left="0.7" right="0.7" top="0.75" bottom="0.75" header="0.511811023622047" footer="0.511811023622047"/>
  <pageSetup paperSize="9" orientation="portrait" horizontalDpi="300" verticalDpi="300"/>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49"/>
  <sheetViews>
    <sheetView topLeftCell="A7" zoomScaleNormal="100" workbookViewId="0">
      <selection activeCell="B2" sqref="B2"/>
    </sheetView>
  </sheetViews>
  <sheetFormatPr defaultColWidth="9.1328125" defaultRowHeight="14.5" outlineLevelRow="1" outlineLevelCol="1" x14ac:dyDescent="0.7"/>
  <cols>
    <col min="1" max="1" width="58.86328125" customWidth="1"/>
    <col min="2" max="2" width="6" customWidth="1"/>
    <col min="3" max="3" width="16" customWidth="1"/>
    <col min="4" max="4" width="15.86328125" customWidth="1"/>
    <col min="5" max="5" width="9.1328125" outlineLevel="1"/>
    <col min="6" max="6" width="20.54296875" customWidth="1" outlineLevel="1"/>
  </cols>
  <sheetData>
    <row r="1" spans="1:14" ht="39.75" customHeight="1" x14ac:dyDescent="0.9">
      <c r="A1" s="200" t="s">
        <v>688</v>
      </c>
      <c r="C1" s="201" t="s">
        <v>625</v>
      </c>
      <c r="D1" s="202"/>
    </row>
    <row r="2" spans="1:14" ht="24" customHeight="1" x14ac:dyDescent="1">
      <c r="A2" s="203" t="s">
        <v>626</v>
      </c>
      <c r="B2" s="204" t="s">
        <v>204</v>
      </c>
      <c r="C2" s="293"/>
      <c r="D2" s="293"/>
      <c r="E2" s="201" t="s">
        <v>627</v>
      </c>
      <c r="F2" s="202"/>
    </row>
    <row r="3" spans="1:14" ht="15.75" customHeight="1" x14ac:dyDescent="1">
      <c r="A3" s="205"/>
      <c r="B3" s="206"/>
      <c r="C3" s="207" t="s">
        <v>628</v>
      </c>
      <c r="D3" s="208" t="s">
        <v>629</v>
      </c>
      <c r="E3" s="201" t="s">
        <v>630</v>
      </c>
      <c r="F3" s="202"/>
    </row>
    <row r="4" spans="1:14" ht="13.5" customHeight="1" x14ac:dyDescent="0.7">
      <c r="A4" s="205" t="s">
        <v>631</v>
      </c>
      <c r="C4" s="209">
        <f>Byggnader!$I$32</f>
        <v>0</v>
      </c>
      <c r="D4" s="209" t="s">
        <v>632</v>
      </c>
    </row>
    <row r="5" spans="1:14" ht="13.5" customHeight="1" x14ac:dyDescent="0.7">
      <c r="A5" s="205" t="s">
        <v>633</v>
      </c>
      <c r="C5" s="210">
        <f>Energiprisfaktorer!B6</f>
        <v>0.04</v>
      </c>
      <c r="D5" s="211" t="s">
        <v>634</v>
      </c>
      <c r="E5" s="212"/>
      <c r="F5" s="213" t="s">
        <v>635</v>
      </c>
    </row>
    <row r="6" spans="1:14" ht="15.75" customHeight="1" x14ac:dyDescent="0.7">
      <c r="A6" s="205" t="s">
        <v>636</v>
      </c>
      <c r="C6" s="214">
        <v>20</v>
      </c>
      <c r="D6" s="211" t="s">
        <v>637</v>
      </c>
      <c r="E6" s="215" t="e">
        <f>(D20-C20)/(C34+C22-D34-D22)</f>
        <v>#DIV/0!</v>
      </c>
      <c r="F6" s="213" t="s">
        <v>638</v>
      </c>
    </row>
    <row r="7" spans="1:14" ht="15.75" customHeight="1" x14ac:dyDescent="0.7">
      <c r="A7" s="216" t="s">
        <v>639</v>
      </c>
      <c r="C7" s="210">
        <f>Energiprisfaktorer!B7</f>
        <v>0.02</v>
      </c>
      <c r="D7" s="217" t="str">
        <f>D5</f>
        <v>nominell</v>
      </c>
      <c r="E7" s="218"/>
      <c r="F7" s="219"/>
      <c r="I7" s="294" t="s">
        <v>640</v>
      </c>
      <c r="J7" s="294"/>
      <c r="K7" s="294"/>
      <c r="L7" s="294"/>
    </row>
    <row r="8" spans="1:14" ht="15.75" customHeight="1" x14ac:dyDescent="0.7">
      <c r="A8" s="220" t="s">
        <v>641</v>
      </c>
      <c r="C8" s="221" t="s">
        <v>161</v>
      </c>
      <c r="D8" s="221" t="s">
        <v>143</v>
      </c>
      <c r="E8" s="218"/>
      <c r="F8" s="219"/>
    </row>
    <row r="9" spans="1:14" ht="14.25" customHeight="1" x14ac:dyDescent="0.7">
      <c r="A9" s="222" t="s">
        <v>642</v>
      </c>
      <c r="C9" s="223">
        <f>Energiprisfaktorer!B4</f>
        <v>1.1499999999999999</v>
      </c>
      <c r="D9" s="224" t="s">
        <v>643</v>
      </c>
      <c r="E9" s="218"/>
      <c r="F9" s="219"/>
      <c r="I9" s="196" t="s">
        <v>689</v>
      </c>
      <c r="K9" s="187">
        <v>0.1</v>
      </c>
    </row>
    <row r="10" spans="1:14" ht="14.25" customHeight="1" x14ac:dyDescent="0.7">
      <c r="A10" s="225" t="s">
        <v>645</v>
      </c>
      <c r="C10" s="226">
        <f>Energiprisfaktorer!B5</f>
        <v>0.03</v>
      </c>
      <c r="D10" s="227" t="str">
        <f>D5</f>
        <v>nominell</v>
      </c>
      <c r="E10" s="218"/>
      <c r="F10" s="219"/>
      <c r="I10" s="196" t="s">
        <v>646</v>
      </c>
      <c r="K10">
        <f>J21*J20*J19</f>
        <v>0</v>
      </c>
    </row>
    <row r="11" spans="1:14" ht="14.25" customHeight="1" outlineLevel="1" x14ac:dyDescent="0.7">
      <c r="A11" s="220" t="s">
        <v>647</v>
      </c>
      <c r="C11" s="221" t="s">
        <v>175</v>
      </c>
      <c r="D11" s="221"/>
      <c r="E11" s="218"/>
      <c r="F11" s="219"/>
    </row>
    <row r="12" spans="1:14" ht="14.25" customHeight="1" outlineLevel="1" x14ac:dyDescent="0.7">
      <c r="A12" s="222" t="s">
        <v>642</v>
      </c>
      <c r="C12" s="223">
        <f>Energiprisfaktorer!C4</f>
        <v>2</v>
      </c>
      <c r="D12" s="224" t="s">
        <v>643</v>
      </c>
      <c r="E12" s="218"/>
      <c r="F12" s="219"/>
      <c r="I12" s="228" t="s">
        <v>648</v>
      </c>
      <c r="J12" s="229"/>
      <c r="K12" s="229"/>
      <c r="L12" s="229"/>
    </row>
    <row r="13" spans="1:14" ht="14.25" customHeight="1" outlineLevel="1" x14ac:dyDescent="0.7">
      <c r="A13" s="225" t="s">
        <v>645</v>
      </c>
      <c r="C13" s="226">
        <f>Energiprisfaktorer!C5</f>
        <v>0.04</v>
      </c>
      <c r="D13" s="227" t="str">
        <f>D5</f>
        <v>nominell</v>
      </c>
      <c r="E13" s="218"/>
      <c r="F13" s="219"/>
    </row>
    <row r="14" spans="1:14" ht="14.25" customHeight="1" outlineLevel="1" x14ac:dyDescent="0.7">
      <c r="A14" s="220" t="s">
        <v>649</v>
      </c>
      <c r="C14" s="221"/>
      <c r="D14" s="221"/>
      <c r="E14" s="218"/>
      <c r="F14" s="219"/>
      <c r="I14" s="196" t="s">
        <v>650</v>
      </c>
    </row>
    <row r="15" spans="1:14" ht="15.75" customHeight="1" outlineLevel="1" x14ac:dyDescent="0.7">
      <c r="A15" s="222" t="s">
        <v>642</v>
      </c>
      <c r="C15" s="223">
        <v>0.6</v>
      </c>
      <c r="D15" s="224" t="s">
        <v>643</v>
      </c>
      <c r="I15" s="295" t="s">
        <v>690</v>
      </c>
      <c r="J15" s="295"/>
      <c r="K15" s="295"/>
      <c r="L15" s="295"/>
      <c r="M15" s="295"/>
      <c r="N15" s="295"/>
    </row>
    <row r="16" spans="1:14" ht="70.5" customHeight="1" outlineLevel="1" x14ac:dyDescent="0.7">
      <c r="A16" s="225" t="s">
        <v>645</v>
      </c>
      <c r="C16" s="226">
        <v>0.04</v>
      </c>
      <c r="D16" s="227" t="str">
        <f>D5</f>
        <v>nominell</v>
      </c>
      <c r="I16" s="295"/>
      <c r="J16" s="295"/>
      <c r="K16" s="295"/>
      <c r="L16" s="295"/>
      <c r="M16" s="295"/>
      <c r="N16" s="295"/>
    </row>
    <row r="17" spans="1:10" ht="15.75" customHeight="1" x14ac:dyDescent="0.7">
      <c r="A17" s="225" t="s">
        <v>652</v>
      </c>
      <c r="C17" s="230"/>
      <c r="D17" s="230"/>
      <c r="E17" s="218"/>
    </row>
    <row r="18" spans="1:10" ht="15.75" customHeight="1" x14ac:dyDescent="0.7">
      <c r="A18" s="231"/>
      <c r="C18" s="231"/>
      <c r="D18" s="230"/>
      <c r="E18" s="218"/>
      <c r="I18" s="196" t="s">
        <v>653</v>
      </c>
    </row>
    <row r="19" spans="1:10" ht="15.75" customHeight="1" x14ac:dyDescent="0.7">
      <c r="A19" s="231"/>
      <c r="C19" s="233" t="s">
        <v>654</v>
      </c>
      <c r="D19" s="234" t="s">
        <v>655</v>
      </c>
      <c r="I19" s="196" t="s">
        <v>691</v>
      </c>
      <c r="J19" s="30">
        <f>Byggnader!$I$18</f>
        <v>0</v>
      </c>
    </row>
    <row r="20" spans="1:10" ht="15.75" customHeight="1" x14ac:dyDescent="0.7">
      <c r="A20" s="235" t="s">
        <v>657</v>
      </c>
      <c r="C20" s="236">
        <v>0</v>
      </c>
      <c r="D20" s="236">
        <f>K10</f>
        <v>0</v>
      </c>
      <c r="E20" s="237" t="e">
        <f>D20+C41-D41</f>
        <v>#DIV/0!</v>
      </c>
      <c r="F20" s="213" t="s">
        <v>658</v>
      </c>
      <c r="I20" s="196" t="s">
        <v>692</v>
      </c>
      <c r="J20">
        <v>6</v>
      </c>
    </row>
    <row r="21" spans="1:10" ht="15.75" customHeight="1" x14ac:dyDescent="0.7">
      <c r="A21" s="231"/>
      <c r="C21" s="238"/>
      <c r="D21" s="238"/>
      <c r="E21" s="239"/>
      <c r="F21" s="240"/>
      <c r="I21" s="196" t="s">
        <v>693</v>
      </c>
      <c r="J21">
        <v>800</v>
      </c>
    </row>
    <row r="22" spans="1:10" ht="15.75" customHeight="1" x14ac:dyDescent="0.7">
      <c r="A22" s="216" t="s">
        <v>660</v>
      </c>
      <c r="C22" s="241">
        <v>0</v>
      </c>
      <c r="D22" s="241">
        <v>0</v>
      </c>
    </row>
    <row r="23" spans="1:10" ht="15.75" hidden="1" customHeight="1" outlineLevel="1" x14ac:dyDescent="0.7">
      <c r="A23" s="216" t="s">
        <v>662</v>
      </c>
      <c r="C23" s="236"/>
      <c r="D23" s="236"/>
    </row>
    <row r="24" spans="1:10" ht="15.75" hidden="1" customHeight="1" outlineLevel="1" x14ac:dyDescent="0.7">
      <c r="A24" s="216" t="s">
        <v>663</v>
      </c>
      <c r="C24" s="236"/>
      <c r="D24" s="236"/>
    </row>
    <row r="25" spans="1:10" ht="15.75" hidden="1" customHeight="1" outlineLevel="1" x14ac:dyDescent="0.7">
      <c r="A25" s="216" t="s">
        <v>664</v>
      </c>
      <c r="C25" s="236"/>
      <c r="D25" s="236"/>
    </row>
    <row r="26" spans="1:10" ht="15" customHeight="1" x14ac:dyDescent="0.7">
      <c r="A26" s="216" t="s">
        <v>665</v>
      </c>
      <c r="C26" s="242"/>
      <c r="D26" s="242"/>
    </row>
    <row r="27" spans="1:10" ht="15.75" customHeight="1" x14ac:dyDescent="0.7">
      <c r="A27" s="231"/>
      <c r="C27" s="242"/>
      <c r="D27" s="242"/>
    </row>
    <row r="28" spans="1:10" ht="15.75" customHeight="1" x14ac:dyDescent="0.7">
      <c r="A28" s="220" t="s">
        <v>668</v>
      </c>
      <c r="C28" s="243" t="e">
        <f>Normalisering!$I$112/'Injustering av värmesystem'!C4</f>
        <v>#DIV/0!</v>
      </c>
      <c r="D28" s="243" t="e">
        <f>C28-K9*C28</f>
        <v>#DIV/0!</v>
      </c>
    </row>
    <row r="29" spans="1:10" ht="15.75" customHeight="1" x14ac:dyDescent="0.7">
      <c r="A29" s="244" t="s">
        <v>670</v>
      </c>
      <c r="C29" s="245" t="e">
        <f>C28*$C$4*$C$9</f>
        <v>#DIV/0!</v>
      </c>
      <c r="D29" s="245" t="e">
        <f>D28*$C$4*$C$9</f>
        <v>#DIV/0!</v>
      </c>
    </row>
    <row r="30" spans="1:10" ht="15.75" customHeight="1" outlineLevel="1" x14ac:dyDescent="0.7">
      <c r="A30" s="220" t="s">
        <v>671</v>
      </c>
      <c r="C30" s="243" t="e">
        <f>Normalisering!$I$113/'Injustering av värmesystem'!C4</f>
        <v>#DIV/0!</v>
      </c>
      <c r="D30" s="243" t="e">
        <f>C30-K9*C30</f>
        <v>#DIV/0!</v>
      </c>
    </row>
    <row r="31" spans="1:10" ht="15.75" customHeight="1" outlineLevel="1" x14ac:dyDescent="0.7">
      <c r="A31" s="244" t="s">
        <v>673</v>
      </c>
      <c r="C31" s="245" t="e">
        <f>C30*$C$4*$C$12</f>
        <v>#DIV/0!</v>
      </c>
      <c r="D31" s="245" t="e">
        <f>D30*$C$4*$C$12</f>
        <v>#DIV/0!</v>
      </c>
    </row>
    <row r="32" spans="1:10" ht="15.75" customHeight="1" outlineLevel="1" x14ac:dyDescent="0.7">
      <c r="A32" s="220" t="s">
        <v>675</v>
      </c>
      <c r="C32" s="243"/>
      <c r="D32" s="243"/>
    </row>
    <row r="33" spans="1:6" ht="15.75" customHeight="1" outlineLevel="1" x14ac:dyDescent="0.7">
      <c r="A33" s="244" t="s">
        <v>676</v>
      </c>
      <c r="C33" s="245">
        <f>C32*$C$4*$C$15</f>
        <v>0</v>
      </c>
      <c r="D33" s="245">
        <f>D32*$C$4*$C$15</f>
        <v>0</v>
      </c>
    </row>
    <row r="34" spans="1:6" ht="15" customHeight="1" outlineLevel="1" x14ac:dyDescent="0.7">
      <c r="A34" s="231" t="s">
        <v>677</v>
      </c>
      <c r="C34" s="242" t="e">
        <f>C29+C31+C33</f>
        <v>#DIV/0!</v>
      </c>
      <c r="D34" s="242" t="e">
        <f>D29+D31+D33</f>
        <v>#DIV/0!</v>
      </c>
      <c r="F34" s="231"/>
    </row>
    <row r="35" spans="1:6" ht="15" customHeight="1" outlineLevel="1" x14ac:dyDescent="0.7">
      <c r="A35" s="231" t="s">
        <v>678</v>
      </c>
      <c r="C35" s="242" t="e">
        <f>(C28+C30+C32)*$C$4</f>
        <v>#DIV/0!</v>
      </c>
      <c r="D35" s="242" t="e">
        <f>(D28+D30+D32)*$C$4</f>
        <v>#DIV/0!</v>
      </c>
      <c r="F35" s="231"/>
    </row>
    <row r="36" spans="1:6" ht="15" customHeight="1" outlineLevel="1" x14ac:dyDescent="0.7">
      <c r="A36" s="231" t="s">
        <v>679</v>
      </c>
      <c r="C36" s="247" t="e">
        <f>C34/C35</f>
        <v>#DIV/0!</v>
      </c>
      <c r="D36" s="242"/>
      <c r="F36" s="231"/>
    </row>
    <row r="37" spans="1:6" ht="15" customHeight="1" x14ac:dyDescent="0.7">
      <c r="A37" s="222" t="s">
        <v>652</v>
      </c>
      <c r="C37" s="242"/>
      <c r="D37" s="242"/>
      <c r="F37" s="231"/>
    </row>
    <row r="38" spans="1:6" ht="15.75" customHeight="1" x14ac:dyDescent="0.7">
      <c r="A38" s="248"/>
      <c r="C38" s="242"/>
      <c r="D38" s="242"/>
      <c r="F38" s="231"/>
    </row>
    <row r="39" spans="1:6" ht="15" customHeight="1" x14ac:dyDescent="0.7">
      <c r="A39" s="249" t="s">
        <v>680</v>
      </c>
      <c r="B39" s="250"/>
      <c r="C39" s="251">
        <f>C20-PV($C$5-$C$7,$C$6,C22)+C23+C24/(1+$C$5-$C$7)^10+C25/(1+$C$5-$C$7)^20</f>
        <v>0</v>
      </c>
      <c r="D39" s="252">
        <f>D20-PV($C$5-$C$7,$C$6,D22)+D23+D24/(1+$C$5-$C$7)^10+D25/(1+$C$5-$C$7)^20</f>
        <v>0</v>
      </c>
      <c r="F39" s="231"/>
    </row>
    <row r="40" spans="1:6" ht="15.75" customHeight="1" x14ac:dyDescent="0.7">
      <c r="A40" s="253" t="s">
        <v>681</v>
      </c>
      <c r="B40" s="254"/>
      <c r="C40" s="255" t="e">
        <f>-PV($C$5-$C$10,$C$6,C29)-PV($C$5-$C$13,$C$6,C31)-PV($C$5-$C$16,$C$6,C33)</f>
        <v>#DIV/0!</v>
      </c>
      <c r="D40" s="256" t="e">
        <f>-PV($C$5-$C$10,$C$6,D29)-PV($C$5-$C$13,$C$6,D31)-PV($C$5-$C$16,$C$6,D33)</f>
        <v>#DIV/0!</v>
      </c>
      <c r="F40" s="231"/>
    </row>
    <row r="41" spans="1:6" ht="15.75" customHeight="1" x14ac:dyDescent="0.7">
      <c r="A41" s="257" t="s">
        <v>682</v>
      </c>
      <c r="B41" s="258"/>
      <c r="C41" s="259" t="e">
        <f>C39+C40</f>
        <v>#DIV/0!</v>
      </c>
      <c r="D41" s="260" t="e">
        <f>D39+D40</f>
        <v>#DIV/0!</v>
      </c>
      <c r="F41" s="231"/>
    </row>
    <row r="42" spans="1:6" ht="15.75" customHeight="1" x14ac:dyDescent="0.7">
      <c r="A42" s="261"/>
      <c r="B42" s="262"/>
      <c r="C42" s="263" t="s">
        <v>683</v>
      </c>
      <c r="D42" s="264" t="e">
        <f>C41-D41</f>
        <v>#DIV/0!</v>
      </c>
      <c r="F42" s="231"/>
    </row>
    <row r="43" spans="1:6" s="231" customFormat="1" ht="12.75" customHeight="1" x14ac:dyDescent="0.6">
      <c r="A43" s="265" t="s">
        <v>684</v>
      </c>
      <c r="B43" s="266"/>
      <c r="C43" s="267" t="e">
        <f>(D39-C39)/(C40-D40)*C36</f>
        <v>#DIV/0!</v>
      </c>
      <c r="D43" s="268" t="e">
        <f>IF($D42&gt;0,"LÖNSAMT","EJ LÖNSAMT")</f>
        <v>#DIV/0!</v>
      </c>
    </row>
    <row r="44" spans="1:6" ht="15.75" customHeight="1" x14ac:dyDescent="0.7">
      <c r="A44" s="269" t="s">
        <v>685</v>
      </c>
      <c r="B44" s="183"/>
      <c r="C44" s="270" t="e">
        <f>C36</f>
        <v>#DIV/0!</v>
      </c>
      <c r="D44" s="271"/>
      <c r="F44" s="231"/>
    </row>
    <row r="45" spans="1:6" ht="15" customHeight="1" x14ac:dyDescent="0.7">
      <c r="C45" s="242"/>
      <c r="D45" s="242"/>
      <c r="F45" s="231"/>
    </row>
    <row r="46" spans="1:6" ht="15.75" customHeight="1" x14ac:dyDescent="0.7">
      <c r="D46" s="272"/>
    </row>
    <row r="47" spans="1:6" ht="15.75" customHeight="1" x14ac:dyDescent="0.7">
      <c r="A47" s="273" t="s">
        <v>686</v>
      </c>
      <c r="B47" s="274"/>
      <c r="D47" s="275" t="s">
        <v>687</v>
      </c>
    </row>
    <row r="49" spans="6:6" ht="15" customHeight="1" x14ac:dyDescent="0.7">
      <c r="F49" s="218"/>
    </row>
  </sheetData>
  <mergeCells count="3">
    <mergeCell ref="C2:D2"/>
    <mergeCell ref="I7:L7"/>
    <mergeCell ref="I15:N16"/>
  </mergeCells>
  <dataValidations count="1">
    <dataValidation type="list" sqref="B2" xr:uid="{00000000-0002-0000-0F00-000000000000}">
      <formula1>"Ja,Nej"</formula1>
      <formula2>0</formula2>
    </dataValidation>
  </dataValidations>
  <pageMargins left="0.75" right="0.75" top="1" bottom="1" header="0.511811023622047" footer="0.511811023622047"/>
  <pageSetup orientation="landscape" horizontalDpi="300" verticalDpi="300"/>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49"/>
  <sheetViews>
    <sheetView zoomScaleNormal="100" workbookViewId="0">
      <selection activeCell="B2" sqref="B2"/>
    </sheetView>
  </sheetViews>
  <sheetFormatPr defaultColWidth="9.1328125" defaultRowHeight="14.5" outlineLevelRow="1" outlineLevelCol="1" x14ac:dyDescent="0.7"/>
  <cols>
    <col min="1" max="1" width="58.86328125" customWidth="1"/>
    <col min="2" max="2" width="1.26953125" customWidth="1"/>
    <col min="3" max="3" width="16" customWidth="1"/>
    <col min="4" max="4" width="15.86328125" customWidth="1"/>
    <col min="5" max="5" width="9.1328125" outlineLevel="1"/>
    <col min="6" max="6" width="20.54296875" customWidth="1" outlineLevel="1"/>
  </cols>
  <sheetData>
    <row r="1" spans="1:14" ht="43.5" customHeight="1" x14ac:dyDescent="0.9">
      <c r="A1" s="200" t="s">
        <v>694</v>
      </c>
      <c r="C1" s="201" t="s">
        <v>625</v>
      </c>
      <c r="D1" s="202"/>
    </row>
    <row r="2" spans="1:14" ht="24" customHeight="1" x14ac:dyDescent="1">
      <c r="A2" s="203" t="s">
        <v>626</v>
      </c>
      <c r="B2" s="204" t="s">
        <v>204</v>
      </c>
      <c r="C2" s="293"/>
      <c r="D2" s="293"/>
      <c r="E2" s="201" t="s">
        <v>627</v>
      </c>
      <c r="F2" s="202"/>
    </row>
    <row r="3" spans="1:14" ht="15.75" customHeight="1" x14ac:dyDescent="1">
      <c r="A3" s="205"/>
      <c r="B3" s="206"/>
      <c r="C3" s="207" t="s">
        <v>628</v>
      </c>
      <c r="D3" s="208" t="s">
        <v>629</v>
      </c>
      <c r="E3" s="201" t="s">
        <v>630</v>
      </c>
      <c r="F3" s="202"/>
    </row>
    <row r="4" spans="1:14" ht="13.5" customHeight="1" x14ac:dyDescent="0.7">
      <c r="A4" s="205" t="s">
        <v>631</v>
      </c>
      <c r="C4" s="209">
        <f>Byggnader!$I$32</f>
        <v>0</v>
      </c>
      <c r="D4" s="209" t="s">
        <v>632</v>
      </c>
    </row>
    <row r="5" spans="1:14" ht="13.5" customHeight="1" x14ac:dyDescent="0.7">
      <c r="A5" s="205" t="s">
        <v>633</v>
      </c>
      <c r="C5" s="210">
        <f>Energiprisfaktorer!B6</f>
        <v>0.04</v>
      </c>
      <c r="D5" s="211" t="s">
        <v>634</v>
      </c>
      <c r="E5" s="212"/>
      <c r="F5" s="213" t="s">
        <v>635</v>
      </c>
    </row>
    <row r="6" spans="1:14" ht="15.75" customHeight="1" x14ac:dyDescent="0.7">
      <c r="A6" s="205" t="s">
        <v>636</v>
      </c>
      <c r="C6" s="214">
        <v>20</v>
      </c>
      <c r="D6" s="211" t="s">
        <v>637</v>
      </c>
      <c r="E6" s="215" t="e">
        <f>(D20-C20)/(C34+C22-D34-D22)</f>
        <v>#DIV/0!</v>
      </c>
      <c r="F6" s="213" t="s">
        <v>638</v>
      </c>
    </row>
    <row r="7" spans="1:14" ht="15.75" customHeight="1" x14ac:dyDescent="0.7">
      <c r="A7" s="216" t="s">
        <v>639</v>
      </c>
      <c r="C7" s="210">
        <f>Energiprisfaktorer!B7</f>
        <v>0.02</v>
      </c>
      <c r="D7" s="217" t="str">
        <f>D5</f>
        <v>nominell</v>
      </c>
      <c r="E7" s="218"/>
      <c r="F7" s="219"/>
      <c r="I7" s="294" t="s">
        <v>640</v>
      </c>
      <c r="J7" s="294"/>
      <c r="K7" s="294"/>
      <c r="L7" s="294"/>
    </row>
    <row r="8" spans="1:14" ht="15.75" customHeight="1" x14ac:dyDescent="0.7">
      <c r="A8" s="220" t="s">
        <v>641</v>
      </c>
      <c r="C8" s="221" t="s">
        <v>161</v>
      </c>
      <c r="D8" s="221" t="s">
        <v>143</v>
      </c>
      <c r="E8" s="218"/>
      <c r="F8" s="219"/>
    </row>
    <row r="9" spans="1:14" ht="14.25" customHeight="1" x14ac:dyDescent="0.7">
      <c r="A9" s="222" t="s">
        <v>642</v>
      </c>
      <c r="C9" s="223">
        <f>Energiprisfaktorer!B4</f>
        <v>1.1499999999999999</v>
      </c>
      <c r="D9" s="224" t="s">
        <v>643</v>
      </c>
      <c r="E9" s="218"/>
      <c r="F9" s="219"/>
      <c r="I9" s="196" t="s">
        <v>689</v>
      </c>
      <c r="K9" s="187">
        <v>0.1</v>
      </c>
    </row>
    <row r="10" spans="1:14" ht="14.25" customHeight="1" x14ac:dyDescent="0.7">
      <c r="A10" s="225" t="s">
        <v>645</v>
      </c>
      <c r="C10" s="226">
        <f>Energiprisfaktorer!B5</f>
        <v>0.03</v>
      </c>
      <c r="D10" s="227" t="str">
        <f>D5</f>
        <v>nominell</v>
      </c>
      <c r="E10" s="218"/>
      <c r="F10" s="219"/>
      <c r="I10" s="196" t="s">
        <v>646</v>
      </c>
      <c r="K10">
        <f>55000+1500*Byggnader!$I$18</f>
        <v>55000</v>
      </c>
    </row>
    <row r="11" spans="1:14" ht="14.25" customHeight="1" outlineLevel="1" x14ac:dyDescent="0.7">
      <c r="A11" s="220" t="s">
        <v>647</v>
      </c>
      <c r="C11" s="221" t="s">
        <v>175</v>
      </c>
      <c r="D11" s="221"/>
      <c r="E11" s="218"/>
      <c r="F11" s="219"/>
    </row>
    <row r="12" spans="1:14" ht="14.25" customHeight="1" outlineLevel="1" x14ac:dyDescent="0.7">
      <c r="A12" s="222" t="s">
        <v>642</v>
      </c>
      <c r="C12" s="223">
        <f>Energiprisfaktorer!C4</f>
        <v>2</v>
      </c>
      <c r="D12" s="224" t="s">
        <v>643</v>
      </c>
      <c r="E12" s="218"/>
      <c r="F12" s="219"/>
      <c r="I12" s="228" t="s">
        <v>648</v>
      </c>
      <c r="J12" s="229"/>
      <c r="K12" s="229"/>
      <c r="L12" s="229"/>
    </row>
    <row r="13" spans="1:14" ht="14.25" customHeight="1" outlineLevel="1" x14ac:dyDescent="0.7">
      <c r="A13" s="225" t="s">
        <v>645</v>
      </c>
      <c r="C13" s="226">
        <f>Energiprisfaktorer!C5</f>
        <v>0.04</v>
      </c>
      <c r="D13" s="227" t="str">
        <f>D5</f>
        <v>nominell</v>
      </c>
      <c r="E13" s="218"/>
      <c r="F13" s="219"/>
    </row>
    <row r="14" spans="1:14" ht="14.25" customHeight="1" outlineLevel="1" x14ac:dyDescent="0.7">
      <c r="A14" s="220" t="s">
        <v>649</v>
      </c>
      <c r="C14" s="221"/>
      <c r="D14" s="221"/>
      <c r="E14" s="218"/>
      <c r="F14" s="219"/>
      <c r="I14" s="196" t="s">
        <v>650</v>
      </c>
    </row>
    <row r="15" spans="1:14" ht="15.75" customHeight="1" outlineLevel="1" x14ac:dyDescent="0.7">
      <c r="A15" s="222" t="s">
        <v>642</v>
      </c>
      <c r="C15" s="223">
        <v>0.6</v>
      </c>
      <c r="D15" s="224" t="s">
        <v>643</v>
      </c>
      <c r="I15" s="295" t="s">
        <v>695</v>
      </c>
      <c r="J15" s="295"/>
      <c r="K15" s="295"/>
      <c r="L15" s="295"/>
      <c r="M15" s="295"/>
      <c r="N15" s="295"/>
    </row>
    <row r="16" spans="1:14" ht="75.75" customHeight="1" outlineLevel="1" x14ac:dyDescent="0.7">
      <c r="A16" s="225" t="s">
        <v>645</v>
      </c>
      <c r="C16" s="226">
        <v>0.04</v>
      </c>
      <c r="D16" s="227" t="str">
        <f>D5</f>
        <v>nominell</v>
      </c>
      <c r="I16" s="295"/>
      <c r="J16" s="295"/>
      <c r="K16" s="295"/>
      <c r="L16" s="295"/>
      <c r="M16" s="295"/>
      <c r="N16" s="295"/>
    </row>
    <row r="17" spans="1:9" ht="15.75" customHeight="1" x14ac:dyDescent="0.7">
      <c r="A17" s="225" t="s">
        <v>652</v>
      </c>
      <c r="C17" s="230"/>
      <c r="D17" s="230"/>
      <c r="E17" s="218"/>
    </row>
    <row r="18" spans="1:9" ht="15.75" customHeight="1" x14ac:dyDescent="0.7">
      <c r="A18" s="231"/>
      <c r="C18" s="231"/>
      <c r="D18" s="230"/>
      <c r="E18" s="218"/>
      <c r="I18" s="196"/>
    </row>
    <row r="19" spans="1:9" ht="15.75" customHeight="1" x14ac:dyDescent="0.7">
      <c r="A19" s="231"/>
      <c r="C19" s="233" t="s">
        <v>654</v>
      </c>
      <c r="D19" s="234" t="s">
        <v>655</v>
      </c>
    </row>
    <row r="20" spans="1:9" ht="15.75" customHeight="1" x14ac:dyDescent="0.7">
      <c r="A20" s="235" t="s">
        <v>657</v>
      </c>
      <c r="C20" s="236">
        <v>0</v>
      </c>
      <c r="D20" s="236">
        <f>K10</f>
        <v>55000</v>
      </c>
      <c r="E20" s="237" t="e">
        <f>D20+C41-D41</f>
        <v>#DIV/0!</v>
      </c>
      <c r="F20" s="213" t="s">
        <v>658</v>
      </c>
    </row>
    <row r="21" spans="1:9" ht="15.75" customHeight="1" x14ac:dyDescent="0.7">
      <c r="A21" s="231"/>
      <c r="C21" s="238"/>
      <c r="D21" s="238"/>
      <c r="E21" s="239"/>
      <c r="F21" s="240"/>
    </row>
    <row r="22" spans="1:9" ht="15.75" customHeight="1" x14ac:dyDescent="0.7">
      <c r="A22" s="216" t="s">
        <v>660</v>
      </c>
      <c r="C22" s="241">
        <v>0</v>
      </c>
      <c r="D22" s="241">
        <v>0</v>
      </c>
    </row>
    <row r="23" spans="1:9" ht="15.75" hidden="1" customHeight="1" outlineLevel="1" x14ac:dyDescent="0.7">
      <c r="A23" s="216" t="s">
        <v>662</v>
      </c>
      <c r="C23" s="236"/>
      <c r="D23" s="236"/>
    </row>
    <row r="24" spans="1:9" ht="15.75" hidden="1" customHeight="1" outlineLevel="1" x14ac:dyDescent="0.7">
      <c r="A24" s="216" t="s">
        <v>663</v>
      </c>
      <c r="C24" s="236"/>
      <c r="D24" s="236"/>
    </row>
    <row r="25" spans="1:9" ht="15.75" hidden="1" customHeight="1" outlineLevel="1" x14ac:dyDescent="0.7">
      <c r="A25" s="216" t="s">
        <v>664</v>
      </c>
      <c r="C25" s="236"/>
      <c r="D25" s="236"/>
    </row>
    <row r="26" spans="1:9" ht="15" customHeight="1" x14ac:dyDescent="0.7">
      <c r="A26" s="216" t="s">
        <v>665</v>
      </c>
      <c r="C26" s="242"/>
      <c r="D26" s="242"/>
    </row>
    <row r="27" spans="1:9" ht="15.75" customHeight="1" x14ac:dyDescent="0.7">
      <c r="A27" s="231"/>
      <c r="C27" s="242"/>
      <c r="D27" s="242"/>
    </row>
    <row r="28" spans="1:9" ht="15.75" customHeight="1" x14ac:dyDescent="0.7">
      <c r="A28" s="220" t="s">
        <v>668</v>
      </c>
      <c r="C28" s="243" t="e">
        <f>Normalisering!$I$89/Byggnader!$I$32</f>
        <v>#DIV/0!</v>
      </c>
      <c r="D28" s="243" t="e">
        <f>C28-K9*C28</f>
        <v>#DIV/0!</v>
      </c>
    </row>
    <row r="29" spans="1:9" ht="15.75" customHeight="1" x14ac:dyDescent="0.7">
      <c r="A29" s="244" t="s">
        <v>670</v>
      </c>
      <c r="C29" s="245" t="e">
        <f>C28*$C$4*$C$9</f>
        <v>#DIV/0!</v>
      </c>
      <c r="D29" s="245" t="e">
        <f>D28*$C$4*$C$9</f>
        <v>#DIV/0!</v>
      </c>
    </row>
    <row r="30" spans="1:9" ht="15.75" customHeight="1" outlineLevel="1" x14ac:dyDescent="0.7">
      <c r="A30" s="220" t="s">
        <v>671</v>
      </c>
      <c r="C30" s="243"/>
      <c r="D30" s="243"/>
    </row>
    <row r="31" spans="1:9" ht="15.75" customHeight="1" outlineLevel="1" x14ac:dyDescent="0.7">
      <c r="A31" s="244" t="s">
        <v>673</v>
      </c>
      <c r="C31" s="245">
        <f>C30*$C$4*$C$12</f>
        <v>0</v>
      </c>
      <c r="D31" s="245">
        <f>D30*$C$4*$C$12</f>
        <v>0</v>
      </c>
    </row>
    <row r="32" spans="1:9" ht="15.75" customHeight="1" outlineLevel="1" x14ac:dyDescent="0.7">
      <c r="A32" s="220" t="s">
        <v>675</v>
      </c>
      <c r="C32" s="243"/>
      <c r="D32" s="243"/>
    </row>
    <row r="33" spans="1:6" ht="15.75" customHeight="1" outlineLevel="1" x14ac:dyDescent="0.7">
      <c r="A33" s="244" t="s">
        <v>676</v>
      </c>
      <c r="C33" s="245">
        <f>C32*$C$4*$C$15</f>
        <v>0</v>
      </c>
      <c r="D33" s="245">
        <f>D32*$C$4*$C$15</f>
        <v>0</v>
      </c>
    </row>
    <row r="34" spans="1:6" ht="15" customHeight="1" outlineLevel="1" x14ac:dyDescent="0.7">
      <c r="A34" s="231" t="s">
        <v>677</v>
      </c>
      <c r="C34" s="242" t="e">
        <f>C29+C31+C33</f>
        <v>#DIV/0!</v>
      </c>
      <c r="D34" s="242" t="e">
        <f>D29+D31+D33</f>
        <v>#DIV/0!</v>
      </c>
      <c r="F34" s="231"/>
    </row>
    <row r="35" spans="1:6" ht="15" customHeight="1" outlineLevel="1" x14ac:dyDescent="0.7">
      <c r="A35" s="231" t="s">
        <v>678</v>
      </c>
      <c r="C35" s="242" t="e">
        <f>(C28+C30+C32)*$C$4</f>
        <v>#DIV/0!</v>
      </c>
      <c r="D35" s="242" t="e">
        <f>(D28+D30+D32)*$C$4</f>
        <v>#DIV/0!</v>
      </c>
      <c r="F35" s="231"/>
    </row>
    <row r="36" spans="1:6" ht="15" customHeight="1" outlineLevel="1" x14ac:dyDescent="0.7">
      <c r="A36" s="231" t="s">
        <v>679</v>
      </c>
      <c r="C36" s="247" t="e">
        <f>C34/C35</f>
        <v>#DIV/0!</v>
      </c>
      <c r="D36" s="242"/>
      <c r="F36" s="231"/>
    </row>
    <row r="37" spans="1:6" ht="15" customHeight="1" x14ac:dyDescent="0.7">
      <c r="A37" s="222" t="s">
        <v>652</v>
      </c>
      <c r="C37" s="242"/>
      <c r="D37" s="242"/>
      <c r="F37" s="231"/>
    </row>
    <row r="38" spans="1:6" ht="15.75" customHeight="1" x14ac:dyDescent="0.7">
      <c r="A38" s="248"/>
      <c r="C38" s="242"/>
      <c r="D38" s="242"/>
      <c r="F38" s="231"/>
    </row>
    <row r="39" spans="1:6" ht="15" customHeight="1" x14ac:dyDescent="0.7">
      <c r="A39" s="249" t="s">
        <v>680</v>
      </c>
      <c r="B39" s="250"/>
      <c r="C39" s="251">
        <f>C20-PV($C$5-$C$7,$C$6,C22)+C23+C24/(1+$C$5-$C$7)^10+C25/(1+$C$5-$C$7)^20</f>
        <v>0</v>
      </c>
      <c r="D39" s="252">
        <f>D20-PV($C$5-$C$7,$C$6,D22)+D23+D24/(1+$C$5-$C$7)^10+D25/(1+$C$5-$C$7)^20</f>
        <v>55000</v>
      </c>
      <c r="F39" s="231"/>
    </row>
    <row r="40" spans="1:6" ht="15.75" customHeight="1" x14ac:dyDescent="0.7">
      <c r="A40" s="253" t="s">
        <v>681</v>
      </c>
      <c r="B40" s="254"/>
      <c r="C40" s="255" t="e">
        <f>-PV($C$5-$C$10,$C$6,C29)-PV($C$5-$C$13,$C$6,C31)-PV($C$5-$C$16,$C$6,C33)</f>
        <v>#DIV/0!</v>
      </c>
      <c r="D40" s="256" t="e">
        <f>-PV($C$5-$C$10,$C$6,D29)-PV($C$5-$C$13,$C$6,D31)-PV($C$5-$C$16,$C$6,D33)</f>
        <v>#DIV/0!</v>
      </c>
      <c r="F40" s="231"/>
    </row>
    <row r="41" spans="1:6" ht="15.75" customHeight="1" x14ac:dyDescent="0.7">
      <c r="A41" s="257" t="s">
        <v>682</v>
      </c>
      <c r="B41" s="258"/>
      <c r="C41" s="259" t="e">
        <f>C39+C40</f>
        <v>#DIV/0!</v>
      </c>
      <c r="D41" s="260" t="e">
        <f>D39+D40</f>
        <v>#DIV/0!</v>
      </c>
      <c r="F41" s="231"/>
    </row>
    <row r="42" spans="1:6" ht="15.75" customHeight="1" x14ac:dyDescent="0.7">
      <c r="A42" s="261"/>
      <c r="B42" s="262"/>
      <c r="C42" s="263" t="s">
        <v>683</v>
      </c>
      <c r="D42" s="264" t="e">
        <f>C41-D41</f>
        <v>#DIV/0!</v>
      </c>
      <c r="F42" s="231"/>
    </row>
    <row r="43" spans="1:6" s="231" customFormat="1" ht="12.75" customHeight="1" x14ac:dyDescent="0.6">
      <c r="A43" s="265" t="s">
        <v>684</v>
      </c>
      <c r="B43" s="266"/>
      <c r="C43" s="267" t="e">
        <f>(D39-C39)/(C40-D40)*C36</f>
        <v>#DIV/0!</v>
      </c>
      <c r="D43" s="268" t="e">
        <f>IF($D42&gt;0,"LÖNSAMT","EJ LÖNSAMT")</f>
        <v>#DIV/0!</v>
      </c>
    </row>
    <row r="44" spans="1:6" ht="15.75" customHeight="1" x14ac:dyDescent="0.7">
      <c r="A44" s="269" t="s">
        <v>685</v>
      </c>
      <c r="B44" s="183"/>
      <c r="C44" s="270" t="e">
        <f>C36</f>
        <v>#DIV/0!</v>
      </c>
      <c r="D44" s="271"/>
      <c r="F44" s="231"/>
    </row>
    <row r="45" spans="1:6" ht="15" customHeight="1" x14ac:dyDescent="0.7">
      <c r="C45" s="242"/>
      <c r="D45" s="242"/>
      <c r="F45" s="231"/>
    </row>
    <row r="46" spans="1:6" ht="15.75" customHeight="1" x14ac:dyDescent="0.7">
      <c r="D46" s="272"/>
    </row>
    <row r="47" spans="1:6" ht="15.75" customHeight="1" x14ac:dyDescent="0.7">
      <c r="A47" s="273" t="s">
        <v>686</v>
      </c>
      <c r="B47" s="274"/>
      <c r="D47" s="275" t="s">
        <v>687</v>
      </c>
    </row>
    <row r="49" spans="6:6" ht="15" customHeight="1" x14ac:dyDescent="0.7">
      <c r="F49" s="218"/>
    </row>
  </sheetData>
  <mergeCells count="3">
    <mergeCell ref="C2:D2"/>
    <mergeCell ref="I7:L7"/>
    <mergeCell ref="I15:N16"/>
  </mergeCells>
  <dataValidations count="1">
    <dataValidation type="list" sqref="B2" xr:uid="{00000000-0002-0000-1000-000000000000}">
      <formula1>"Ja,Nej"</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49"/>
  <sheetViews>
    <sheetView topLeftCell="B1" zoomScaleNormal="100" workbookViewId="0">
      <selection activeCell="H27" sqref="H27"/>
    </sheetView>
  </sheetViews>
  <sheetFormatPr defaultColWidth="9.1328125" defaultRowHeight="14.5" outlineLevelRow="1" outlineLevelCol="1" x14ac:dyDescent="0.7"/>
  <cols>
    <col min="1" max="1" width="58.86328125" customWidth="1"/>
    <col min="2" max="2" width="1.26953125" customWidth="1"/>
    <col min="3" max="3" width="16" customWidth="1"/>
    <col min="4" max="4" width="15.86328125" customWidth="1"/>
    <col min="5" max="5" width="9.1328125" outlineLevel="1"/>
    <col min="6" max="6" width="20.54296875" customWidth="1" outlineLevel="1"/>
    <col min="9" max="9" width="28.86328125" customWidth="1"/>
    <col min="10" max="10" width="13.40625" customWidth="1"/>
    <col min="11" max="11" width="10.86328125" customWidth="1"/>
  </cols>
  <sheetData>
    <row r="1" spans="1:14" ht="45.75" customHeight="1" x14ac:dyDescent="0.9">
      <c r="A1" s="200" t="s">
        <v>696</v>
      </c>
      <c r="C1" s="201" t="s">
        <v>625</v>
      </c>
      <c r="D1" s="202"/>
    </row>
    <row r="2" spans="1:14" ht="24" customHeight="1" x14ac:dyDescent="1">
      <c r="A2" s="203" t="s">
        <v>626</v>
      </c>
      <c r="B2" s="204" t="s">
        <v>204</v>
      </c>
      <c r="C2" s="293"/>
      <c r="D2" s="293"/>
      <c r="E2" s="201" t="s">
        <v>627</v>
      </c>
      <c r="F2" s="202"/>
    </row>
    <row r="3" spans="1:14" ht="15.75" customHeight="1" x14ac:dyDescent="1">
      <c r="A3" s="205"/>
      <c r="B3" s="206"/>
      <c r="C3" s="207" t="s">
        <v>628</v>
      </c>
      <c r="D3" s="208" t="s">
        <v>629</v>
      </c>
      <c r="E3" s="201" t="s">
        <v>630</v>
      </c>
      <c r="F3" s="202"/>
    </row>
    <row r="4" spans="1:14" ht="13.5" customHeight="1" x14ac:dyDescent="0.7">
      <c r="A4" s="205" t="s">
        <v>631</v>
      </c>
      <c r="C4" s="209">
        <f>Byggnader!$I$32</f>
        <v>0</v>
      </c>
      <c r="D4" s="209" t="s">
        <v>632</v>
      </c>
    </row>
    <row r="5" spans="1:14" ht="13.5" customHeight="1" x14ac:dyDescent="0.7">
      <c r="A5" s="205" t="s">
        <v>633</v>
      </c>
      <c r="C5" s="210">
        <f>Energiprisfaktorer!B6</f>
        <v>0.04</v>
      </c>
      <c r="D5" s="211" t="s">
        <v>634</v>
      </c>
      <c r="E5" s="212"/>
      <c r="F5" s="213" t="s">
        <v>635</v>
      </c>
    </row>
    <row r="6" spans="1:14" ht="15.75" customHeight="1" x14ac:dyDescent="0.7">
      <c r="A6" s="205" t="s">
        <v>636</v>
      </c>
      <c r="C6" s="214">
        <v>20</v>
      </c>
      <c r="D6" s="211" t="s">
        <v>637</v>
      </c>
      <c r="E6" s="215" t="e">
        <f>(D20-C20)/(C34+C22-D34-D22)</f>
        <v>#DIV/0!</v>
      </c>
      <c r="F6" s="213" t="s">
        <v>638</v>
      </c>
    </row>
    <row r="7" spans="1:14" ht="15.75" customHeight="1" x14ac:dyDescent="0.7">
      <c r="A7" s="216" t="s">
        <v>639</v>
      </c>
      <c r="C7" s="210">
        <f>Energiprisfaktorer!B7</f>
        <v>0.02</v>
      </c>
      <c r="D7" s="217" t="str">
        <f>D5</f>
        <v>nominell</v>
      </c>
      <c r="E7" s="218"/>
      <c r="F7" s="219"/>
      <c r="I7" s="294" t="s">
        <v>640</v>
      </c>
      <c r="J7" s="294"/>
      <c r="K7" s="294"/>
      <c r="L7" s="294"/>
    </row>
    <row r="8" spans="1:14" ht="15.75" customHeight="1" x14ac:dyDescent="0.7">
      <c r="A8" s="220" t="s">
        <v>641</v>
      </c>
      <c r="C8" s="221" t="s">
        <v>175</v>
      </c>
      <c r="D8" s="221" t="s">
        <v>143</v>
      </c>
      <c r="E8" s="218"/>
      <c r="F8" s="219"/>
      <c r="I8" t="s">
        <v>697</v>
      </c>
      <c r="K8">
        <v>120</v>
      </c>
    </row>
    <row r="9" spans="1:14" ht="14.25" customHeight="1" x14ac:dyDescent="0.7">
      <c r="A9" s="222" t="s">
        <v>642</v>
      </c>
      <c r="C9" s="223">
        <f>Energiprisfaktorer!C4</f>
        <v>2</v>
      </c>
      <c r="D9" s="224" t="s">
        <v>643</v>
      </c>
      <c r="E9" s="218"/>
      <c r="F9" s="219"/>
      <c r="I9" s="196" t="s">
        <v>646</v>
      </c>
      <c r="K9">
        <f>K8*K19</f>
        <v>14400</v>
      </c>
    </row>
    <row r="10" spans="1:14" ht="14.25" customHeight="1" x14ac:dyDescent="0.7">
      <c r="A10" s="225" t="s">
        <v>645</v>
      </c>
      <c r="C10" s="226">
        <f>Energiprisfaktorer!B5</f>
        <v>0.03</v>
      </c>
      <c r="D10" s="227" t="str">
        <f>D5</f>
        <v>nominell</v>
      </c>
      <c r="E10" s="218"/>
      <c r="F10" s="219"/>
      <c r="I10" s="196" t="s">
        <v>698</v>
      </c>
      <c r="K10" s="30">
        <f>K26-K27</f>
        <v>1848</v>
      </c>
    </row>
    <row r="11" spans="1:14" ht="14.25" customHeight="1" outlineLevel="1" x14ac:dyDescent="0.7">
      <c r="A11" s="220" t="s">
        <v>647</v>
      </c>
      <c r="C11" s="221" t="s">
        <v>161</v>
      </c>
      <c r="D11" s="221"/>
      <c r="E11" s="218"/>
      <c r="F11" s="219"/>
    </row>
    <row r="12" spans="1:14" ht="14.25" customHeight="1" outlineLevel="1" x14ac:dyDescent="0.7">
      <c r="A12" s="222" t="s">
        <v>642</v>
      </c>
      <c r="C12" s="223">
        <f>Energiprisfaktorer!B4</f>
        <v>1.1499999999999999</v>
      </c>
      <c r="D12" s="224" t="s">
        <v>643</v>
      </c>
      <c r="E12" s="218"/>
      <c r="F12" s="219"/>
      <c r="I12" s="228" t="s">
        <v>648</v>
      </c>
      <c r="J12" s="229"/>
      <c r="K12" s="229"/>
      <c r="L12" s="229"/>
    </row>
    <row r="13" spans="1:14" ht="14.25" customHeight="1" outlineLevel="1" x14ac:dyDescent="0.7">
      <c r="A13" s="225" t="s">
        <v>645</v>
      </c>
      <c r="C13" s="226">
        <f>Energiprisfaktorer!C5</f>
        <v>0.04</v>
      </c>
      <c r="D13" s="227" t="str">
        <f>D5</f>
        <v>nominell</v>
      </c>
      <c r="E13" s="218"/>
      <c r="F13" s="219"/>
    </row>
    <row r="14" spans="1:14" ht="14.25" customHeight="1" outlineLevel="1" x14ac:dyDescent="0.7">
      <c r="A14" s="220" t="s">
        <v>649</v>
      </c>
      <c r="C14" s="221"/>
      <c r="D14" s="221"/>
      <c r="E14" s="218"/>
      <c r="F14" s="219"/>
      <c r="I14" s="196" t="s">
        <v>650</v>
      </c>
    </row>
    <row r="15" spans="1:14" ht="15.75" customHeight="1" outlineLevel="1" x14ac:dyDescent="0.7">
      <c r="A15" s="222" t="s">
        <v>642</v>
      </c>
      <c r="C15" s="223">
        <v>0.6</v>
      </c>
      <c r="D15" s="224" t="s">
        <v>643</v>
      </c>
      <c r="I15" s="295" t="s">
        <v>699</v>
      </c>
      <c r="J15" s="295"/>
      <c r="K15" s="295"/>
      <c r="L15" s="295"/>
      <c r="M15" s="295"/>
      <c r="N15" s="295"/>
    </row>
    <row r="16" spans="1:14" ht="15.75" customHeight="1" outlineLevel="1" x14ac:dyDescent="0.7">
      <c r="A16" s="225" t="s">
        <v>645</v>
      </c>
      <c r="C16" s="226">
        <v>0.04</v>
      </c>
      <c r="D16" s="227" t="str">
        <f>D5</f>
        <v>nominell</v>
      </c>
      <c r="I16" s="295"/>
      <c r="J16" s="295"/>
      <c r="K16" s="295"/>
      <c r="L16" s="295"/>
      <c r="M16" s="295"/>
      <c r="N16" s="295"/>
    </row>
    <row r="17" spans="1:12" ht="15.75" customHeight="1" x14ac:dyDescent="0.7">
      <c r="A17" s="225" t="s">
        <v>652</v>
      </c>
      <c r="C17" s="230"/>
      <c r="D17" s="230"/>
      <c r="E17" s="218"/>
    </row>
    <row r="18" spans="1:12" ht="15.75" customHeight="1" x14ac:dyDescent="0.7">
      <c r="A18" s="231"/>
      <c r="C18" s="231"/>
      <c r="D18" s="230"/>
      <c r="E18" s="218"/>
      <c r="I18" s="196" t="s">
        <v>653</v>
      </c>
    </row>
    <row r="19" spans="1:12" ht="15.75" customHeight="1" x14ac:dyDescent="0.7">
      <c r="A19" s="231"/>
      <c r="C19" s="233" t="s">
        <v>654</v>
      </c>
      <c r="D19" s="234" t="s">
        <v>655</v>
      </c>
      <c r="I19" s="196" t="s">
        <v>700</v>
      </c>
      <c r="K19">
        <v>120</v>
      </c>
    </row>
    <row r="20" spans="1:12" ht="15.75" customHeight="1" x14ac:dyDescent="0.7">
      <c r="A20" s="235" t="s">
        <v>657</v>
      </c>
      <c r="C20" s="236">
        <v>0</v>
      </c>
      <c r="D20" s="236">
        <f>K9</f>
        <v>14400</v>
      </c>
      <c r="E20" s="237" t="e">
        <f>D20+C41-D41</f>
        <v>#DIV/0!</v>
      </c>
      <c r="F20" s="213" t="s">
        <v>658</v>
      </c>
      <c r="I20" s="196" t="s">
        <v>701</v>
      </c>
      <c r="K20">
        <v>0.25</v>
      </c>
    </row>
    <row r="21" spans="1:12" ht="15.75" customHeight="1" x14ac:dyDescent="0.7">
      <c r="A21" s="231"/>
      <c r="C21" s="238"/>
      <c r="D21" s="238"/>
      <c r="E21" s="239"/>
      <c r="F21" s="240"/>
      <c r="I21" s="196" t="s">
        <v>702</v>
      </c>
      <c r="K21">
        <v>0.11</v>
      </c>
    </row>
    <row r="22" spans="1:12" ht="15.75" customHeight="1" x14ac:dyDescent="0.7">
      <c r="A22" s="216" t="s">
        <v>660</v>
      </c>
      <c r="C22" s="241">
        <v>0</v>
      </c>
      <c r="D22" s="241">
        <v>0</v>
      </c>
      <c r="I22" s="196" t="s">
        <v>300</v>
      </c>
      <c r="K22">
        <v>110000</v>
      </c>
      <c r="L22" t="s">
        <v>703</v>
      </c>
    </row>
    <row r="23" spans="1:12" ht="15.75" hidden="1" customHeight="1" outlineLevel="1" x14ac:dyDescent="0.7">
      <c r="A23" s="216" t="s">
        <v>662</v>
      </c>
      <c r="C23" s="236"/>
      <c r="D23" s="236"/>
    </row>
    <row r="24" spans="1:12" ht="15.75" hidden="1" customHeight="1" outlineLevel="1" x14ac:dyDescent="0.7">
      <c r="A24" s="216" t="s">
        <v>663</v>
      </c>
      <c r="C24" s="236"/>
      <c r="D24" s="236"/>
    </row>
    <row r="25" spans="1:12" ht="15.75" hidden="1" customHeight="1" outlineLevel="1" x14ac:dyDescent="0.7">
      <c r="A25" s="216" t="s">
        <v>664</v>
      </c>
      <c r="C25" s="236"/>
      <c r="D25" s="236"/>
    </row>
    <row r="26" spans="1:12" ht="15" customHeight="1" x14ac:dyDescent="0.7">
      <c r="A26" s="216" t="s">
        <v>665</v>
      </c>
      <c r="C26" s="242"/>
      <c r="D26" s="242"/>
      <c r="I26" s="196" t="s">
        <v>704</v>
      </c>
      <c r="K26">
        <f>K19*K20*K22*0.001</f>
        <v>3300</v>
      </c>
    </row>
    <row r="27" spans="1:12" ht="15.75" customHeight="1" x14ac:dyDescent="0.7">
      <c r="A27" s="231"/>
      <c r="C27" s="242"/>
      <c r="D27" s="242"/>
      <c r="I27" s="196" t="s">
        <v>705</v>
      </c>
      <c r="K27">
        <f>K19*K21*K22*0.001</f>
        <v>1452</v>
      </c>
    </row>
    <row r="28" spans="1:12" ht="15.75" customHeight="1" x14ac:dyDescent="0.7">
      <c r="A28" s="220" t="s">
        <v>668</v>
      </c>
      <c r="C28" s="243">
        <v>0</v>
      </c>
      <c r="D28" s="243">
        <v>0</v>
      </c>
      <c r="I28" t="s">
        <v>706</v>
      </c>
      <c r="K28">
        <f>K26-K27</f>
        <v>1848</v>
      </c>
    </row>
    <row r="29" spans="1:12" ht="15.75" customHeight="1" x14ac:dyDescent="0.7">
      <c r="A29" s="244" t="s">
        <v>670</v>
      </c>
      <c r="C29" s="245">
        <f>C28*$C$4*$C$9</f>
        <v>0</v>
      </c>
      <c r="D29" s="245">
        <f>D28*$C$4*$C$9</f>
        <v>0</v>
      </c>
    </row>
    <row r="30" spans="1:12" ht="15.75" customHeight="1" outlineLevel="1" x14ac:dyDescent="0.7">
      <c r="A30" s="220" t="s">
        <v>671</v>
      </c>
      <c r="C30" s="243" t="e">
        <f>Normalisering!$I$112/(Byggnader!$I$32)</f>
        <v>#DIV/0!</v>
      </c>
      <c r="D30" s="243" t="e">
        <f>(Normalisering!$I$112-K10)/(Byggnader!$I$32)</f>
        <v>#DIV/0!</v>
      </c>
    </row>
    <row r="31" spans="1:12" ht="15.75" customHeight="1" outlineLevel="1" x14ac:dyDescent="0.7">
      <c r="A31" s="244" t="s">
        <v>673</v>
      </c>
      <c r="C31" s="245" t="e">
        <f>C30*$C$4*$C$12</f>
        <v>#DIV/0!</v>
      </c>
      <c r="D31" s="245" t="e">
        <f>D30*$C$4*$C$12</f>
        <v>#DIV/0!</v>
      </c>
    </row>
    <row r="32" spans="1:12" ht="15.75" customHeight="1" outlineLevel="1" x14ac:dyDescent="0.7">
      <c r="A32" s="220" t="s">
        <v>675</v>
      </c>
      <c r="C32" s="243"/>
      <c r="D32" s="243"/>
    </row>
    <row r="33" spans="1:6" ht="15.75" customHeight="1" outlineLevel="1" x14ac:dyDescent="0.7">
      <c r="A33" s="244" t="s">
        <v>676</v>
      </c>
      <c r="C33" s="245">
        <f>C32*$C$4*$C$15</f>
        <v>0</v>
      </c>
      <c r="D33" s="245">
        <f>D32*$C$4*$C$15</f>
        <v>0</v>
      </c>
    </row>
    <row r="34" spans="1:6" ht="15" customHeight="1" outlineLevel="1" x14ac:dyDescent="0.7">
      <c r="A34" s="231" t="s">
        <v>677</v>
      </c>
      <c r="C34" s="242" t="e">
        <f>C29+C31+C33</f>
        <v>#DIV/0!</v>
      </c>
      <c r="D34" s="242" t="e">
        <f>D29+D31+D33</f>
        <v>#DIV/0!</v>
      </c>
      <c r="F34" s="231"/>
    </row>
    <row r="35" spans="1:6" ht="15" customHeight="1" outlineLevel="1" x14ac:dyDescent="0.7">
      <c r="A35" s="231" t="s">
        <v>678</v>
      </c>
      <c r="C35" s="242" t="e">
        <f>(C28+C30+C32)*$C$4</f>
        <v>#DIV/0!</v>
      </c>
      <c r="D35" s="242" t="e">
        <f>(D28+D30+D32)*$C$4</f>
        <v>#DIV/0!</v>
      </c>
      <c r="F35" s="231"/>
    </row>
    <row r="36" spans="1:6" ht="15" customHeight="1" outlineLevel="1" x14ac:dyDescent="0.7">
      <c r="A36" s="231" t="s">
        <v>679</v>
      </c>
      <c r="C36" s="247" t="e">
        <f>C34/C35</f>
        <v>#DIV/0!</v>
      </c>
      <c r="D36" s="242"/>
      <c r="F36" s="231"/>
    </row>
    <row r="37" spans="1:6" ht="15" customHeight="1" x14ac:dyDescent="0.7">
      <c r="A37" s="222" t="s">
        <v>652</v>
      </c>
      <c r="C37" s="242"/>
      <c r="D37" s="242"/>
      <c r="F37" s="231"/>
    </row>
    <row r="38" spans="1:6" ht="15.75" customHeight="1" x14ac:dyDescent="0.7">
      <c r="A38" s="248"/>
      <c r="C38" s="242"/>
      <c r="D38" s="242"/>
      <c r="F38" s="231"/>
    </row>
    <row r="39" spans="1:6" ht="15" customHeight="1" x14ac:dyDescent="0.7">
      <c r="A39" s="249" t="s">
        <v>680</v>
      </c>
      <c r="B39" s="250"/>
      <c r="C39" s="251">
        <f>C20-PV($C$5-$C$7,$C$6,C22)+C23+C24/(1+$C$5-$C$7)^10+C25/(1+$C$5-$C$7)^20</f>
        <v>0</v>
      </c>
      <c r="D39" s="252">
        <f>D20-PV($C$5-$C$7,$C$6,D22)+D23+D24/(1+$C$5-$C$7)^10+D25/(1+$C$5-$C$7)^20</f>
        <v>14400</v>
      </c>
      <c r="F39" s="231"/>
    </row>
    <row r="40" spans="1:6" ht="15.75" customHeight="1" x14ac:dyDescent="0.7">
      <c r="A40" s="253" t="s">
        <v>681</v>
      </c>
      <c r="B40" s="254"/>
      <c r="C40" s="255" t="e">
        <f>-PV($C$5-$C$10,$C$6,C29)-PV($C$5-$C$13,$C$6,C31)-PV($C$5-$C$16,$C$6,C33)</f>
        <v>#DIV/0!</v>
      </c>
      <c r="D40" s="256" t="e">
        <f>-PV($C$5-$C$10,$C$6,D29)-PV($C$5-$C$13,$C$6,D31)-PV($C$5-$C$16,$C$6,D33)</f>
        <v>#DIV/0!</v>
      </c>
      <c r="F40" s="231"/>
    </row>
    <row r="41" spans="1:6" ht="15.75" customHeight="1" x14ac:dyDescent="0.7">
      <c r="A41" s="257" t="s">
        <v>682</v>
      </c>
      <c r="B41" s="258"/>
      <c r="C41" s="259" t="e">
        <f>C39+C40</f>
        <v>#DIV/0!</v>
      </c>
      <c r="D41" s="260" t="e">
        <f>D39+D40</f>
        <v>#DIV/0!</v>
      </c>
      <c r="F41" s="231"/>
    </row>
    <row r="42" spans="1:6" ht="15.75" customHeight="1" x14ac:dyDescent="0.7">
      <c r="A42" s="261"/>
      <c r="B42" s="262"/>
      <c r="C42" s="263" t="s">
        <v>683</v>
      </c>
      <c r="D42" s="264" t="e">
        <f>C41-D41</f>
        <v>#DIV/0!</v>
      </c>
      <c r="F42" s="231"/>
    </row>
    <row r="43" spans="1:6" s="231" customFormat="1" ht="12.75" customHeight="1" x14ac:dyDescent="0.6">
      <c r="A43" s="265" t="s">
        <v>684</v>
      </c>
      <c r="B43" s="266"/>
      <c r="C43" s="267" t="e">
        <f>(D39-C39)/(C40-D40)*C36</f>
        <v>#DIV/0!</v>
      </c>
      <c r="D43" s="268" t="e">
        <f>IF($D42&gt;0,"LÖNSAMT","EJ LÖNSAMT")</f>
        <v>#DIV/0!</v>
      </c>
    </row>
    <row r="44" spans="1:6" ht="15.75" customHeight="1" x14ac:dyDescent="0.7">
      <c r="A44" s="269" t="s">
        <v>685</v>
      </c>
      <c r="B44" s="183"/>
      <c r="C44" s="270" t="e">
        <f>C36</f>
        <v>#DIV/0!</v>
      </c>
      <c r="D44" s="271"/>
      <c r="F44" s="231"/>
    </row>
    <row r="45" spans="1:6" ht="15" customHeight="1" x14ac:dyDescent="0.7">
      <c r="C45" s="242"/>
      <c r="D45" s="242"/>
      <c r="F45" s="231"/>
    </row>
    <row r="46" spans="1:6" ht="15.75" customHeight="1" x14ac:dyDescent="0.7">
      <c r="D46" s="272"/>
    </row>
    <row r="47" spans="1:6" ht="15.75" customHeight="1" x14ac:dyDescent="0.7">
      <c r="A47" s="273" t="s">
        <v>686</v>
      </c>
      <c r="B47" s="274"/>
      <c r="D47" s="275" t="s">
        <v>687</v>
      </c>
    </row>
    <row r="49" spans="6:6" ht="15" customHeight="1" x14ac:dyDescent="0.7">
      <c r="F49" s="218"/>
    </row>
  </sheetData>
  <mergeCells count="3">
    <mergeCell ref="C2:D2"/>
    <mergeCell ref="I7:L7"/>
    <mergeCell ref="I15:N16"/>
  </mergeCells>
  <dataValidations count="1">
    <dataValidation type="list" sqref="B2" xr:uid="{00000000-0002-0000-1100-000000000000}">
      <formula1>"Ja,Nej"</formula1>
      <formula2>0</formula2>
    </dataValidation>
  </dataValidations>
  <pageMargins left="0.75" right="0.75" top="1" bottom="1" header="0.511811023622047" footer="0.511811023622047"/>
  <pageSetup paperSize="9" orientation="portrait" horizontalDpi="300" verticalDpi="300"/>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N49"/>
  <sheetViews>
    <sheetView zoomScaleNormal="100" workbookViewId="0">
      <selection activeCell="F13" sqref="F13"/>
    </sheetView>
  </sheetViews>
  <sheetFormatPr defaultColWidth="9.1328125" defaultRowHeight="14.5" outlineLevelRow="1" outlineLevelCol="1" x14ac:dyDescent="0.7"/>
  <cols>
    <col min="1" max="1" width="58.86328125" customWidth="1"/>
    <col min="2" max="2" width="1.26953125" customWidth="1"/>
    <col min="3" max="3" width="16" customWidth="1"/>
    <col min="4" max="4" width="15.86328125" customWidth="1"/>
    <col min="5" max="5" width="9.1328125" outlineLevel="1"/>
    <col min="6" max="6" width="20.54296875" customWidth="1" outlineLevel="1"/>
    <col min="9" max="9" width="28.86328125" customWidth="1"/>
    <col min="10" max="10" width="13.40625" customWidth="1"/>
    <col min="11" max="11" width="10.86328125" customWidth="1"/>
  </cols>
  <sheetData>
    <row r="1" spans="1:14" ht="45.75" customHeight="1" x14ac:dyDescent="0.9">
      <c r="A1" s="200" t="s">
        <v>707</v>
      </c>
      <c r="C1" s="201" t="s">
        <v>625</v>
      </c>
      <c r="D1" s="202"/>
    </row>
    <row r="2" spans="1:14" ht="24" customHeight="1" x14ac:dyDescent="1">
      <c r="A2" s="203" t="s">
        <v>626</v>
      </c>
      <c r="B2" s="204" t="s">
        <v>204</v>
      </c>
      <c r="C2" s="293"/>
      <c r="D2" s="293"/>
      <c r="E2" s="201" t="s">
        <v>627</v>
      </c>
      <c r="F2" s="202"/>
    </row>
    <row r="3" spans="1:14" ht="15.75" customHeight="1" x14ac:dyDescent="1">
      <c r="A3" s="205"/>
      <c r="B3" s="206"/>
      <c r="C3" s="207" t="s">
        <v>628</v>
      </c>
      <c r="D3" s="208" t="s">
        <v>629</v>
      </c>
      <c r="E3" s="201" t="s">
        <v>630</v>
      </c>
      <c r="F3" s="202"/>
    </row>
    <row r="4" spans="1:14" ht="13.5" customHeight="1" x14ac:dyDescent="0.7">
      <c r="A4" s="205" t="s">
        <v>631</v>
      </c>
      <c r="C4" s="209">
        <f>Byggnader!$I$32</f>
        <v>0</v>
      </c>
      <c r="D4" s="209" t="s">
        <v>632</v>
      </c>
    </row>
    <row r="5" spans="1:14" ht="13.5" customHeight="1" x14ac:dyDescent="0.7">
      <c r="A5" s="205" t="s">
        <v>633</v>
      </c>
      <c r="C5" s="210">
        <f>Energiprisfaktorer!B6</f>
        <v>0.04</v>
      </c>
      <c r="D5" s="211" t="s">
        <v>634</v>
      </c>
      <c r="E5" s="212"/>
      <c r="F5" s="213" t="s">
        <v>635</v>
      </c>
    </row>
    <row r="6" spans="1:14" ht="15.75" customHeight="1" x14ac:dyDescent="0.7">
      <c r="A6" s="205" t="s">
        <v>636</v>
      </c>
      <c r="C6" s="214">
        <v>20</v>
      </c>
      <c r="D6" s="211" t="s">
        <v>637</v>
      </c>
      <c r="E6" s="215" t="e">
        <f>(D20-C20)/(C34+C22-D34-D22)</f>
        <v>#DIV/0!</v>
      </c>
      <c r="F6" s="213" t="s">
        <v>638</v>
      </c>
    </row>
    <row r="7" spans="1:14" ht="15.75" customHeight="1" x14ac:dyDescent="0.7">
      <c r="A7" s="216" t="s">
        <v>639</v>
      </c>
      <c r="C7" s="210">
        <f>Energiprisfaktorer!B7</f>
        <v>0.02</v>
      </c>
      <c r="D7" s="217" t="str">
        <f>D5</f>
        <v>nominell</v>
      </c>
      <c r="E7" s="218"/>
      <c r="F7" s="219"/>
      <c r="I7" s="294" t="s">
        <v>640</v>
      </c>
      <c r="J7" s="294"/>
      <c r="K7" s="294"/>
      <c r="L7" s="294"/>
    </row>
    <row r="8" spans="1:14" ht="15.75" customHeight="1" x14ac:dyDescent="0.7">
      <c r="A8" s="220" t="s">
        <v>641</v>
      </c>
      <c r="C8" s="221" t="s">
        <v>175</v>
      </c>
      <c r="D8" s="221" t="s">
        <v>143</v>
      </c>
      <c r="E8" s="218"/>
      <c r="F8" s="219"/>
    </row>
    <row r="9" spans="1:14" ht="14.25" customHeight="1" x14ac:dyDescent="0.7">
      <c r="A9" s="222" t="s">
        <v>642</v>
      </c>
      <c r="C9" s="223">
        <f>Energiprisfaktorer!C4</f>
        <v>2</v>
      </c>
      <c r="D9" s="224" t="s">
        <v>643</v>
      </c>
      <c r="E9" s="218"/>
      <c r="F9" s="219"/>
      <c r="I9" s="196" t="s">
        <v>698</v>
      </c>
      <c r="K9" s="30">
        <f>K24-K25</f>
        <v>11000</v>
      </c>
    </row>
    <row r="10" spans="1:14" ht="14.25" customHeight="1" x14ac:dyDescent="0.7">
      <c r="A10" s="225" t="s">
        <v>645</v>
      </c>
      <c r="C10" s="226">
        <f>Energiprisfaktorer!B5</f>
        <v>0.03</v>
      </c>
      <c r="D10" s="227" t="str">
        <f>D5</f>
        <v>nominell</v>
      </c>
      <c r="E10" s="218"/>
      <c r="F10" s="219"/>
      <c r="I10" t="s">
        <v>708</v>
      </c>
      <c r="K10">
        <v>6500</v>
      </c>
    </row>
    <row r="11" spans="1:14" ht="14.25" customHeight="1" outlineLevel="1" x14ac:dyDescent="0.7">
      <c r="A11" s="220" t="s">
        <v>647</v>
      </c>
      <c r="C11" s="221" t="s">
        <v>161</v>
      </c>
      <c r="D11" s="221"/>
      <c r="E11" s="218"/>
      <c r="F11" s="219"/>
      <c r="I11" s="196" t="s">
        <v>646</v>
      </c>
      <c r="K11">
        <f>K10*K20*K19</f>
        <v>325000</v>
      </c>
    </row>
    <row r="12" spans="1:14" ht="14.25" customHeight="1" outlineLevel="1" x14ac:dyDescent="0.7">
      <c r="A12" s="222" t="s">
        <v>642</v>
      </c>
      <c r="C12" s="223">
        <f>Energiprisfaktorer!B4</f>
        <v>1.1499999999999999</v>
      </c>
      <c r="D12" s="224" t="s">
        <v>643</v>
      </c>
      <c r="E12" s="218"/>
      <c r="F12" s="219"/>
      <c r="I12" s="228" t="s">
        <v>648</v>
      </c>
      <c r="J12" s="229"/>
      <c r="K12" s="229"/>
      <c r="L12" s="229"/>
    </row>
    <row r="13" spans="1:14" ht="14.25" customHeight="1" outlineLevel="1" x14ac:dyDescent="0.7">
      <c r="A13" s="225" t="s">
        <v>645</v>
      </c>
      <c r="C13" s="226">
        <f>Energiprisfaktorer!C5</f>
        <v>0.04</v>
      </c>
      <c r="D13" s="227" t="str">
        <f>D5</f>
        <v>nominell</v>
      </c>
      <c r="E13" s="218"/>
      <c r="F13" s="219"/>
    </row>
    <row r="14" spans="1:14" ht="14.25" customHeight="1" outlineLevel="1" x14ac:dyDescent="0.7">
      <c r="A14" s="220" t="s">
        <v>649</v>
      </c>
      <c r="C14" s="221"/>
      <c r="D14" s="221"/>
      <c r="E14" s="218"/>
      <c r="F14" s="219"/>
      <c r="I14" s="196" t="s">
        <v>650</v>
      </c>
    </row>
    <row r="15" spans="1:14" ht="15.75" customHeight="1" outlineLevel="1" x14ac:dyDescent="0.7">
      <c r="A15" s="222" t="s">
        <v>642</v>
      </c>
      <c r="C15" s="223">
        <v>0.6</v>
      </c>
      <c r="D15" s="224" t="s">
        <v>643</v>
      </c>
      <c r="I15" s="295" t="s">
        <v>707</v>
      </c>
      <c r="J15" s="295"/>
      <c r="K15" s="295"/>
      <c r="L15" s="295"/>
      <c r="M15" s="295"/>
      <c r="N15" s="295"/>
    </row>
    <row r="16" spans="1:14" ht="15.75" customHeight="1" outlineLevel="1" x14ac:dyDescent="0.7">
      <c r="A16" s="225" t="s">
        <v>645</v>
      </c>
      <c r="C16" s="226">
        <v>0.04</v>
      </c>
      <c r="D16" s="227" t="str">
        <f>D5</f>
        <v>nominell</v>
      </c>
      <c r="I16" s="295"/>
      <c r="J16" s="295"/>
      <c r="K16" s="295"/>
      <c r="L16" s="295"/>
      <c r="M16" s="295"/>
      <c r="N16" s="295"/>
    </row>
    <row r="17" spans="1:12" ht="15.75" customHeight="1" x14ac:dyDescent="0.7">
      <c r="A17" s="225" t="s">
        <v>652</v>
      </c>
      <c r="C17" s="230"/>
      <c r="D17" s="230"/>
      <c r="E17" s="218"/>
    </row>
    <row r="18" spans="1:12" ht="15.75" customHeight="1" x14ac:dyDescent="0.7">
      <c r="A18" s="231"/>
      <c r="C18" s="231"/>
      <c r="D18" s="230"/>
      <c r="E18" s="218"/>
      <c r="I18" s="196" t="s">
        <v>653</v>
      </c>
    </row>
    <row r="19" spans="1:12" ht="15.75" customHeight="1" x14ac:dyDescent="0.7">
      <c r="A19" s="231"/>
      <c r="C19" s="233" t="s">
        <v>654</v>
      </c>
      <c r="D19" s="234" t="s">
        <v>655</v>
      </c>
      <c r="I19" s="196" t="s">
        <v>709</v>
      </c>
      <c r="K19">
        <v>200</v>
      </c>
    </row>
    <row r="20" spans="1:12" ht="15.75" customHeight="1" x14ac:dyDescent="0.7">
      <c r="A20" s="235" t="s">
        <v>657</v>
      </c>
      <c r="C20" s="236">
        <v>0</v>
      </c>
      <c r="D20" s="236">
        <f>K11</f>
        <v>325000</v>
      </c>
      <c r="E20" s="237" t="e">
        <f>D20+C41-D41</f>
        <v>#DIV/0!</v>
      </c>
      <c r="F20" s="213" t="s">
        <v>658</v>
      </c>
      <c r="I20" s="196" t="s">
        <v>710</v>
      </c>
      <c r="K20" s="187">
        <v>0.25</v>
      </c>
    </row>
    <row r="21" spans="1:12" ht="15.75" customHeight="1" x14ac:dyDescent="0.7">
      <c r="A21" s="231"/>
      <c r="C21" s="238"/>
      <c r="D21" s="238"/>
      <c r="E21" s="239"/>
      <c r="F21" s="240"/>
      <c r="I21" s="196" t="s">
        <v>701</v>
      </c>
      <c r="K21">
        <v>3</v>
      </c>
    </row>
    <row r="22" spans="1:12" ht="15.75" customHeight="1" x14ac:dyDescent="0.7">
      <c r="A22" s="216" t="s">
        <v>660</v>
      </c>
      <c r="C22" s="241">
        <v>0</v>
      </c>
      <c r="D22" s="241">
        <v>0</v>
      </c>
      <c r="I22" s="196" t="s">
        <v>702</v>
      </c>
      <c r="K22">
        <v>1</v>
      </c>
    </row>
    <row r="23" spans="1:12" ht="15.75" customHeight="1" outlineLevel="1" x14ac:dyDescent="0.7">
      <c r="A23" s="216" t="s">
        <v>662</v>
      </c>
      <c r="C23" s="236"/>
      <c r="D23" s="236"/>
      <c r="I23" s="196" t="s">
        <v>300</v>
      </c>
      <c r="K23">
        <v>110000</v>
      </c>
      <c r="L23" t="s">
        <v>703</v>
      </c>
    </row>
    <row r="24" spans="1:12" ht="15.75" customHeight="1" outlineLevel="1" x14ac:dyDescent="0.7">
      <c r="A24" s="216" t="s">
        <v>663</v>
      </c>
      <c r="C24" s="236"/>
      <c r="D24" s="236"/>
      <c r="I24" s="196" t="s">
        <v>711</v>
      </c>
      <c r="K24">
        <f>(K19*K20)*K21*K23*0.001</f>
        <v>16500</v>
      </c>
    </row>
    <row r="25" spans="1:12" ht="15.75" customHeight="1" outlineLevel="1" x14ac:dyDescent="0.7">
      <c r="A25" s="216" t="s">
        <v>664</v>
      </c>
      <c r="C25" s="236"/>
      <c r="D25" s="236"/>
      <c r="I25" s="196" t="s">
        <v>712</v>
      </c>
      <c r="K25">
        <f>(K19*K20)*K22*K23*0.001</f>
        <v>5500</v>
      </c>
    </row>
    <row r="26" spans="1:12" ht="15" customHeight="1" x14ac:dyDescent="0.7">
      <c r="A26" s="216" t="s">
        <v>665</v>
      </c>
      <c r="C26" s="242"/>
      <c r="D26" s="242"/>
      <c r="I26" t="s">
        <v>706</v>
      </c>
      <c r="K26">
        <f>K24-K25</f>
        <v>11000</v>
      </c>
    </row>
    <row r="27" spans="1:12" ht="15.75" customHeight="1" x14ac:dyDescent="0.7">
      <c r="A27" s="231"/>
      <c r="C27" s="242"/>
      <c r="D27" s="242"/>
    </row>
    <row r="28" spans="1:12" ht="15.75" customHeight="1" x14ac:dyDescent="0.7">
      <c r="A28" s="220" t="s">
        <v>668</v>
      </c>
      <c r="C28" s="243">
        <v>0</v>
      </c>
      <c r="D28" s="243">
        <v>0</v>
      </c>
    </row>
    <row r="29" spans="1:12" ht="15.75" customHeight="1" x14ac:dyDescent="0.7">
      <c r="A29" s="244" t="s">
        <v>670</v>
      </c>
      <c r="C29" s="245">
        <f>C28*$C$4*$C$9</f>
        <v>0</v>
      </c>
      <c r="D29" s="245">
        <f>D28*$C$4*$C$9</f>
        <v>0</v>
      </c>
    </row>
    <row r="30" spans="1:12" ht="15.75" customHeight="1" outlineLevel="1" x14ac:dyDescent="0.7">
      <c r="A30" s="220" t="s">
        <v>671</v>
      </c>
      <c r="C30" s="243" t="e">
        <f>Normalisering!$I$112/'Byte fönster'!C4</f>
        <v>#DIV/0!</v>
      </c>
      <c r="D30" s="243" t="e">
        <f>(Normalisering!$I$112-K26)/'Byte fönster'!C4</f>
        <v>#DIV/0!</v>
      </c>
    </row>
    <row r="31" spans="1:12" ht="15.75" customHeight="1" outlineLevel="1" x14ac:dyDescent="0.7">
      <c r="A31" s="244" t="s">
        <v>673</v>
      </c>
      <c r="C31" s="245" t="e">
        <f>C30*$C$4*$C$12</f>
        <v>#DIV/0!</v>
      </c>
      <c r="D31" s="245" t="e">
        <f>D30*$C$4*$C$12</f>
        <v>#DIV/0!</v>
      </c>
    </row>
    <row r="32" spans="1:12" ht="15.75" customHeight="1" outlineLevel="1" x14ac:dyDescent="0.7">
      <c r="A32" s="220" t="s">
        <v>675</v>
      </c>
      <c r="C32" s="243"/>
      <c r="D32" s="243"/>
    </row>
    <row r="33" spans="1:6" ht="15.75" customHeight="1" outlineLevel="1" x14ac:dyDescent="0.7">
      <c r="A33" s="244" t="s">
        <v>676</v>
      </c>
      <c r="C33" s="245">
        <f>C32*$C$4*$C$15</f>
        <v>0</v>
      </c>
      <c r="D33" s="245">
        <f>D32*$C$4*$C$15</f>
        <v>0</v>
      </c>
    </row>
    <row r="34" spans="1:6" ht="15" customHeight="1" outlineLevel="1" x14ac:dyDescent="0.7">
      <c r="A34" s="231" t="s">
        <v>677</v>
      </c>
      <c r="C34" s="242" t="e">
        <f>C29+C31+C33</f>
        <v>#DIV/0!</v>
      </c>
      <c r="D34" s="242" t="e">
        <f>D29+D31+D33</f>
        <v>#DIV/0!</v>
      </c>
      <c r="F34" s="231"/>
    </row>
    <row r="35" spans="1:6" ht="15" customHeight="1" outlineLevel="1" x14ac:dyDescent="0.7">
      <c r="A35" s="231" t="s">
        <v>678</v>
      </c>
      <c r="C35" s="242" t="e">
        <f>(C28+C30+C32)*$C$4</f>
        <v>#DIV/0!</v>
      </c>
      <c r="D35" s="242" t="e">
        <f>(D28+D30+D32)*$C$4</f>
        <v>#DIV/0!</v>
      </c>
      <c r="F35" s="231"/>
    </row>
    <row r="36" spans="1:6" ht="15" customHeight="1" outlineLevel="1" x14ac:dyDescent="0.7">
      <c r="A36" s="231" t="s">
        <v>679</v>
      </c>
      <c r="C36" s="247" t="e">
        <f>C34/C35</f>
        <v>#DIV/0!</v>
      </c>
      <c r="D36" s="242"/>
      <c r="F36" s="231"/>
    </row>
    <row r="37" spans="1:6" ht="15" customHeight="1" x14ac:dyDescent="0.7">
      <c r="A37" s="222" t="s">
        <v>652</v>
      </c>
      <c r="C37" s="242"/>
      <c r="D37" s="242"/>
      <c r="F37" s="231"/>
    </row>
    <row r="38" spans="1:6" ht="15.75" customHeight="1" x14ac:dyDescent="0.7">
      <c r="A38" s="248"/>
      <c r="C38" s="242"/>
      <c r="D38" s="242"/>
      <c r="F38" s="231"/>
    </row>
    <row r="39" spans="1:6" ht="15" customHeight="1" x14ac:dyDescent="0.7">
      <c r="A39" s="249" t="s">
        <v>680</v>
      </c>
      <c r="B39" s="250"/>
      <c r="C39" s="251">
        <f>C20-PV($C$5-$C$7,$C$6,C22)+C23+C24/(1+$C$5-$C$7)^10+C25/(1+$C$5-$C$7)^20</f>
        <v>0</v>
      </c>
      <c r="D39" s="252">
        <f>D20-PV($C$5-$C$7,$C$6,D22)+D23+D24/(1+$C$5-$C$7)^10+D25/(1+$C$5-$C$7)^20</f>
        <v>325000</v>
      </c>
      <c r="F39" s="231"/>
    </row>
    <row r="40" spans="1:6" ht="15.75" customHeight="1" x14ac:dyDescent="0.7">
      <c r="A40" s="253" t="s">
        <v>681</v>
      </c>
      <c r="B40" s="254"/>
      <c r="C40" s="255" t="e">
        <f>-PV($C$5-$C$10,$C$6,C29)-PV($C$5-$C$13,$C$6,C31)-PV($C$5-$C$16,$C$6,C33)</f>
        <v>#DIV/0!</v>
      </c>
      <c r="D40" s="256" t="e">
        <f>-PV($C$5-$C$10,$C$6,D29)-PV($C$5-$C$13,$C$6,D31)-PV($C$5-$C$16,$C$6,D33)</f>
        <v>#DIV/0!</v>
      </c>
      <c r="F40" s="231"/>
    </row>
    <row r="41" spans="1:6" ht="15.75" customHeight="1" x14ac:dyDescent="0.7">
      <c r="A41" s="257" t="s">
        <v>682</v>
      </c>
      <c r="B41" s="258"/>
      <c r="C41" s="259" t="e">
        <f>C39+C40</f>
        <v>#DIV/0!</v>
      </c>
      <c r="D41" s="260" t="e">
        <f>D39+D40</f>
        <v>#DIV/0!</v>
      </c>
      <c r="F41" s="231"/>
    </row>
    <row r="42" spans="1:6" ht="15.75" customHeight="1" x14ac:dyDescent="0.7">
      <c r="A42" s="261"/>
      <c r="B42" s="262"/>
      <c r="C42" s="263" t="s">
        <v>683</v>
      </c>
      <c r="D42" s="264" t="e">
        <f>C41-D41</f>
        <v>#DIV/0!</v>
      </c>
      <c r="F42" s="231"/>
    </row>
    <row r="43" spans="1:6" s="231" customFormat="1" ht="12.75" customHeight="1" x14ac:dyDescent="0.6">
      <c r="A43" s="265" t="s">
        <v>684</v>
      </c>
      <c r="B43" s="266"/>
      <c r="C43" s="267" t="e">
        <f>(D39-C39)/(C40-D40)*C36</f>
        <v>#DIV/0!</v>
      </c>
      <c r="D43" s="268" t="e">
        <f>IF($D42&gt;0,"LÖNSAMT","EJ LÖNSAMT")</f>
        <v>#DIV/0!</v>
      </c>
    </row>
    <row r="44" spans="1:6" ht="15.75" customHeight="1" x14ac:dyDescent="0.7">
      <c r="A44" s="269" t="s">
        <v>685</v>
      </c>
      <c r="B44" s="183"/>
      <c r="C44" s="270" t="e">
        <f>C36</f>
        <v>#DIV/0!</v>
      </c>
      <c r="D44" s="271"/>
      <c r="F44" s="231"/>
    </row>
    <row r="45" spans="1:6" ht="15" customHeight="1" x14ac:dyDescent="0.7">
      <c r="C45" s="242"/>
      <c r="D45" s="242"/>
      <c r="F45" s="231"/>
    </row>
    <row r="46" spans="1:6" ht="15.75" customHeight="1" x14ac:dyDescent="0.7">
      <c r="D46" s="272"/>
    </row>
    <row r="47" spans="1:6" ht="15.75" customHeight="1" x14ac:dyDescent="0.7">
      <c r="A47" s="273" t="s">
        <v>686</v>
      </c>
      <c r="B47" s="274"/>
      <c r="D47" s="275" t="s">
        <v>687</v>
      </c>
    </row>
    <row r="49" spans="6:6" ht="15" customHeight="1" x14ac:dyDescent="0.7">
      <c r="F49" s="218"/>
    </row>
  </sheetData>
  <mergeCells count="3">
    <mergeCell ref="C2:D2"/>
    <mergeCell ref="I7:L7"/>
    <mergeCell ref="I15:N16"/>
  </mergeCells>
  <dataValidations count="1">
    <dataValidation type="list" sqref="B2" xr:uid="{00000000-0002-0000-1200-000000000000}">
      <formula1>"Ja,Nej"</formula1>
      <formula2>0</formula2>
    </dataValidation>
  </dataValidations>
  <pageMargins left="0.7" right="0.7" top="0.75" bottom="0.75" header="0.511811023622047" footer="0.511811023622047"/>
  <pageSetup paperSize="9" orientation="portrait" horizontalDpi="300" verticalDpi="300"/>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N49"/>
  <sheetViews>
    <sheetView zoomScaleNormal="100" workbookViewId="0">
      <selection activeCell="B2" sqref="B2"/>
    </sheetView>
  </sheetViews>
  <sheetFormatPr defaultColWidth="9.1328125" defaultRowHeight="14.5" outlineLevelRow="1" outlineLevelCol="1" x14ac:dyDescent="0.7"/>
  <cols>
    <col min="1" max="1" width="58.86328125" customWidth="1"/>
    <col min="2" max="2" width="1.26953125" customWidth="1"/>
    <col min="3" max="3" width="16" customWidth="1"/>
    <col min="4" max="4" width="15.86328125" customWidth="1"/>
    <col min="5" max="5" width="9.1328125" outlineLevel="1"/>
    <col min="6" max="6" width="20.54296875" customWidth="1" outlineLevel="1"/>
    <col min="9" max="9" width="28.86328125" customWidth="1"/>
    <col min="10" max="10" width="13.40625" customWidth="1"/>
    <col min="11" max="11" width="10.86328125" customWidth="1"/>
  </cols>
  <sheetData>
    <row r="1" spans="1:14" ht="45.75" customHeight="1" x14ac:dyDescent="0.9">
      <c r="A1" s="200" t="s">
        <v>713</v>
      </c>
      <c r="C1" s="201" t="s">
        <v>625</v>
      </c>
      <c r="D1" s="202"/>
    </row>
    <row r="2" spans="1:14" ht="24" customHeight="1" x14ac:dyDescent="1">
      <c r="A2" s="203" t="s">
        <v>626</v>
      </c>
      <c r="B2" s="204" t="s">
        <v>204</v>
      </c>
      <c r="C2" s="293"/>
      <c r="D2" s="293"/>
      <c r="E2" s="201" t="s">
        <v>627</v>
      </c>
      <c r="F2" s="202"/>
    </row>
    <row r="3" spans="1:14" ht="15.75" customHeight="1" x14ac:dyDescent="1">
      <c r="A3" s="205"/>
      <c r="B3" s="206"/>
      <c r="C3" s="207" t="s">
        <v>628</v>
      </c>
      <c r="D3" s="208" t="s">
        <v>629</v>
      </c>
      <c r="E3" s="201" t="s">
        <v>630</v>
      </c>
      <c r="F3" s="202"/>
    </row>
    <row r="4" spans="1:14" ht="13.5" customHeight="1" x14ac:dyDescent="0.7">
      <c r="A4" s="205" t="s">
        <v>631</v>
      </c>
      <c r="C4" s="209">
        <f>Byggnader!$I$32</f>
        <v>0</v>
      </c>
      <c r="D4" s="209" t="s">
        <v>632</v>
      </c>
    </row>
    <row r="5" spans="1:14" ht="13.5" customHeight="1" x14ac:dyDescent="0.7">
      <c r="A5" s="205" t="s">
        <v>633</v>
      </c>
      <c r="C5" s="210">
        <f>Energiprisfaktorer!B6</f>
        <v>0.04</v>
      </c>
      <c r="D5" s="211" t="s">
        <v>634</v>
      </c>
      <c r="E5" s="212"/>
      <c r="F5" s="213" t="s">
        <v>635</v>
      </c>
    </row>
    <row r="6" spans="1:14" ht="15.75" customHeight="1" x14ac:dyDescent="0.7">
      <c r="A6" s="205" t="s">
        <v>636</v>
      </c>
      <c r="C6" s="214">
        <v>20</v>
      </c>
      <c r="D6" s="211" t="s">
        <v>637</v>
      </c>
      <c r="E6" s="215" t="e">
        <f>(D20-C20)/(C34+C22-D34-D22)</f>
        <v>#DIV/0!</v>
      </c>
      <c r="F6" s="213" t="s">
        <v>638</v>
      </c>
    </row>
    <row r="7" spans="1:14" ht="15.75" customHeight="1" x14ac:dyDescent="0.7">
      <c r="A7" s="216" t="s">
        <v>639</v>
      </c>
      <c r="C7" s="210">
        <f>Energiprisfaktorer!B7</f>
        <v>0.02</v>
      </c>
      <c r="D7" s="217" t="str">
        <f>D5</f>
        <v>nominell</v>
      </c>
      <c r="E7" s="218"/>
      <c r="F7" s="219"/>
      <c r="I7" s="294" t="s">
        <v>640</v>
      </c>
      <c r="J7" s="294"/>
      <c r="K7" s="294"/>
      <c r="L7" s="294"/>
    </row>
    <row r="8" spans="1:14" ht="15.75" customHeight="1" x14ac:dyDescent="0.7">
      <c r="A8" s="220" t="s">
        <v>641</v>
      </c>
      <c r="C8" s="221" t="s">
        <v>175</v>
      </c>
      <c r="D8" s="221" t="s">
        <v>143</v>
      </c>
      <c r="E8" s="218"/>
      <c r="F8" s="219"/>
    </row>
    <row r="9" spans="1:14" ht="14.25" customHeight="1" x14ac:dyDescent="0.7">
      <c r="A9" s="222" t="s">
        <v>642</v>
      </c>
      <c r="C9" s="223">
        <f>Energiprisfaktorer!C4</f>
        <v>2</v>
      </c>
      <c r="D9" s="224" t="s">
        <v>643</v>
      </c>
      <c r="E9" s="218"/>
      <c r="F9" s="219"/>
      <c r="I9" s="196" t="s">
        <v>698</v>
      </c>
      <c r="K9" s="30">
        <f>K24-K25</f>
        <v>71280</v>
      </c>
    </row>
    <row r="10" spans="1:14" ht="14.25" customHeight="1" x14ac:dyDescent="0.7">
      <c r="A10" s="225" t="s">
        <v>645</v>
      </c>
      <c r="C10" s="226">
        <f>Energiprisfaktorer!B5</f>
        <v>0.03</v>
      </c>
      <c r="D10" s="227" t="str">
        <f>D5</f>
        <v>nominell</v>
      </c>
      <c r="E10" s="218"/>
      <c r="F10" s="219"/>
      <c r="I10" t="s">
        <v>714</v>
      </c>
      <c r="K10">
        <v>1500</v>
      </c>
    </row>
    <row r="11" spans="1:14" ht="14.25" customHeight="1" outlineLevel="1" x14ac:dyDescent="0.7">
      <c r="A11" s="220" t="s">
        <v>647</v>
      </c>
      <c r="C11" s="221" t="s">
        <v>161</v>
      </c>
      <c r="D11" s="221"/>
      <c r="E11" s="218"/>
      <c r="F11" s="219"/>
      <c r="I11" s="196" t="s">
        <v>646</v>
      </c>
      <c r="K11">
        <f>K10*K19</f>
        <v>2160000</v>
      </c>
    </row>
    <row r="12" spans="1:14" ht="14.25" customHeight="1" outlineLevel="1" x14ac:dyDescent="0.7">
      <c r="A12" s="222" t="s">
        <v>642</v>
      </c>
      <c r="C12" s="223">
        <f>Energiprisfaktorer!B4</f>
        <v>1.1499999999999999</v>
      </c>
      <c r="D12" s="224" t="s">
        <v>643</v>
      </c>
      <c r="E12" s="218"/>
      <c r="F12" s="219"/>
      <c r="I12" s="228" t="s">
        <v>648</v>
      </c>
      <c r="J12" s="229"/>
      <c r="K12" s="229"/>
      <c r="L12" s="229"/>
    </row>
    <row r="13" spans="1:14" ht="14.25" customHeight="1" outlineLevel="1" x14ac:dyDescent="0.7">
      <c r="A13" s="225" t="s">
        <v>645</v>
      </c>
      <c r="C13" s="226">
        <f>Energiprisfaktorer!C5</f>
        <v>0.04</v>
      </c>
      <c r="D13" s="227" t="str">
        <f>D5</f>
        <v>nominell</v>
      </c>
      <c r="E13" s="218"/>
      <c r="F13" s="219"/>
    </row>
    <row r="14" spans="1:14" ht="14.25" customHeight="1" outlineLevel="1" x14ac:dyDescent="0.7">
      <c r="A14" s="220" t="s">
        <v>649</v>
      </c>
      <c r="C14" s="221"/>
      <c r="D14" s="221"/>
      <c r="E14" s="218"/>
      <c r="F14" s="219"/>
      <c r="I14" s="196" t="s">
        <v>650</v>
      </c>
    </row>
    <row r="15" spans="1:14" ht="15.75" customHeight="1" outlineLevel="1" x14ac:dyDescent="0.7">
      <c r="A15" s="222" t="s">
        <v>642</v>
      </c>
      <c r="C15" s="223">
        <v>0.6</v>
      </c>
      <c r="D15" s="224" t="s">
        <v>643</v>
      </c>
      <c r="I15" s="295" t="s">
        <v>715</v>
      </c>
      <c r="J15" s="295"/>
      <c r="K15" s="295"/>
      <c r="L15" s="295"/>
      <c r="M15" s="295"/>
      <c r="N15" s="295"/>
    </row>
    <row r="16" spans="1:14" ht="15.75" customHeight="1" outlineLevel="1" x14ac:dyDescent="0.7">
      <c r="A16" s="225" t="s">
        <v>645</v>
      </c>
      <c r="C16" s="226">
        <v>0.04</v>
      </c>
      <c r="D16" s="227" t="str">
        <f>D5</f>
        <v>nominell</v>
      </c>
      <c r="I16" s="295"/>
      <c r="J16" s="295"/>
      <c r="K16" s="295"/>
      <c r="L16" s="295"/>
      <c r="M16" s="295"/>
      <c r="N16" s="295"/>
    </row>
    <row r="17" spans="1:12" ht="15.75" customHeight="1" x14ac:dyDescent="0.7">
      <c r="A17" s="225" t="s">
        <v>652</v>
      </c>
      <c r="C17" s="230"/>
      <c r="D17" s="230"/>
      <c r="E17" s="218"/>
    </row>
    <row r="18" spans="1:12" ht="15.75" customHeight="1" x14ac:dyDescent="0.7">
      <c r="A18" s="231"/>
      <c r="C18" s="231"/>
      <c r="D18" s="230"/>
      <c r="E18" s="218"/>
      <c r="I18" s="196" t="s">
        <v>653</v>
      </c>
    </row>
    <row r="19" spans="1:12" ht="15.75" customHeight="1" x14ac:dyDescent="0.7">
      <c r="A19" s="231"/>
      <c r="C19" s="233" t="s">
        <v>654</v>
      </c>
      <c r="D19" s="234" t="s">
        <v>655</v>
      </c>
      <c r="I19" s="196" t="s">
        <v>709</v>
      </c>
      <c r="K19">
        <f>90*8*2</f>
        <v>1440</v>
      </c>
    </row>
    <row r="20" spans="1:12" ht="15.75" customHeight="1" x14ac:dyDescent="0.7">
      <c r="A20" s="235" t="s">
        <v>657</v>
      </c>
      <c r="C20" s="236">
        <v>0</v>
      </c>
      <c r="D20" s="236">
        <f>K11</f>
        <v>2160000</v>
      </c>
      <c r="E20" s="237" t="e">
        <f>D20+C41-D41</f>
        <v>#DIV/0!</v>
      </c>
      <c r="F20" s="213" t="s">
        <v>658</v>
      </c>
      <c r="I20" s="196" t="s">
        <v>710</v>
      </c>
      <c r="K20" s="187">
        <v>0.25</v>
      </c>
    </row>
    <row r="21" spans="1:12" ht="15.75" customHeight="1" x14ac:dyDescent="0.7">
      <c r="A21" s="231"/>
      <c r="C21" s="238"/>
      <c r="D21" s="238"/>
      <c r="E21" s="239"/>
      <c r="F21" s="240"/>
      <c r="I21" s="196" t="s">
        <v>701</v>
      </c>
      <c r="K21">
        <v>0.8</v>
      </c>
    </row>
    <row r="22" spans="1:12" ht="15.75" customHeight="1" x14ac:dyDescent="0.7">
      <c r="A22" s="216" t="s">
        <v>660</v>
      </c>
      <c r="C22" s="241">
        <v>0</v>
      </c>
      <c r="D22" s="241">
        <v>0</v>
      </c>
      <c r="I22" s="196" t="s">
        <v>702</v>
      </c>
      <c r="K22">
        <v>0.2</v>
      </c>
    </row>
    <row r="23" spans="1:12" ht="15.75" customHeight="1" outlineLevel="1" x14ac:dyDescent="0.7">
      <c r="A23" s="216" t="s">
        <v>662</v>
      </c>
      <c r="C23" s="236"/>
      <c r="D23" s="236"/>
      <c r="I23" s="196" t="s">
        <v>300</v>
      </c>
      <c r="K23">
        <v>110000</v>
      </c>
      <c r="L23" t="s">
        <v>703</v>
      </c>
    </row>
    <row r="24" spans="1:12" ht="15.75" customHeight="1" outlineLevel="1" x14ac:dyDescent="0.7">
      <c r="A24" s="216" t="s">
        <v>663</v>
      </c>
      <c r="C24" s="236"/>
      <c r="D24" s="236"/>
      <c r="I24" s="196" t="s">
        <v>716</v>
      </c>
      <c r="K24">
        <f>(K19-(K19*K20))*K21*K23*0.001</f>
        <v>95040</v>
      </c>
    </row>
    <row r="25" spans="1:12" ht="15.75" customHeight="1" outlineLevel="1" x14ac:dyDescent="0.7">
      <c r="A25" s="216" t="s">
        <v>664</v>
      </c>
      <c r="C25" s="236"/>
      <c r="D25" s="236"/>
      <c r="I25" s="196" t="s">
        <v>717</v>
      </c>
      <c r="K25">
        <f>(K19-(K19*K20))*K22*K23*0.001</f>
        <v>23760</v>
      </c>
    </row>
    <row r="26" spans="1:12" ht="15" customHeight="1" x14ac:dyDescent="0.7">
      <c r="A26" s="216" t="s">
        <v>665</v>
      </c>
      <c r="C26" s="242"/>
      <c r="D26" s="242"/>
      <c r="I26" t="s">
        <v>706</v>
      </c>
      <c r="K26">
        <f>K24-K25</f>
        <v>71280</v>
      </c>
    </row>
    <row r="27" spans="1:12" ht="15.75" customHeight="1" x14ac:dyDescent="0.7">
      <c r="A27" s="231"/>
      <c r="C27" s="242"/>
      <c r="D27" s="242"/>
    </row>
    <row r="28" spans="1:12" ht="15.75" customHeight="1" x14ac:dyDescent="0.7">
      <c r="A28" s="220" t="s">
        <v>668</v>
      </c>
      <c r="C28" s="243">
        <v>0</v>
      </c>
      <c r="D28" s="243">
        <v>0</v>
      </c>
    </row>
    <row r="29" spans="1:12" ht="15.75" customHeight="1" x14ac:dyDescent="0.7">
      <c r="A29" s="244" t="s">
        <v>670</v>
      </c>
      <c r="C29" s="245">
        <f>C28*$C$4*$C$9</f>
        <v>0</v>
      </c>
      <c r="D29" s="245">
        <f>D28*$C$4*$C$9</f>
        <v>0</v>
      </c>
    </row>
    <row r="30" spans="1:12" ht="15.75" customHeight="1" outlineLevel="1" x14ac:dyDescent="0.7">
      <c r="A30" s="220" t="s">
        <v>671</v>
      </c>
      <c r="C30" s="243" t="e">
        <f>Normalisering!$I$112/(Byggnader!$I$32)</f>
        <v>#DIV/0!</v>
      </c>
      <c r="D30" s="243" t="e">
        <f>(Normalisering!$I$112-K9)/(Byggnader!$I$32)</f>
        <v>#DIV/0!</v>
      </c>
    </row>
    <row r="31" spans="1:12" ht="15.75" customHeight="1" outlineLevel="1" x14ac:dyDescent="0.7">
      <c r="A31" s="244" t="s">
        <v>673</v>
      </c>
      <c r="C31" s="245" t="e">
        <f>C30*$C$4*$C$12</f>
        <v>#DIV/0!</v>
      </c>
      <c r="D31" s="245" t="e">
        <f>D30*$C$4*$C$12</f>
        <v>#DIV/0!</v>
      </c>
    </row>
    <row r="32" spans="1:12" ht="15.75" customHeight="1" outlineLevel="1" x14ac:dyDescent="0.7">
      <c r="A32" s="220" t="s">
        <v>675</v>
      </c>
      <c r="C32" s="243"/>
      <c r="D32" s="243"/>
    </row>
    <row r="33" spans="1:6" ht="15.75" customHeight="1" outlineLevel="1" x14ac:dyDescent="0.7">
      <c r="A33" s="244" t="s">
        <v>676</v>
      </c>
      <c r="C33" s="245">
        <f>C32*$C$4*$C$15</f>
        <v>0</v>
      </c>
      <c r="D33" s="245">
        <f>D32*$C$4*$C$15</f>
        <v>0</v>
      </c>
    </row>
    <row r="34" spans="1:6" ht="15" customHeight="1" outlineLevel="1" x14ac:dyDescent="0.7">
      <c r="A34" s="231" t="s">
        <v>677</v>
      </c>
      <c r="C34" s="242" t="e">
        <f>C29+C31+C33</f>
        <v>#DIV/0!</v>
      </c>
      <c r="D34" s="242" t="e">
        <f>D29+D31+D33</f>
        <v>#DIV/0!</v>
      </c>
      <c r="F34" s="231"/>
    </row>
    <row r="35" spans="1:6" ht="15" customHeight="1" outlineLevel="1" x14ac:dyDescent="0.7">
      <c r="A35" s="231" t="s">
        <v>678</v>
      </c>
      <c r="C35" s="242" t="e">
        <f>(C28+C30+C32)*$C$4</f>
        <v>#DIV/0!</v>
      </c>
      <c r="D35" s="242" t="e">
        <f>(D28+D30+D32)*$C$4</f>
        <v>#DIV/0!</v>
      </c>
      <c r="F35" s="231"/>
    </row>
    <row r="36" spans="1:6" ht="15" customHeight="1" outlineLevel="1" x14ac:dyDescent="0.7">
      <c r="A36" s="231" t="s">
        <v>679</v>
      </c>
      <c r="C36" s="247" t="e">
        <f>C34/C35</f>
        <v>#DIV/0!</v>
      </c>
      <c r="D36" s="242"/>
      <c r="F36" s="231"/>
    </row>
    <row r="37" spans="1:6" ht="15" customHeight="1" x14ac:dyDescent="0.7">
      <c r="A37" s="222" t="s">
        <v>652</v>
      </c>
      <c r="C37" s="242"/>
      <c r="D37" s="242"/>
      <c r="F37" s="231"/>
    </row>
    <row r="38" spans="1:6" ht="15.75" customHeight="1" x14ac:dyDescent="0.7">
      <c r="A38" s="248"/>
      <c r="C38" s="242"/>
      <c r="D38" s="242"/>
      <c r="F38" s="231"/>
    </row>
    <row r="39" spans="1:6" ht="15" customHeight="1" x14ac:dyDescent="0.7">
      <c r="A39" s="249" t="s">
        <v>680</v>
      </c>
      <c r="B39" s="250"/>
      <c r="C39" s="251">
        <f>C20-PV($C$5-$C$7,$C$6,C22)+C23+C24/(1+$C$5-$C$7)^10+C25/(1+$C$5-$C$7)^20</f>
        <v>0</v>
      </c>
      <c r="D39" s="252">
        <f>D20-PV($C$5-$C$7,$C$6,D22)+D23+D24/(1+$C$5-$C$7)^10+D25/(1+$C$5-$C$7)^20</f>
        <v>2160000</v>
      </c>
      <c r="F39" s="231"/>
    </row>
    <row r="40" spans="1:6" ht="15.75" customHeight="1" x14ac:dyDescent="0.7">
      <c r="A40" s="253" t="s">
        <v>681</v>
      </c>
      <c r="B40" s="254"/>
      <c r="C40" s="255" t="e">
        <f>-PV($C$5-$C$10,$C$6,C29)-PV($C$5-$C$13,$C$6,C31)-PV($C$5-$C$16,$C$6,C33)</f>
        <v>#DIV/0!</v>
      </c>
      <c r="D40" s="256" t="e">
        <f>-PV($C$5-$C$10,$C$6,D29)-PV($C$5-$C$13,$C$6,D31)-PV($C$5-$C$16,$C$6,D33)</f>
        <v>#DIV/0!</v>
      </c>
      <c r="F40" s="231"/>
    </row>
    <row r="41" spans="1:6" ht="15.75" customHeight="1" x14ac:dyDescent="0.7">
      <c r="A41" s="257" t="s">
        <v>682</v>
      </c>
      <c r="B41" s="258"/>
      <c r="C41" s="259" t="e">
        <f>C39+C40</f>
        <v>#DIV/0!</v>
      </c>
      <c r="D41" s="260" t="e">
        <f>D39+D40</f>
        <v>#DIV/0!</v>
      </c>
      <c r="F41" s="231"/>
    </row>
    <row r="42" spans="1:6" ht="15.75" customHeight="1" x14ac:dyDescent="0.7">
      <c r="A42" s="261"/>
      <c r="B42" s="262"/>
      <c r="C42" s="263" t="s">
        <v>683</v>
      </c>
      <c r="D42" s="264" t="e">
        <f>C41-D41</f>
        <v>#DIV/0!</v>
      </c>
      <c r="F42" s="231"/>
    </row>
    <row r="43" spans="1:6" s="231" customFormat="1" ht="12.75" customHeight="1" x14ac:dyDescent="0.6">
      <c r="A43" s="265" t="s">
        <v>684</v>
      </c>
      <c r="B43" s="266"/>
      <c r="C43" s="267" t="e">
        <f>(D39-C39)/(C40-D40)*C36</f>
        <v>#DIV/0!</v>
      </c>
      <c r="D43" s="268" t="e">
        <f>IF($D42&gt;0,"LÖNSAMT","EJ LÖNSAMT")</f>
        <v>#DIV/0!</v>
      </c>
    </row>
    <row r="44" spans="1:6" ht="15.75" customHeight="1" x14ac:dyDescent="0.7">
      <c r="A44" s="269" t="s">
        <v>685</v>
      </c>
      <c r="B44" s="183"/>
      <c r="C44" s="270" t="e">
        <f>C36</f>
        <v>#DIV/0!</v>
      </c>
      <c r="D44" s="271"/>
      <c r="F44" s="231"/>
    </row>
    <row r="45" spans="1:6" ht="15" customHeight="1" x14ac:dyDescent="0.7">
      <c r="C45" s="242"/>
      <c r="D45" s="242"/>
      <c r="F45" s="231"/>
    </row>
    <row r="46" spans="1:6" ht="15.75" customHeight="1" x14ac:dyDescent="0.7">
      <c r="D46" s="272"/>
    </row>
    <row r="47" spans="1:6" ht="15.75" customHeight="1" x14ac:dyDescent="0.7">
      <c r="A47" s="273" t="s">
        <v>686</v>
      </c>
      <c r="B47" s="274"/>
      <c r="D47" s="275" t="s">
        <v>687</v>
      </c>
    </row>
    <row r="49" spans="6:6" ht="15" customHeight="1" x14ac:dyDescent="0.7">
      <c r="F49" s="218"/>
    </row>
  </sheetData>
  <mergeCells count="3">
    <mergeCell ref="C2:D2"/>
    <mergeCell ref="I7:L7"/>
    <mergeCell ref="I15:N16"/>
  </mergeCells>
  <dataValidations count="1">
    <dataValidation type="list" sqref="B2" xr:uid="{00000000-0002-0000-1300-000000000000}">
      <formula1>"Ja,Nej"</formula1>
      <formula2>0</formula2>
    </dataValidation>
  </dataValidations>
  <pageMargins left="0.7" right="0.7" top="0.75" bottom="0.75" header="0.511811023622047" footer="0.511811023622047"/>
  <pageSetup paperSize="9" orientation="portrait" horizontalDpi="300" verticalDpi="300"/>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49"/>
  <sheetViews>
    <sheetView zoomScaleNormal="100" workbookViewId="0"/>
  </sheetViews>
  <sheetFormatPr defaultColWidth="9.1328125" defaultRowHeight="14.5" outlineLevelRow="1" outlineLevelCol="1" x14ac:dyDescent="0.7"/>
  <cols>
    <col min="1" max="1" width="58.86328125" customWidth="1"/>
    <col min="2" max="2" width="1.26953125" customWidth="1"/>
    <col min="3" max="3" width="16" customWidth="1"/>
    <col min="4" max="4" width="15.86328125" customWidth="1"/>
    <col min="5" max="5" width="9.1328125" outlineLevel="1"/>
    <col min="6" max="6" width="20.54296875" customWidth="1" outlineLevel="1"/>
    <col min="9" max="9" width="26.6796875" customWidth="1"/>
    <col min="10" max="10" width="23.54296875" customWidth="1"/>
  </cols>
  <sheetData>
    <row r="1" spans="1:14" ht="45.75" customHeight="1" x14ac:dyDescent="0.9">
      <c r="A1" s="200" t="s">
        <v>718</v>
      </c>
      <c r="C1" s="201" t="s">
        <v>625</v>
      </c>
      <c r="D1" s="202"/>
    </row>
    <row r="2" spans="1:14" ht="24" customHeight="1" x14ac:dyDescent="1">
      <c r="A2" s="203" t="s">
        <v>626</v>
      </c>
      <c r="B2" s="204" t="s">
        <v>204</v>
      </c>
      <c r="C2" s="293"/>
      <c r="D2" s="293"/>
      <c r="E2" s="201" t="s">
        <v>627</v>
      </c>
      <c r="F2" s="202"/>
    </row>
    <row r="3" spans="1:14" ht="15.75" customHeight="1" x14ac:dyDescent="1">
      <c r="A3" s="205"/>
      <c r="B3" s="206"/>
      <c r="C3" s="207" t="s">
        <v>628</v>
      </c>
      <c r="D3" s="208" t="s">
        <v>629</v>
      </c>
      <c r="E3" s="201" t="s">
        <v>630</v>
      </c>
      <c r="F3" s="202"/>
    </row>
    <row r="4" spans="1:14" ht="13.5" customHeight="1" x14ac:dyDescent="0.7">
      <c r="A4" s="205" t="s">
        <v>631</v>
      </c>
      <c r="C4" s="209">
        <f>Byggnader!$I$32</f>
        <v>0</v>
      </c>
      <c r="D4" s="209" t="s">
        <v>632</v>
      </c>
    </row>
    <row r="5" spans="1:14" ht="13.5" customHeight="1" x14ac:dyDescent="0.7">
      <c r="A5" s="205" t="s">
        <v>633</v>
      </c>
      <c r="C5" s="210">
        <f>Energiprisfaktorer!B6</f>
        <v>0.04</v>
      </c>
      <c r="D5" s="211" t="s">
        <v>634</v>
      </c>
      <c r="E5" s="212"/>
      <c r="F5" s="213" t="s">
        <v>635</v>
      </c>
    </row>
    <row r="6" spans="1:14" ht="15.75" customHeight="1" x14ac:dyDescent="0.7">
      <c r="A6" s="205" t="s">
        <v>636</v>
      </c>
      <c r="C6" s="214">
        <v>20</v>
      </c>
      <c r="D6" s="211" t="s">
        <v>637</v>
      </c>
      <c r="E6" s="215" t="e">
        <f>(D20-C20)/(C34+C22-D34-D22)</f>
        <v>#DIV/0!</v>
      </c>
      <c r="F6" s="213" t="s">
        <v>638</v>
      </c>
    </row>
    <row r="7" spans="1:14" ht="15.75" customHeight="1" x14ac:dyDescent="0.7">
      <c r="A7" s="216" t="s">
        <v>639</v>
      </c>
      <c r="C7" s="210">
        <f>Energiprisfaktorer!B7</f>
        <v>0.02</v>
      </c>
      <c r="D7" s="217" t="str">
        <f>D5</f>
        <v>nominell</v>
      </c>
      <c r="E7" s="218"/>
      <c r="F7" s="219"/>
      <c r="I7" s="294" t="s">
        <v>640</v>
      </c>
      <c r="J7" s="294"/>
      <c r="K7" s="294"/>
      <c r="L7" s="294"/>
    </row>
    <row r="8" spans="1:14" ht="15.75" customHeight="1" x14ac:dyDescent="0.7">
      <c r="A8" s="220" t="s">
        <v>641</v>
      </c>
      <c r="C8" s="221" t="s">
        <v>161</v>
      </c>
      <c r="D8" s="221" t="s">
        <v>143</v>
      </c>
      <c r="E8" s="218"/>
      <c r="F8" s="219"/>
    </row>
    <row r="9" spans="1:14" ht="14.25" customHeight="1" x14ac:dyDescent="0.7">
      <c r="A9" s="222" t="s">
        <v>642</v>
      </c>
      <c r="C9" s="223">
        <f>Energiprisfaktorer!B4</f>
        <v>1.1499999999999999</v>
      </c>
      <c r="D9" s="224" t="s">
        <v>643</v>
      </c>
      <c r="E9" s="218"/>
      <c r="F9" s="219"/>
      <c r="I9" s="196" t="s">
        <v>644</v>
      </c>
      <c r="K9" s="185">
        <v>30000</v>
      </c>
    </row>
    <row r="10" spans="1:14" ht="14.25" customHeight="1" x14ac:dyDescent="0.7">
      <c r="A10" s="225" t="s">
        <v>645</v>
      </c>
      <c r="C10" s="226">
        <f>Energiprisfaktorer!B5</f>
        <v>0.03</v>
      </c>
      <c r="D10" s="227" t="str">
        <f>D5</f>
        <v>nominell</v>
      </c>
      <c r="E10" s="218"/>
      <c r="F10" s="219"/>
      <c r="I10" s="196" t="s">
        <v>646</v>
      </c>
      <c r="K10">
        <f>J27*K9</f>
        <v>0</v>
      </c>
    </row>
    <row r="11" spans="1:14" ht="14.25" customHeight="1" outlineLevel="1" x14ac:dyDescent="0.7">
      <c r="A11" s="220" t="s">
        <v>647</v>
      </c>
      <c r="C11" s="221" t="s">
        <v>175</v>
      </c>
      <c r="D11" s="221"/>
      <c r="E11" s="218"/>
      <c r="F11" s="219"/>
    </row>
    <row r="12" spans="1:14" ht="14.25" customHeight="1" outlineLevel="1" x14ac:dyDescent="0.7">
      <c r="A12" s="222" t="s">
        <v>642</v>
      </c>
      <c r="C12" s="223">
        <f>Energiprisfaktorer!C4</f>
        <v>2</v>
      </c>
      <c r="D12" s="224" t="s">
        <v>643</v>
      </c>
      <c r="E12" s="218"/>
      <c r="F12" s="219"/>
      <c r="I12" s="228" t="s">
        <v>648</v>
      </c>
      <c r="J12" s="229"/>
      <c r="K12" s="229"/>
      <c r="L12" s="229"/>
    </row>
    <row r="13" spans="1:14" ht="14.25" customHeight="1" outlineLevel="1" x14ac:dyDescent="0.7">
      <c r="A13" s="225" t="s">
        <v>645</v>
      </c>
      <c r="C13" s="226">
        <f>Energiprisfaktorer!C5</f>
        <v>0.04</v>
      </c>
      <c r="D13" s="227" t="str">
        <f>D5</f>
        <v>nominell</v>
      </c>
      <c r="E13" s="218"/>
      <c r="F13" s="219"/>
    </row>
    <row r="14" spans="1:14" ht="14.25" customHeight="1" outlineLevel="1" x14ac:dyDescent="0.7">
      <c r="A14" s="220" t="s">
        <v>649</v>
      </c>
      <c r="C14" s="221"/>
      <c r="D14" s="221"/>
      <c r="E14" s="218"/>
      <c r="F14" s="219"/>
      <c r="I14" s="196" t="s">
        <v>650</v>
      </c>
    </row>
    <row r="15" spans="1:14" ht="15.75" customHeight="1" outlineLevel="1" x14ac:dyDescent="0.7">
      <c r="A15" s="222" t="s">
        <v>642</v>
      </c>
      <c r="C15" s="223">
        <v>0.6</v>
      </c>
      <c r="D15" s="224" t="s">
        <v>643</v>
      </c>
      <c r="I15" s="295" t="s">
        <v>651</v>
      </c>
      <c r="J15" s="295"/>
      <c r="K15" s="295"/>
      <c r="L15" s="295"/>
      <c r="M15" s="295"/>
      <c r="N15" s="295"/>
    </row>
    <row r="16" spans="1:14" ht="15.75" customHeight="1" outlineLevel="1" x14ac:dyDescent="0.7">
      <c r="A16" s="225" t="s">
        <v>645</v>
      </c>
      <c r="C16" s="226">
        <v>0.04</v>
      </c>
      <c r="D16" s="227" t="str">
        <f>D5</f>
        <v>nominell</v>
      </c>
      <c r="I16" s="295"/>
      <c r="J16" s="295"/>
      <c r="K16" s="295"/>
      <c r="L16" s="295"/>
      <c r="M16" s="295"/>
      <c r="N16" s="295"/>
    </row>
    <row r="17" spans="1:16" ht="15.75" customHeight="1" x14ac:dyDescent="0.7">
      <c r="A17" s="225" t="s">
        <v>652</v>
      </c>
      <c r="C17" s="230"/>
      <c r="D17" s="230"/>
      <c r="E17" s="218"/>
    </row>
    <row r="18" spans="1:16" ht="15.75" customHeight="1" x14ac:dyDescent="0.7">
      <c r="A18" s="231"/>
      <c r="C18" s="231"/>
      <c r="D18" s="230"/>
      <c r="E18" s="218"/>
      <c r="I18" s="232" t="s">
        <v>653</v>
      </c>
    </row>
    <row r="19" spans="1:16" ht="15.75" customHeight="1" x14ac:dyDescent="0.7">
      <c r="A19" s="231"/>
      <c r="C19" s="233" t="s">
        <v>654</v>
      </c>
      <c r="D19" s="234" t="s">
        <v>655</v>
      </c>
      <c r="I19" s="196" t="s">
        <v>307</v>
      </c>
      <c r="J19">
        <f>0.35*C4*0.001</f>
        <v>0</v>
      </c>
    </row>
    <row r="20" spans="1:16" ht="15.75" customHeight="1" x14ac:dyDescent="0.7">
      <c r="A20" s="235" t="s">
        <v>657</v>
      </c>
      <c r="C20" s="236">
        <v>0</v>
      </c>
      <c r="D20" s="236">
        <f>K10</f>
        <v>0</v>
      </c>
      <c r="E20" s="237" t="e">
        <f>D20+C41-D41</f>
        <v>#DIV/0!</v>
      </c>
      <c r="F20" s="213" t="s">
        <v>658</v>
      </c>
      <c r="I20" s="196" t="s">
        <v>719</v>
      </c>
      <c r="J20">
        <v>15</v>
      </c>
    </row>
    <row r="21" spans="1:16" ht="15.75" customHeight="1" x14ac:dyDescent="0.7">
      <c r="A21" s="231"/>
      <c r="C21" s="238"/>
      <c r="D21" s="238"/>
      <c r="E21" s="239"/>
      <c r="F21" s="240"/>
      <c r="I21" s="196" t="s">
        <v>720</v>
      </c>
      <c r="J21">
        <f>1.2*J20*J19</f>
        <v>0</v>
      </c>
    </row>
    <row r="22" spans="1:16" ht="15.75" customHeight="1" x14ac:dyDescent="0.7">
      <c r="A22" s="216" t="s">
        <v>660</v>
      </c>
      <c r="C22" s="241">
        <v>0</v>
      </c>
      <c r="D22" s="241">
        <v>0</v>
      </c>
      <c r="I22" s="196" t="s">
        <v>721</v>
      </c>
      <c r="J22">
        <v>3.5</v>
      </c>
    </row>
    <row r="23" spans="1:16" ht="15.75" hidden="1" customHeight="1" outlineLevel="1" x14ac:dyDescent="0.7">
      <c r="A23" s="216" t="s">
        <v>662</v>
      </c>
      <c r="C23" s="236"/>
      <c r="D23" s="236"/>
    </row>
    <row r="24" spans="1:16" ht="15.75" hidden="1" customHeight="1" outlineLevel="1" x14ac:dyDescent="0.7">
      <c r="A24" s="216" t="s">
        <v>663</v>
      </c>
      <c r="C24" s="236"/>
      <c r="D24" s="236"/>
    </row>
    <row r="25" spans="1:16" ht="15.75" hidden="1" customHeight="1" outlineLevel="1" x14ac:dyDescent="0.7">
      <c r="A25" s="216" t="s">
        <v>664</v>
      </c>
      <c r="C25" s="236"/>
      <c r="D25" s="236"/>
    </row>
    <row r="26" spans="1:16" ht="15" customHeight="1" x14ac:dyDescent="0.7">
      <c r="A26" s="216" t="s">
        <v>665</v>
      </c>
      <c r="C26" s="242"/>
      <c r="D26" s="242"/>
      <c r="I26" s="196" t="s">
        <v>722</v>
      </c>
      <c r="J26" s="185">
        <f>J21/(J22-1)</f>
        <v>0</v>
      </c>
    </row>
    <row r="27" spans="1:16" ht="15.75" customHeight="1" x14ac:dyDescent="0.7">
      <c r="A27" s="231"/>
      <c r="C27" s="242"/>
      <c r="D27" s="242"/>
      <c r="I27" s="196" t="s">
        <v>723</v>
      </c>
      <c r="J27" s="185">
        <f>J26+J21</f>
        <v>0</v>
      </c>
    </row>
    <row r="28" spans="1:16" ht="15.75" customHeight="1" x14ac:dyDescent="0.7">
      <c r="A28" s="220" t="s">
        <v>668</v>
      </c>
      <c r="C28" s="243" t="e">
        <f>Normalisering!$I$89/Byggnader!$I$32</f>
        <v>#DIV/0!</v>
      </c>
      <c r="D28" s="243" t="e">
        <f>(Normalisering!$I$89-J29)/Byggnader!$I$32</f>
        <v>#DIV/0!</v>
      </c>
      <c r="I28" s="196" t="s">
        <v>724</v>
      </c>
      <c r="J28">
        <v>6000</v>
      </c>
      <c r="K28" s="196" t="s">
        <v>725</v>
      </c>
      <c r="L28" s="196" t="s">
        <v>726</v>
      </c>
      <c r="N28" t="s">
        <v>727</v>
      </c>
      <c r="P28" t="s">
        <v>728</v>
      </c>
    </row>
    <row r="29" spans="1:16" ht="15.75" customHeight="1" x14ac:dyDescent="0.7">
      <c r="A29" s="244" t="s">
        <v>670</v>
      </c>
      <c r="C29" s="245" t="e">
        <f>C28*$C$4*$C$9</f>
        <v>#DIV/0!</v>
      </c>
      <c r="D29" s="245" t="e">
        <f>D28*$C$4*$C$9</f>
        <v>#DIV/0!</v>
      </c>
      <c r="I29" s="196" t="s">
        <v>729</v>
      </c>
      <c r="J29">
        <f>J28*J27</f>
        <v>0</v>
      </c>
    </row>
    <row r="30" spans="1:16" ht="15.75" customHeight="1" outlineLevel="1" x14ac:dyDescent="0.7">
      <c r="A30" s="220" t="s">
        <v>671</v>
      </c>
      <c r="C30" s="243" t="e">
        <f>El!$I$127/'Installation F-återvinning'!C4</f>
        <v>#DIV/0!</v>
      </c>
      <c r="D30" s="243" t="e">
        <f>(El!$I$127+J30)/'Installation F-återvinning'!C4</f>
        <v>#DIV/0!</v>
      </c>
      <c r="I30" s="196" t="s">
        <v>730</v>
      </c>
      <c r="J30">
        <f>J28*J26</f>
        <v>0</v>
      </c>
    </row>
    <row r="31" spans="1:16" ht="15.75" customHeight="1" outlineLevel="1" x14ac:dyDescent="0.7">
      <c r="A31" s="244" t="s">
        <v>673</v>
      </c>
      <c r="C31" s="245" t="e">
        <f>C30*$C$4*$C$12</f>
        <v>#DIV/0!</v>
      </c>
      <c r="D31" s="245" t="e">
        <f>D30*$C$4*$C$12</f>
        <v>#DIV/0!</v>
      </c>
    </row>
    <row r="32" spans="1:16" ht="15.75" customHeight="1" outlineLevel="1" x14ac:dyDescent="0.7">
      <c r="A32" s="220" t="s">
        <v>675</v>
      </c>
      <c r="C32" s="243"/>
      <c r="D32" s="243"/>
    </row>
    <row r="33" spans="1:6" ht="15.75" customHeight="1" outlineLevel="1" x14ac:dyDescent="0.7">
      <c r="A33" s="244" t="s">
        <v>676</v>
      </c>
      <c r="C33" s="245">
        <f>C32*$C$4*$C$15</f>
        <v>0</v>
      </c>
      <c r="D33" s="245">
        <f>D32*$C$4*$C$15</f>
        <v>0</v>
      </c>
    </row>
    <row r="34" spans="1:6" ht="15" customHeight="1" outlineLevel="1" x14ac:dyDescent="0.7">
      <c r="A34" s="231" t="s">
        <v>677</v>
      </c>
      <c r="C34" s="242" t="e">
        <f>C29+C31+C33</f>
        <v>#DIV/0!</v>
      </c>
      <c r="D34" s="242" t="e">
        <f>D29+D31+D33</f>
        <v>#DIV/0!</v>
      </c>
      <c r="F34" s="231"/>
    </row>
    <row r="35" spans="1:6" ht="15" customHeight="1" outlineLevel="1" x14ac:dyDescent="0.7">
      <c r="A35" s="231" t="s">
        <v>678</v>
      </c>
      <c r="C35" s="242" t="e">
        <f>(C28+C30+C32)*$C$4</f>
        <v>#DIV/0!</v>
      </c>
      <c r="D35" s="242" t="e">
        <f>(D28+D30+D32)*$C$4</f>
        <v>#DIV/0!</v>
      </c>
      <c r="F35" s="231"/>
    </row>
    <row r="36" spans="1:6" ht="15" customHeight="1" outlineLevel="1" x14ac:dyDescent="0.7">
      <c r="A36" s="231" t="s">
        <v>679</v>
      </c>
      <c r="C36" s="247" t="e">
        <f>C34/C35</f>
        <v>#DIV/0!</v>
      </c>
      <c r="D36" s="242"/>
      <c r="F36" s="231"/>
    </row>
    <row r="37" spans="1:6" ht="15" customHeight="1" x14ac:dyDescent="0.7">
      <c r="A37" s="222" t="s">
        <v>652</v>
      </c>
      <c r="C37" s="242"/>
      <c r="D37" s="242"/>
      <c r="F37" s="231"/>
    </row>
    <row r="38" spans="1:6" ht="15.75" customHeight="1" x14ac:dyDescent="0.7">
      <c r="A38" s="248"/>
      <c r="C38" s="242"/>
      <c r="D38" s="242"/>
      <c r="F38" s="231"/>
    </row>
    <row r="39" spans="1:6" ht="15" customHeight="1" x14ac:dyDescent="0.7">
      <c r="A39" s="249" t="s">
        <v>680</v>
      </c>
      <c r="B39" s="250"/>
      <c r="C39" s="251">
        <f>C20-PV($C$5-$C$7,$C$6,C22)+C23+C24/(1+$C$5-$C$7)^10+C25/(1+$C$5-$C$7)^20</f>
        <v>0</v>
      </c>
      <c r="D39" s="252">
        <f>D20-PV($C$5-$C$7,$C$6,D22)+D23+D24/(1+$C$5-$C$7)^10+D25/(1+$C$5-$C$7)^20</f>
        <v>0</v>
      </c>
      <c r="F39" s="231"/>
    </row>
    <row r="40" spans="1:6" ht="15.75" customHeight="1" x14ac:dyDescent="0.7">
      <c r="A40" s="253" t="s">
        <v>681</v>
      </c>
      <c r="B40" s="254"/>
      <c r="C40" s="255" t="e">
        <f>-PV($C$5-$C$10,$C$6,C29)-PV($C$5-$C$13,$C$6,C31)-PV($C$5-$C$16,$C$6,C33)</f>
        <v>#DIV/0!</v>
      </c>
      <c r="D40" s="256" t="e">
        <f>-PV($C$5-$C$10,$C$6,D29)-PV($C$5-$C$13,$C$6,D31)-PV($C$5-$C$16,$C$6,D33)</f>
        <v>#DIV/0!</v>
      </c>
      <c r="F40" s="231"/>
    </row>
    <row r="41" spans="1:6" ht="15.75" customHeight="1" x14ac:dyDescent="0.7">
      <c r="A41" s="257" t="s">
        <v>682</v>
      </c>
      <c r="B41" s="258"/>
      <c r="C41" s="259" t="e">
        <f>C39+C40</f>
        <v>#DIV/0!</v>
      </c>
      <c r="D41" s="260" t="e">
        <f>D39+D40</f>
        <v>#DIV/0!</v>
      </c>
      <c r="F41" s="231"/>
    </row>
    <row r="42" spans="1:6" ht="15.75" customHeight="1" x14ac:dyDescent="0.7">
      <c r="A42" s="261"/>
      <c r="B42" s="262"/>
      <c r="C42" s="263" t="s">
        <v>683</v>
      </c>
      <c r="D42" s="264" t="e">
        <f>C41-D41</f>
        <v>#DIV/0!</v>
      </c>
      <c r="F42" s="231"/>
    </row>
    <row r="43" spans="1:6" s="231" customFormat="1" ht="12.75" customHeight="1" x14ac:dyDescent="0.6">
      <c r="A43" s="265" t="s">
        <v>684</v>
      </c>
      <c r="B43" s="266"/>
      <c r="C43" s="267" t="e">
        <f>(D39-C39)/(C40-D40)*C36</f>
        <v>#DIV/0!</v>
      </c>
      <c r="D43" s="268" t="e">
        <f>IF($D42&gt;0,"LÖNSAMT","EJ LÖNSAMT")</f>
        <v>#DIV/0!</v>
      </c>
    </row>
    <row r="44" spans="1:6" ht="15.75" customHeight="1" x14ac:dyDescent="0.7">
      <c r="A44" s="269" t="s">
        <v>685</v>
      </c>
      <c r="B44" s="183"/>
      <c r="C44" s="270" t="e">
        <f>C36</f>
        <v>#DIV/0!</v>
      </c>
      <c r="D44" s="271"/>
      <c r="F44" s="231"/>
    </row>
    <row r="45" spans="1:6" ht="15" customHeight="1" x14ac:dyDescent="0.7">
      <c r="C45" s="242"/>
      <c r="D45" s="242"/>
      <c r="F45" s="231"/>
    </row>
    <row r="46" spans="1:6" ht="15.75" customHeight="1" x14ac:dyDescent="0.7">
      <c r="D46" s="272"/>
    </row>
    <row r="47" spans="1:6" ht="15.75" customHeight="1" x14ac:dyDescent="0.7">
      <c r="A47" s="273" t="s">
        <v>686</v>
      </c>
      <c r="B47" s="274"/>
      <c r="D47" s="275" t="s">
        <v>687</v>
      </c>
    </row>
    <row r="49" spans="6:6" ht="15" customHeight="1" x14ac:dyDescent="0.7">
      <c r="F49" s="218"/>
    </row>
  </sheetData>
  <mergeCells count="3">
    <mergeCell ref="C2:D2"/>
    <mergeCell ref="I7:L7"/>
    <mergeCell ref="I15:N16"/>
  </mergeCells>
  <dataValidations count="1">
    <dataValidation type="list" sqref="B2" xr:uid="{00000000-0002-0000-1400-000000000000}">
      <formula1>"Ja,Nej"</formula1>
      <formula2>0</formula2>
    </dataValidation>
  </dataValidations>
  <pageMargins left="0.7" right="0.7" top="0.75" bottom="0.75" header="0.511811023622047" footer="0.511811023622047"/>
  <pageSetup paperSize="9" orientation="portrait" horizontalDpi="300" verticalDpi="300"/>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49"/>
  <sheetViews>
    <sheetView zoomScaleNormal="100" workbookViewId="0">
      <selection activeCell="I22" sqref="I22"/>
    </sheetView>
  </sheetViews>
  <sheetFormatPr defaultColWidth="9.1328125" defaultRowHeight="14.5" outlineLevelRow="1" outlineLevelCol="1" x14ac:dyDescent="0.7"/>
  <cols>
    <col min="1" max="1" width="58.86328125" customWidth="1"/>
    <col min="2" max="2" width="1.26953125" customWidth="1"/>
    <col min="3" max="3" width="16" customWidth="1"/>
    <col min="4" max="4" width="15.86328125" customWidth="1"/>
    <col min="5" max="5" width="9.1328125" outlineLevel="1"/>
    <col min="6" max="6" width="20.54296875" customWidth="1" outlineLevel="1"/>
    <col min="9" max="9" width="28.86328125" customWidth="1"/>
    <col min="10" max="10" width="13.40625" customWidth="1"/>
    <col min="11" max="11" width="10.86328125" customWidth="1"/>
  </cols>
  <sheetData>
    <row r="1" spans="1:14" ht="45.75" customHeight="1" x14ac:dyDescent="0.9">
      <c r="A1" s="200" t="s">
        <v>731</v>
      </c>
      <c r="C1" s="201" t="s">
        <v>625</v>
      </c>
      <c r="D1" s="202"/>
    </row>
    <row r="2" spans="1:14" ht="24" customHeight="1" x14ac:dyDescent="1">
      <c r="A2" s="203" t="s">
        <v>626</v>
      </c>
      <c r="B2" s="204" t="s">
        <v>204</v>
      </c>
      <c r="C2" s="293"/>
      <c r="D2" s="293"/>
      <c r="E2" s="201" t="s">
        <v>627</v>
      </c>
      <c r="F2" s="202"/>
    </row>
    <row r="3" spans="1:14" ht="15.75" customHeight="1" x14ac:dyDescent="1">
      <c r="A3" s="205"/>
      <c r="B3" s="206"/>
      <c r="C3" s="207" t="s">
        <v>628</v>
      </c>
      <c r="D3" s="208" t="s">
        <v>629</v>
      </c>
      <c r="E3" s="201" t="s">
        <v>630</v>
      </c>
      <c r="F3" s="202"/>
    </row>
    <row r="4" spans="1:14" ht="13.5" customHeight="1" x14ac:dyDescent="0.7">
      <c r="A4" s="205" t="s">
        <v>631</v>
      </c>
      <c r="C4" s="209">
        <f>Byggnader!$I$32</f>
        <v>0</v>
      </c>
      <c r="D4" s="209" t="s">
        <v>632</v>
      </c>
    </row>
    <row r="5" spans="1:14" ht="13.5" customHeight="1" x14ac:dyDescent="0.7">
      <c r="A5" s="205" t="s">
        <v>633</v>
      </c>
      <c r="C5" s="210">
        <f>Energiprisfaktorer!B6</f>
        <v>0.04</v>
      </c>
      <c r="D5" s="211" t="s">
        <v>634</v>
      </c>
      <c r="E5" s="212"/>
      <c r="F5" s="213" t="s">
        <v>635</v>
      </c>
    </row>
    <row r="6" spans="1:14" ht="15.75" customHeight="1" x14ac:dyDescent="0.7">
      <c r="A6" s="205" t="s">
        <v>636</v>
      </c>
      <c r="C6" s="214">
        <v>20</v>
      </c>
      <c r="D6" s="211" t="s">
        <v>637</v>
      </c>
      <c r="E6" s="215" t="e">
        <f>(D20-C20)/(C34+C22-D34-D22)</f>
        <v>#DIV/0!</v>
      </c>
      <c r="F6" s="213" t="s">
        <v>638</v>
      </c>
    </row>
    <row r="7" spans="1:14" ht="15.75" customHeight="1" x14ac:dyDescent="0.7">
      <c r="A7" s="216" t="s">
        <v>639</v>
      </c>
      <c r="C7" s="210">
        <f>Energiprisfaktorer!B7</f>
        <v>0.02</v>
      </c>
      <c r="D7" s="217" t="str">
        <f>D5</f>
        <v>nominell</v>
      </c>
      <c r="E7" s="218"/>
      <c r="F7" s="219"/>
      <c r="I7" s="294" t="s">
        <v>640</v>
      </c>
      <c r="J7" s="294"/>
      <c r="K7" s="294"/>
      <c r="L7" s="294"/>
    </row>
    <row r="8" spans="1:14" ht="15.75" customHeight="1" x14ac:dyDescent="0.7">
      <c r="A8" s="220" t="s">
        <v>641</v>
      </c>
      <c r="C8" s="221" t="s">
        <v>161</v>
      </c>
      <c r="D8" s="221" t="s">
        <v>143</v>
      </c>
      <c r="E8" s="218"/>
      <c r="F8" s="219"/>
    </row>
    <row r="9" spans="1:14" ht="14.25" customHeight="1" x14ac:dyDescent="0.7">
      <c r="A9" s="222" t="s">
        <v>642</v>
      </c>
      <c r="C9" s="223">
        <f>Energiprisfaktorer!B4</f>
        <v>1.1499999999999999</v>
      </c>
      <c r="D9" s="224" t="s">
        <v>643</v>
      </c>
      <c r="E9" s="218"/>
      <c r="F9" s="219"/>
      <c r="I9" s="196" t="s">
        <v>698</v>
      </c>
      <c r="K9" s="30">
        <f>K26-K27</f>
        <v>0</v>
      </c>
    </row>
    <row r="10" spans="1:14" ht="14.25" customHeight="1" x14ac:dyDescent="0.7">
      <c r="A10" s="225" t="s">
        <v>645</v>
      </c>
      <c r="C10" s="226">
        <f>Energiprisfaktorer!B5</f>
        <v>0.03</v>
      </c>
      <c r="D10" s="227" t="str">
        <f>D5</f>
        <v>nominell</v>
      </c>
      <c r="E10" s="218"/>
      <c r="F10" s="219"/>
      <c r="I10" s="196" t="s">
        <v>646</v>
      </c>
      <c r="K10">
        <f>2500*K19</f>
        <v>50000</v>
      </c>
    </row>
    <row r="11" spans="1:14" ht="14.25" customHeight="1" outlineLevel="1" x14ac:dyDescent="0.7">
      <c r="A11" s="220" t="s">
        <v>647</v>
      </c>
      <c r="C11" s="221" t="s">
        <v>175</v>
      </c>
      <c r="D11" s="221"/>
      <c r="E11" s="218"/>
      <c r="F11" s="219"/>
    </row>
    <row r="12" spans="1:14" ht="14.25" customHeight="1" outlineLevel="1" x14ac:dyDescent="0.7">
      <c r="A12" s="222" t="s">
        <v>642</v>
      </c>
      <c r="C12" s="223">
        <f>Energiprisfaktorer!C4</f>
        <v>2</v>
      </c>
      <c r="D12" s="224" t="s">
        <v>643</v>
      </c>
      <c r="E12" s="218"/>
      <c r="F12" s="219"/>
      <c r="I12" s="228" t="s">
        <v>648</v>
      </c>
      <c r="J12" s="229"/>
      <c r="K12" s="229"/>
      <c r="L12" s="229"/>
    </row>
    <row r="13" spans="1:14" ht="14.25" customHeight="1" outlineLevel="1" x14ac:dyDescent="0.7">
      <c r="A13" s="225" t="s">
        <v>645</v>
      </c>
      <c r="C13" s="226">
        <f>Energiprisfaktorer!C5</f>
        <v>0.04</v>
      </c>
      <c r="D13" s="227" t="str">
        <f>D5</f>
        <v>nominell</v>
      </c>
      <c r="E13" s="218"/>
      <c r="F13" s="219"/>
    </row>
    <row r="14" spans="1:14" ht="14.25" customHeight="1" outlineLevel="1" x14ac:dyDescent="0.7">
      <c r="A14" s="220" t="s">
        <v>649</v>
      </c>
      <c r="C14" s="221"/>
      <c r="D14" s="221"/>
      <c r="E14" s="218"/>
      <c r="F14" s="219"/>
      <c r="I14" s="196" t="s">
        <v>650</v>
      </c>
    </row>
    <row r="15" spans="1:14" ht="15.75" customHeight="1" outlineLevel="1" x14ac:dyDescent="0.7">
      <c r="A15" s="222" t="s">
        <v>642</v>
      </c>
      <c r="C15" s="223">
        <v>0.6</v>
      </c>
      <c r="D15" s="224" t="s">
        <v>643</v>
      </c>
      <c r="I15" s="296" t="s">
        <v>732</v>
      </c>
      <c r="J15" s="296"/>
      <c r="K15" s="296"/>
      <c r="L15" s="296"/>
      <c r="M15" s="296"/>
      <c r="N15" s="296"/>
    </row>
    <row r="16" spans="1:14" ht="15.75" customHeight="1" outlineLevel="1" x14ac:dyDescent="0.7">
      <c r="A16" s="225" t="s">
        <v>645</v>
      </c>
      <c r="C16" s="226">
        <v>0.04</v>
      </c>
      <c r="D16" s="227" t="str">
        <f>D5</f>
        <v>nominell</v>
      </c>
      <c r="I16" s="296"/>
      <c r="J16" s="296"/>
      <c r="K16" s="296"/>
      <c r="L16" s="296"/>
      <c r="M16" s="296"/>
      <c r="N16" s="296"/>
    </row>
    <row r="17" spans="1:12" ht="15.75" customHeight="1" x14ac:dyDescent="0.7">
      <c r="A17" s="225" t="s">
        <v>652</v>
      </c>
      <c r="C17" s="230"/>
      <c r="D17" s="230"/>
      <c r="E17" s="218"/>
    </row>
    <row r="18" spans="1:12" ht="15.75" customHeight="1" x14ac:dyDescent="0.7">
      <c r="A18" s="231"/>
      <c r="C18" s="231"/>
      <c r="D18" s="230"/>
      <c r="E18" s="218"/>
      <c r="I18" s="196" t="s">
        <v>653</v>
      </c>
    </row>
    <row r="19" spans="1:12" ht="15.75" customHeight="1" x14ac:dyDescent="0.7">
      <c r="A19" s="231"/>
      <c r="C19" s="233" t="s">
        <v>654</v>
      </c>
      <c r="D19" s="234" t="s">
        <v>655</v>
      </c>
      <c r="I19" s="196" t="s">
        <v>733</v>
      </c>
      <c r="K19">
        <v>20</v>
      </c>
    </row>
    <row r="20" spans="1:12" ht="15.75" customHeight="1" x14ac:dyDescent="0.7">
      <c r="A20" s="235" t="s">
        <v>657</v>
      </c>
      <c r="C20" s="236">
        <v>0</v>
      </c>
      <c r="D20" s="236">
        <f>K10</f>
        <v>50000</v>
      </c>
      <c r="E20" s="237" t="e">
        <f>D20+C41-D41</f>
        <v>#DIV/0!</v>
      </c>
      <c r="F20" s="213" t="s">
        <v>658</v>
      </c>
      <c r="I20" s="196" t="s">
        <v>734</v>
      </c>
      <c r="K20">
        <v>150</v>
      </c>
      <c r="L20" s="196" t="s">
        <v>735</v>
      </c>
    </row>
    <row r="21" spans="1:12" ht="15.75" customHeight="1" x14ac:dyDescent="0.7">
      <c r="A21" s="231"/>
      <c r="C21" s="238"/>
      <c r="D21" s="238"/>
      <c r="E21" s="239"/>
      <c r="F21" s="240"/>
      <c r="I21" s="196" t="s">
        <v>736</v>
      </c>
      <c r="K21">
        <f>K20*K19</f>
        <v>3000</v>
      </c>
    </row>
    <row r="22" spans="1:12" ht="15.75" customHeight="1" x14ac:dyDescent="0.7">
      <c r="A22" s="216" t="s">
        <v>660</v>
      </c>
      <c r="C22" s="241">
        <v>0</v>
      </c>
      <c r="D22" s="241">
        <v>0</v>
      </c>
      <c r="I22" s="196" t="s">
        <v>737</v>
      </c>
      <c r="K22" s="187">
        <v>0.5</v>
      </c>
    </row>
    <row r="23" spans="1:12" ht="15.75" hidden="1" customHeight="1" outlineLevel="1" x14ac:dyDescent="0.7">
      <c r="A23" s="216" t="s">
        <v>662</v>
      </c>
      <c r="C23" s="236"/>
      <c r="D23" s="236"/>
    </row>
    <row r="24" spans="1:12" ht="15.75" hidden="1" customHeight="1" outlineLevel="1" x14ac:dyDescent="0.7">
      <c r="A24" s="216" t="s">
        <v>663</v>
      </c>
      <c r="C24" s="236"/>
      <c r="D24" s="236"/>
    </row>
    <row r="25" spans="1:12" ht="15.75" hidden="1" customHeight="1" outlineLevel="1" x14ac:dyDescent="0.7">
      <c r="A25" s="216" t="s">
        <v>664</v>
      </c>
      <c r="C25" s="236"/>
      <c r="D25" s="236"/>
    </row>
    <row r="26" spans="1:12" ht="15" customHeight="1" x14ac:dyDescent="0.7">
      <c r="A26" s="216" t="s">
        <v>665</v>
      </c>
      <c r="C26" s="242"/>
      <c r="D26" s="242"/>
      <c r="I26" s="196"/>
    </row>
    <row r="27" spans="1:12" ht="15.75" customHeight="1" x14ac:dyDescent="0.7">
      <c r="A27" s="231"/>
      <c r="C27" s="242"/>
      <c r="D27" s="242"/>
      <c r="I27" s="196"/>
    </row>
    <row r="28" spans="1:12" ht="15.75" customHeight="1" x14ac:dyDescent="0.7">
      <c r="A28" s="220" t="s">
        <v>668</v>
      </c>
      <c r="C28" s="243" t="e">
        <f>Normalisering!$I$89/Byggnader!$I$32</f>
        <v>#DIV/0!</v>
      </c>
      <c r="D28" s="243" t="e">
        <f>(Normalisering!$I$89-K9)/Byggnader!$I$32</f>
        <v>#DIV/0!</v>
      </c>
    </row>
    <row r="29" spans="1:12" ht="15.75" customHeight="1" x14ac:dyDescent="0.7">
      <c r="A29" s="244" t="s">
        <v>670</v>
      </c>
      <c r="C29" s="245" t="e">
        <f>C28*$C$4*$C$9</f>
        <v>#DIV/0!</v>
      </c>
      <c r="D29" s="245" t="e">
        <f>D28*$C$4*$C$9</f>
        <v>#DIV/0!</v>
      </c>
    </row>
    <row r="30" spans="1:12" ht="15.75" customHeight="1" outlineLevel="1" x14ac:dyDescent="0.7">
      <c r="A30" s="220" t="s">
        <v>671</v>
      </c>
      <c r="C30" s="243" t="e">
        <f>El!$I$20/'Installation av solceller'!C4</f>
        <v>#DIV/0!</v>
      </c>
      <c r="D30" s="243" t="e">
        <f>(El!$I$20-K21)/'Installation av solceller'!C4</f>
        <v>#DIV/0!</v>
      </c>
    </row>
    <row r="31" spans="1:12" ht="15.75" customHeight="1" outlineLevel="1" x14ac:dyDescent="0.7">
      <c r="A31" s="244" t="s">
        <v>673</v>
      </c>
      <c r="C31" s="245" t="e">
        <f>C30*$C$4*$C$12</f>
        <v>#DIV/0!</v>
      </c>
      <c r="D31" s="245" t="e">
        <f>D30*$C$4*$C$12</f>
        <v>#DIV/0!</v>
      </c>
    </row>
    <row r="32" spans="1:12" ht="15.75" customHeight="1" outlineLevel="1" x14ac:dyDescent="0.7">
      <c r="A32" s="220" t="s">
        <v>675</v>
      </c>
      <c r="C32" s="243"/>
      <c r="D32" s="243"/>
    </row>
    <row r="33" spans="1:6" ht="15.75" customHeight="1" outlineLevel="1" x14ac:dyDescent="0.7">
      <c r="A33" s="244" t="s">
        <v>676</v>
      </c>
      <c r="C33" s="245">
        <f>C32*$C$4*$C$15</f>
        <v>0</v>
      </c>
      <c r="D33" s="245">
        <f>D32*$C$4*$C$15</f>
        <v>0</v>
      </c>
    </row>
    <row r="34" spans="1:6" ht="15" customHeight="1" outlineLevel="1" x14ac:dyDescent="0.7">
      <c r="A34" s="231" t="s">
        <v>677</v>
      </c>
      <c r="C34" s="242" t="e">
        <f>C29+C31+C33</f>
        <v>#DIV/0!</v>
      </c>
      <c r="D34" s="242" t="e">
        <f>D29+D31+D33</f>
        <v>#DIV/0!</v>
      </c>
      <c r="F34" s="231"/>
    </row>
    <row r="35" spans="1:6" ht="15" customHeight="1" outlineLevel="1" x14ac:dyDescent="0.7">
      <c r="A35" s="231" t="s">
        <v>678</v>
      </c>
      <c r="C35" s="242" t="e">
        <f>(C28+C30+C32)*$C$4</f>
        <v>#DIV/0!</v>
      </c>
      <c r="D35" s="242" t="e">
        <f>(D28+D30+D32)*$C$4</f>
        <v>#DIV/0!</v>
      </c>
      <c r="F35" s="231"/>
    </row>
    <row r="36" spans="1:6" ht="15" customHeight="1" outlineLevel="1" x14ac:dyDescent="0.7">
      <c r="A36" s="231" t="s">
        <v>679</v>
      </c>
      <c r="C36" s="247" t="e">
        <f>C34/C35</f>
        <v>#DIV/0!</v>
      </c>
      <c r="D36" s="242"/>
      <c r="F36" s="231"/>
    </row>
    <row r="37" spans="1:6" ht="15" customHeight="1" x14ac:dyDescent="0.7">
      <c r="A37" s="222" t="s">
        <v>652</v>
      </c>
      <c r="C37" s="242"/>
      <c r="D37" s="242"/>
      <c r="F37" s="231"/>
    </row>
    <row r="38" spans="1:6" ht="15.75" customHeight="1" x14ac:dyDescent="0.7">
      <c r="A38" s="248"/>
      <c r="C38" s="242"/>
      <c r="D38" s="242"/>
      <c r="F38" s="231"/>
    </row>
    <row r="39" spans="1:6" ht="15" customHeight="1" x14ac:dyDescent="0.7">
      <c r="A39" s="249" t="s">
        <v>680</v>
      </c>
      <c r="B39" s="250"/>
      <c r="C39" s="251">
        <f>C20-PV($C$5-$C$7,$C$6,C22)+C23+C24/(1+$C$5-$C$7)^10+C25/(1+$C$5-$C$7)^20</f>
        <v>0</v>
      </c>
      <c r="D39" s="252">
        <f>D20-PV($C$5-$C$7,$C$6,D22)+D23+D24/(1+$C$5-$C$7)^10+D25/(1+$C$5-$C$7)^20</f>
        <v>50000</v>
      </c>
      <c r="F39" s="231"/>
    </row>
    <row r="40" spans="1:6" ht="15.75" customHeight="1" x14ac:dyDescent="0.7">
      <c r="A40" s="253" t="s">
        <v>681</v>
      </c>
      <c r="B40" s="254"/>
      <c r="C40" s="255" t="e">
        <f>-PV($C$5-$C$10,$C$6,C29)-PV($C$5-$C$13,$C$6,C31)-PV($C$5-$C$16,$C$6,C33)</f>
        <v>#DIV/0!</v>
      </c>
      <c r="D40" s="256" t="e">
        <f>-PV($C$5-$C$10,$C$6,D29)-PV($C$5-$C$13,$C$6,D31)-PV($C$5-$C$16,$C$6,D33)</f>
        <v>#DIV/0!</v>
      </c>
      <c r="F40" s="231"/>
    </row>
    <row r="41" spans="1:6" ht="15.75" customHeight="1" x14ac:dyDescent="0.7">
      <c r="A41" s="257" t="s">
        <v>682</v>
      </c>
      <c r="B41" s="258"/>
      <c r="C41" s="259" t="e">
        <f>C39+C40</f>
        <v>#DIV/0!</v>
      </c>
      <c r="D41" s="260" t="e">
        <f>D39+D40</f>
        <v>#DIV/0!</v>
      </c>
      <c r="F41" s="231"/>
    </row>
    <row r="42" spans="1:6" ht="15.75" customHeight="1" x14ac:dyDescent="0.7">
      <c r="A42" s="261"/>
      <c r="B42" s="262"/>
      <c r="C42" s="263" t="s">
        <v>683</v>
      </c>
      <c r="D42" s="264" t="e">
        <f>C41-D41</f>
        <v>#DIV/0!</v>
      </c>
      <c r="F42" s="231"/>
    </row>
    <row r="43" spans="1:6" s="231" customFormat="1" ht="12.75" customHeight="1" x14ac:dyDescent="0.6">
      <c r="A43" s="265" t="s">
        <v>684</v>
      </c>
      <c r="B43" s="266"/>
      <c r="C43" s="267" t="e">
        <f>(D39-C39)/(C40-D40)*C36</f>
        <v>#DIV/0!</v>
      </c>
      <c r="D43" s="268" t="e">
        <f>IF($D42&gt;0,"LÖNSAMT","EJ LÖNSAMT")</f>
        <v>#DIV/0!</v>
      </c>
    </row>
    <row r="44" spans="1:6" ht="15.75" customHeight="1" x14ac:dyDescent="0.7">
      <c r="A44" s="269" t="s">
        <v>685</v>
      </c>
      <c r="B44" s="183"/>
      <c r="C44" s="270" t="e">
        <f>C36</f>
        <v>#DIV/0!</v>
      </c>
      <c r="D44" s="271"/>
      <c r="F44" s="231"/>
    </row>
    <row r="45" spans="1:6" ht="15" customHeight="1" x14ac:dyDescent="0.7">
      <c r="C45" s="242"/>
      <c r="D45" s="242"/>
      <c r="F45" s="231"/>
    </row>
    <row r="46" spans="1:6" ht="15.75" customHeight="1" x14ac:dyDescent="0.7">
      <c r="D46" s="272"/>
    </row>
    <row r="47" spans="1:6" ht="15.75" customHeight="1" x14ac:dyDescent="0.7">
      <c r="A47" s="273" t="s">
        <v>686</v>
      </c>
      <c r="B47" s="274"/>
      <c r="D47" s="275" t="s">
        <v>687</v>
      </c>
    </row>
    <row r="49" spans="6:6" ht="15" customHeight="1" x14ac:dyDescent="0.7">
      <c r="F49" s="218"/>
    </row>
  </sheetData>
  <mergeCells count="3">
    <mergeCell ref="C2:D2"/>
    <mergeCell ref="I7:L7"/>
    <mergeCell ref="I15:N16"/>
  </mergeCells>
  <dataValidations count="1">
    <dataValidation type="list" sqref="B2" xr:uid="{00000000-0002-0000-1500-000000000000}">
      <formula1>"Ja,Nej"</formula1>
      <formula2>0</formula2>
    </dataValidation>
  </dataValidations>
  <pageMargins left="0.7" right="0.7" top="0.75" bottom="0.75" header="0.511811023622047" footer="0.511811023622047"/>
  <pageSetup paperSize="9" orientation="portrait" horizontalDpi="300" verticalDpi="300"/>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49"/>
  <sheetViews>
    <sheetView topLeftCell="A4" zoomScaleNormal="100" workbookViewId="0">
      <selection activeCell="K22" sqref="K22"/>
    </sheetView>
  </sheetViews>
  <sheetFormatPr defaultColWidth="9.1328125" defaultRowHeight="14.5" outlineLevelRow="1" outlineLevelCol="1" x14ac:dyDescent="0.7"/>
  <cols>
    <col min="1" max="1" width="58.86328125" customWidth="1"/>
    <col min="2" max="2" width="1.26953125" customWidth="1"/>
    <col min="3" max="3" width="16" customWidth="1"/>
    <col min="4" max="4" width="15.86328125" customWidth="1"/>
    <col min="5" max="5" width="9.1328125" outlineLevel="1"/>
    <col min="6" max="6" width="20.54296875" customWidth="1" outlineLevel="1"/>
    <col min="9" max="9" width="26.6796875" customWidth="1"/>
    <col min="10" max="10" width="23.54296875" customWidth="1"/>
  </cols>
  <sheetData>
    <row r="1" spans="1:14" ht="45.75" customHeight="1" x14ac:dyDescent="0.9">
      <c r="A1" s="200" t="s">
        <v>738</v>
      </c>
      <c r="C1" s="201" t="s">
        <v>625</v>
      </c>
      <c r="D1" s="202"/>
    </row>
    <row r="2" spans="1:14" ht="24" customHeight="1" x14ac:dyDescent="1">
      <c r="A2" s="203" t="s">
        <v>626</v>
      </c>
      <c r="B2" s="204" t="s">
        <v>204</v>
      </c>
      <c r="C2" s="293"/>
      <c r="D2" s="293"/>
      <c r="E2" s="201" t="s">
        <v>627</v>
      </c>
      <c r="F2" s="202"/>
    </row>
    <row r="3" spans="1:14" ht="15.75" customHeight="1" x14ac:dyDescent="1">
      <c r="A3" s="205"/>
      <c r="B3" s="206"/>
      <c r="C3" s="207" t="s">
        <v>628</v>
      </c>
      <c r="D3" s="208" t="s">
        <v>629</v>
      </c>
      <c r="E3" s="201" t="s">
        <v>630</v>
      </c>
      <c r="F3" s="202"/>
    </row>
    <row r="4" spans="1:14" ht="13.5" customHeight="1" x14ac:dyDescent="0.7">
      <c r="A4" s="205" t="s">
        <v>631</v>
      </c>
      <c r="C4" s="209">
        <f>Byggnader!$I$32</f>
        <v>0</v>
      </c>
      <c r="D4" s="209" t="s">
        <v>632</v>
      </c>
    </row>
    <row r="5" spans="1:14" ht="13.5" customHeight="1" x14ac:dyDescent="0.7">
      <c r="A5" s="205" t="s">
        <v>633</v>
      </c>
      <c r="C5" s="210">
        <f>Energiprisfaktorer!B6</f>
        <v>0.04</v>
      </c>
      <c r="D5" s="211" t="s">
        <v>634</v>
      </c>
      <c r="E5" s="212"/>
      <c r="F5" s="213" t="s">
        <v>635</v>
      </c>
    </row>
    <row r="6" spans="1:14" ht="15.75" customHeight="1" x14ac:dyDescent="0.7">
      <c r="A6" s="205" t="s">
        <v>636</v>
      </c>
      <c r="C6" s="214">
        <v>20</v>
      </c>
      <c r="D6" s="211" t="s">
        <v>637</v>
      </c>
      <c r="E6" s="215" t="e">
        <f>(D20-C20)/(C34+C22-D34-D22)</f>
        <v>#DIV/0!</v>
      </c>
      <c r="F6" s="213" t="s">
        <v>638</v>
      </c>
    </row>
    <row r="7" spans="1:14" ht="15.75" customHeight="1" x14ac:dyDescent="0.7">
      <c r="A7" s="216" t="s">
        <v>639</v>
      </c>
      <c r="C7" s="210">
        <f>Energiprisfaktorer!B7</f>
        <v>0.02</v>
      </c>
      <c r="D7" s="217" t="str">
        <f>D5</f>
        <v>nominell</v>
      </c>
      <c r="E7" s="218"/>
      <c r="F7" s="219"/>
      <c r="I7" s="294" t="s">
        <v>640</v>
      </c>
      <c r="J7" s="294"/>
      <c r="K7" s="294"/>
      <c r="L7" s="294"/>
    </row>
    <row r="8" spans="1:14" ht="15.75" customHeight="1" x14ac:dyDescent="0.7">
      <c r="A8" s="220" t="s">
        <v>641</v>
      </c>
      <c r="C8" s="221" t="s">
        <v>161</v>
      </c>
      <c r="D8" s="221" t="s">
        <v>143</v>
      </c>
      <c r="E8" s="218"/>
      <c r="F8" s="219"/>
    </row>
    <row r="9" spans="1:14" ht="14.25" customHeight="1" x14ac:dyDescent="0.7">
      <c r="A9" s="222" t="s">
        <v>642</v>
      </c>
      <c r="C9" s="223">
        <f>Energiprisfaktorer!B4</f>
        <v>1.1499999999999999</v>
      </c>
      <c r="D9" s="224" t="s">
        <v>643</v>
      </c>
      <c r="E9" s="218"/>
      <c r="F9" s="219"/>
      <c r="I9" s="196"/>
      <c r="K9" s="187"/>
    </row>
    <row r="10" spans="1:14" ht="14.25" customHeight="1" x14ac:dyDescent="0.7">
      <c r="A10" s="225" t="s">
        <v>645</v>
      </c>
      <c r="C10" s="226">
        <f>Energiprisfaktorer!B5</f>
        <v>0.03</v>
      </c>
      <c r="D10" s="227" t="str">
        <f>D5</f>
        <v>nominell</v>
      </c>
      <c r="E10" s="218"/>
      <c r="F10" s="219"/>
      <c r="I10" s="196" t="s">
        <v>646</v>
      </c>
      <c r="K10">
        <v>10000</v>
      </c>
    </row>
    <row r="11" spans="1:14" ht="14.25" customHeight="1" outlineLevel="1" x14ac:dyDescent="0.7">
      <c r="A11" s="220" t="s">
        <v>647</v>
      </c>
      <c r="C11" s="221" t="s">
        <v>175</v>
      </c>
      <c r="D11" s="221"/>
      <c r="E11" s="218"/>
      <c r="F11" s="219"/>
    </row>
    <row r="12" spans="1:14" ht="14.25" customHeight="1" outlineLevel="1" x14ac:dyDescent="0.7">
      <c r="A12" s="222" t="s">
        <v>642</v>
      </c>
      <c r="C12" s="223">
        <f>Energiprisfaktorer!C4</f>
        <v>2</v>
      </c>
      <c r="D12" s="224" t="s">
        <v>643</v>
      </c>
      <c r="E12" s="218"/>
      <c r="F12" s="219"/>
      <c r="I12" s="228" t="s">
        <v>648</v>
      </c>
      <c r="J12" s="229"/>
      <c r="K12" s="229"/>
      <c r="L12" s="229"/>
    </row>
    <row r="13" spans="1:14" ht="14.25" customHeight="1" outlineLevel="1" x14ac:dyDescent="0.7">
      <c r="A13" s="225" t="s">
        <v>645</v>
      </c>
      <c r="C13" s="226">
        <f>Energiprisfaktorer!C5</f>
        <v>0.04</v>
      </c>
      <c r="D13" s="227" t="str">
        <f>D5</f>
        <v>nominell</v>
      </c>
      <c r="E13" s="218"/>
      <c r="F13" s="219"/>
    </row>
    <row r="14" spans="1:14" ht="14.25" customHeight="1" outlineLevel="1" x14ac:dyDescent="0.7">
      <c r="A14" s="220" t="s">
        <v>649</v>
      </c>
      <c r="C14" s="221"/>
      <c r="D14" s="221"/>
      <c r="E14" s="218"/>
      <c r="F14" s="219"/>
      <c r="I14" s="196" t="s">
        <v>650</v>
      </c>
    </row>
    <row r="15" spans="1:14" ht="15.75" customHeight="1" outlineLevel="1" x14ac:dyDescent="0.7">
      <c r="A15" s="222" t="s">
        <v>642</v>
      </c>
      <c r="C15" s="223">
        <v>0.6</v>
      </c>
      <c r="D15" s="224" t="s">
        <v>643</v>
      </c>
      <c r="I15" s="295" t="s">
        <v>739</v>
      </c>
      <c r="J15" s="295"/>
      <c r="K15" s="295"/>
      <c r="L15" s="295"/>
      <c r="M15" s="295"/>
      <c r="N15" s="295"/>
    </row>
    <row r="16" spans="1:14" ht="15.75" customHeight="1" outlineLevel="1" x14ac:dyDescent="0.7">
      <c r="A16" s="225" t="s">
        <v>645</v>
      </c>
      <c r="C16" s="226">
        <v>0.04</v>
      </c>
      <c r="D16" s="227" t="str">
        <f>D5</f>
        <v>nominell</v>
      </c>
      <c r="I16" s="295"/>
      <c r="J16" s="295"/>
      <c r="K16" s="295"/>
      <c r="L16" s="295"/>
      <c r="M16" s="295"/>
      <c r="N16" s="295"/>
    </row>
    <row r="17" spans="1:12" ht="15.75" customHeight="1" x14ac:dyDescent="0.7">
      <c r="A17" s="225" t="s">
        <v>652</v>
      </c>
      <c r="C17" s="230"/>
      <c r="D17" s="230"/>
      <c r="E17" s="218"/>
    </row>
    <row r="18" spans="1:12" ht="15.75" customHeight="1" x14ac:dyDescent="0.7">
      <c r="A18" s="231"/>
      <c r="C18" s="231"/>
      <c r="D18" s="230"/>
      <c r="E18" s="218"/>
      <c r="I18" s="232" t="s">
        <v>653</v>
      </c>
    </row>
    <row r="19" spans="1:12" ht="15.75" customHeight="1" x14ac:dyDescent="0.75">
      <c r="A19" s="231"/>
      <c r="C19" s="233" t="s">
        <v>654</v>
      </c>
      <c r="D19" s="234" t="s">
        <v>655</v>
      </c>
      <c r="I19" s="196" t="s">
        <v>740</v>
      </c>
      <c r="J19" s="276">
        <f>Besiktningsprotokoll!B111+Besiktningsprotokoll!B112</f>
        <v>0.27500000000000002</v>
      </c>
    </row>
    <row r="20" spans="1:12" ht="15.75" customHeight="1" x14ac:dyDescent="0.75">
      <c r="A20" s="235" t="s">
        <v>657</v>
      </c>
      <c r="C20" s="236">
        <v>0</v>
      </c>
      <c r="D20" s="236">
        <f>K10</f>
        <v>10000</v>
      </c>
      <c r="E20" s="237" t="e">
        <f>D20+C41-D41</f>
        <v>#DIV/0!</v>
      </c>
      <c r="F20" s="213" t="s">
        <v>658</v>
      </c>
      <c r="I20" s="196" t="s">
        <v>741</v>
      </c>
      <c r="J20" s="276">
        <v>8760</v>
      </c>
    </row>
    <row r="21" spans="1:12" ht="15.75" customHeight="1" x14ac:dyDescent="0.75">
      <c r="A21" s="231"/>
      <c r="C21" s="238"/>
      <c r="D21" s="238"/>
      <c r="E21" s="239"/>
      <c r="F21" s="240"/>
      <c r="I21" s="196" t="s">
        <v>742</v>
      </c>
      <c r="J21" s="277">
        <f>J19*J20</f>
        <v>2409</v>
      </c>
    </row>
    <row r="22" spans="1:12" ht="15.75" customHeight="1" x14ac:dyDescent="0.75">
      <c r="A22" s="216" t="s">
        <v>660</v>
      </c>
      <c r="C22" s="241">
        <v>0</v>
      </c>
      <c r="D22" s="241">
        <v>0</v>
      </c>
      <c r="I22" s="196" t="s">
        <v>743</v>
      </c>
      <c r="J22" s="276">
        <f>0.5*J19</f>
        <v>0.13750000000000001</v>
      </c>
    </row>
    <row r="23" spans="1:12" ht="15.75" hidden="1" customHeight="1" outlineLevel="1" x14ac:dyDescent="0.75">
      <c r="A23" s="216" t="s">
        <v>662</v>
      </c>
      <c r="C23" s="236"/>
      <c r="D23" s="236"/>
      <c r="J23" s="276"/>
    </row>
    <row r="24" spans="1:12" ht="15.75" hidden="1" customHeight="1" outlineLevel="1" x14ac:dyDescent="0.75">
      <c r="A24" s="216" t="s">
        <v>663</v>
      </c>
      <c r="C24" s="236"/>
      <c r="D24" s="236"/>
      <c r="J24" s="276"/>
    </row>
    <row r="25" spans="1:12" ht="15.75" hidden="1" customHeight="1" outlineLevel="1" x14ac:dyDescent="0.75">
      <c r="A25" s="216" t="s">
        <v>664</v>
      </c>
      <c r="C25" s="236"/>
      <c r="D25" s="236"/>
      <c r="J25" s="276"/>
    </row>
    <row r="26" spans="1:12" ht="15" customHeight="1" x14ac:dyDescent="0.75">
      <c r="A26" s="216" t="s">
        <v>665</v>
      </c>
      <c r="C26" s="242"/>
      <c r="D26" s="242"/>
      <c r="I26" s="196" t="s">
        <v>744</v>
      </c>
      <c r="J26" s="276">
        <v>8760</v>
      </c>
    </row>
    <row r="27" spans="1:12" ht="15.75" customHeight="1" x14ac:dyDescent="0.75">
      <c r="A27" s="231"/>
      <c r="C27" s="242"/>
      <c r="D27" s="242"/>
      <c r="I27" s="196" t="s">
        <v>745</v>
      </c>
      <c r="J27" s="277">
        <f>J22*J26</f>
        <v>1204.5</v>
      </c>
    </row>
    <row r="28" spans="1:12" ht="15.75" customHeight="1" x14ac:dyDescent="0.7">
      <c r="A28" s="220" t="s">
        <v>668</v>
      </c>
      <c r="C28" s="243" t="e">
        <f>Normalisering!$I$89/Byggnader!$I$32</f>
        <v>#DIV/0!</v>
      </c>
      <c r="D28" s="243" t="e">
        <f>(Normalisering!$I$89-J29)/Byggnader!$I$32</f>
        <v>#DIV/0!</v>
      </c>
      <c r="I28" s="196" t="s">
        <v>746</v>
      </c>
      <c r="J28">
        <f>J21-J27</f>
        <v>1204.5</v>
      </c>
      <c r="K28" s="196"/>
      <c r="L28" s="196"/>
    </row>
    <row r="29" spans="1:12" ht="15.75" customHeight="1" x14ac:dyDescent="0.7">
      <c r="A29" s="244" t="s">
        <v>670</v>
      </c>
      <c r="C29" s="245" t="e">
        <f>C28*$C$4*$C$9</f>
        <v>#DIV/0!</v>
      </c>
      <c r="D29" s="245" t="e">
        <f>D28*$C$4*$C$9</f>
        <v>#DIV/0!</v>
      </c>
      <c r="I29" s="196"/>
    </row>
    <row r="30" spans="1:12" ht="15.75" customHeight="1" outlineLevel="1" x14ac:dyDescent="0.7">
      <c r="A30" s="220" t="s">
        <v>671</v>
      </c>
      <c r="C30" s="243" t="e">
        <f>J21/C4</f>
        <v>#DIV/0!</v>
      </c>
      <c r="D30" s="243" t="e">
        <f>J27/C4</f>
        <v>#DIV/0!</v>
      </c>
      <c r="I30" s="196"/>
    </row>
    <row r="31" spans="1:12" ht="15.75" customHeight="1" outlineLevel="1" x14ac:dyDescent="0.7">
      <c r="A31" s="244" t="s">
        <v>673</v>
      </c>
      <c r="C31" s="245" t="e">
        <f>C30*$C$4*$C$12</f>
        <v>#DIV/0!</v>
      </c>
      <c r="D31" s="245" t="e">
        <f>D30*$C$4*$C$12</f>
        <v>#DIV/0!</v>
      </c>
    </row>
    <row r="32" spans="1:12" ht="15.75" customHeight="1" outlineLevel="1" x14ac:dyDescent="0.7">
      <c r="A32" s="220" t="s">
        <v>675</v>
      </c>
      <c r="C32" s="243"/>
      <c r="D32" s="243"/>
    </row>
    <row r="33" spans="1:6" ht="15.75" customHeight="1" outlineLevel="1" x14ac:dyDescent="0.7">
      <c r="A33" s="244" t="s">
        <v>676</v>
      </c>
      <c r="C33" s="245">
        <f>C32*$C$4*$C$15</f>
        <v>0</v>
      </c>
      <c r="D33" s="245">
        <f>D32*$C$4*$C$15</f>
        <v>0</v>
      </c>
    </row>
    <row r="34" spans="1:6" ht="15" customHeight="1" outlineLevel="1" x14ac:dyDescent="0.7">
      <c r="A34" s="231" t="s">
        <v>677</v>
      </c>
      <c r="C34" s="242" t="e">
        <f>C29+C31+C33</f>
        <v>#DIV/0!</v>
      </c>
      <c r="D34" s="242" t="e">
        <f>D29+D31+D33</f>
        <v>#DIV/0!</v>
      </c>
      <c r="F34" s="231"/>
    </row>
    <row r="35" spans="1:6" ht="15" customHeight="1" outlineLevel="1" x14ac:dyDescent="0.7">
      <c r="A35" s="231" t="s">
        <v>678</v>
      </c>
      <c r="C35" s="242" t="e">
        <f>(C28+C30+C32)*$C$4</f>
        <v>#DIV/0!</v>
      </c>
      <c r="D35" s="242" t="e">
        <f>(D28+D30+D32)*$C$4</f>
        <v>#DIV/0!</v>
      </c>
      <c r="F35" s="231"/>
    </row>
    <row r="36" spans="1:6" ht="15" customHeight="1" outlineLevel="1" x14ac:dyDescent="0.7">
      <c r="A36" s="231" t="s">
        <v>679</v>
      </c>
      <c r="C36" s="247" t="e">
        <f>C34/C35</f>
        <v>#DIV/0!</v>
      </c>
      <c r="D36" s="242"/>
      <c r="F36" s="231"/>
    </row>
    <row r="37" spans="1:6" ht="15" customHeight="1" x14ac:dyDescent="0.7">
      <c r="A37" s="222" t="s">
        <v>652</v>
      </c>
      <c r="C37" s="242"/>
      <c r="D37" s="242"/>
      <c r="F37" s="231"/>
    </row>
    <row r="38" spans="1:6" ht="15.75" customHeight="1" x14ac:dyDescent="0.7">
      <c r="A38" s="248"/>
      <c r="C38" s="242"/>
      <c r="D38" s="242"/>
      <c r="F38" s="231"/>
    </row>
    <row r="39" spans="1:6" ht="15" customHeight="1" x14ac:dyDescent="0.7">
      <c r="A39" s="249" t="s">
        <v>680</v>
      </c>
      <c r="B39" s="250"/>
      <c r="C39" s="251">
        <f>C20-PV($C$5-$C$7,$C$6,C22)+C23+C24/(1+$C$5-$C$7)^10+C25/(1+$C$5-$C$7)^20</f>
        <v>0</v>
      </c>
      <c r="D39" s="252">
        <f>D20-PV($C$5-$C$7,$C$6,D22)+D23+D24/(1+$C$5-$C$7)^10+D25/(1+$C$5-$C$7)^20</f>
        <v>10000</v>
      </c>
      <c r="F39" s="231"/>
    </row>
    <row r="40" spans="1:6" ht="15.75" customHeight="1" x14ac:dyDescent="0.7">
      <c r="A40" s="253" t="s">
        <v>681</v>
      </c>
      <c r="B40" s="254"/>
      <c r="C40" s="255" t="e">
        <f>-PV($C$5-$C$10,$C$6,C29)-PV($C$5-$C$13,$C$6,C31)-PV($C$5-$C$16,$C$6,C33)</f>
        <v>#DIV/0!</v>
      </c>
      <c r="D40" s="256" t="e">
        <f>-PV($C$5-$C$10,$C$6,D29)-PV($C$5-$C$13,$C$6,D31)-PV($C$5-$C$16,$C$6,D33)</f>
        <v>#DIV/0!</v>
      </c>
      <c r="F40" s="231"/>
    </row>
    <row r="41" spans="1:6" ht="15.75" customHeight="1" x14ac:dyDescent="0.7">
      <c r="A41" s="257" t="s">
        <v>682</v>
      </c>
      <c r="B41" s="258"/>
      <c r="C41" s="259" t="e">
        <f>C39+C40</f>
        <v>#DIV/0!</v>
      </c>
      <c r="D41" s="260" t="e">
        <f>D39+D40</f>
        <v>#DIV/0!</v>
      </c>
      <c r="F41" s="231"/>
    </row>
    <row r="42" spans="1:6" ht="15.75" customHeight="1" x14ac:dyDescent="0.7">
      <c r="A42" s="261"/>
      <c r="B42" s="262"/>
      <c r="C42" s="263" t="s">
        <v>683</v>
      </c>
      <c r="D42" s="264" t="e">
        <f>C41-D41</f>
        <v>#DIV/0!</v>
      </c>
      <c r="F42" s="231"/>
    </row>
    <row r="43" spans="1:6" s="231" customFormat="1" ht="12.75" customHeight="1" x14ac:dyDescent="0.6">
      <c r="A43" s="265" t="s">
        <v>684</v>
      </c>
      <c r="B43" s="266"/>
      <c r="C43" s="267" t="e">
        <f>(D39-C39)/(C40-D40)*C36</f>
        <v>#DIV/0!</v>
      </c>
      <c r="D43" s="268" t="e">
        <f>IF($D42&gt;0,"LÖNSAMT","EJ LÖNSAMT")</f>
        <v>#DIV/0!</v>
      </c>
    </row>
    <row r="44" spans="1:6" ht="15.75" customHeight="1" x14ac:dyDescent="0.7">
      <c r="A44" s="269" t="s">
        <v>685</v>
      </c>
      <c r="B44" s="183"/>
      <c r="C44" s="270" t="e">
        <f>C36</f>
        <v>#DIV/0!</v>
      </c>
      <c r="D44" s="271"/>
      <c r="F44" s="231"/>
    </row>
    <row r="45" spans="1:6" ht="15" customHeight="1" x14ac:dyDescent="0.7">
      <c r="C45" s="242"/>
      <c r="D45" s="242"/>
      <c r="F45" s="231"/>
    </row>
    <row r="46" spans="1:6" ht="15.75" customHeight="1" x14ac:dyDescent="0.7">
      <c r="D46" s="272"/>
    </row>
    <row r="47" spans="1:6" ht="15.75" customHeight="1" x14ac:dyDescent="0.7">
      <c r="A47" s="273" t="s">
        <v>686</v>
      </c>
      <c r="B47" s="274"/>
      <c r="D47" s="275" t="s">
        <v>687</v>
      </c>
    </row>
    <row r="49" spans="6:6" ht="15" customHeight="1" x14ac:dyDescent="0.7">
      <c r="F49" s="218"/>
    </row>
  </sheetData>
  <mergeCells count="3">
    <mergeCell ref="C2:D2"/>
    <mergeCell ref="I7:L7"/>
    <mergeCell ref="I15:N16"/>
  </mergeCells>
  <dataValidations count="1">
    <dataValidation type="list" sqref="B2" xr:uid="{00000000-0002-0000-1600-000000000000}">
      <formula1>"Ja,Nej"</formula1>
      <formula2>0</formula2>
    </dataValidation>
  </dataValidations>
  <pageMargins left="0.7" right="0.7" top="0.75" bottom="0.75" header="0.511811023622047" footer="0.511811023622047"/>
  <pageSetup paperSize="9" orientation="portrait" horizontalDpi="300" verticalDpi="300"/>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49"/>
  <sheetViews>
    <sheetView zoomScaleNormal="100" workbookViewId="0">
      <selection activeCell="I38" sqref="I38"/>
    </sheetView>
  </sheetViews>
  <sheetFormatPr defaultColWidth="9.1328125" defaultRowHeight="14.5" outlineLevelRow="1" outlineLevelCol="1" x14ac:dyDescent="0.7"/>
  <cols>
    <col min="1" max="1" width="58.86328125" customWidth="1"/>
    <col min="2" max="2" width="1.26953125" customWidth="1"/>
    <col min="3" max="3" width="16" customWidth="1"/>
    <col min="4" max="4" width="15.86328125" customWidth="1"/>
    <col min="5" max="5" width="9.1328125" outlineLevel="1"/>
    <col min="6" max="6" width="20.54296875" customWidth="1" outlineLevel="1"/>
    <col min="9" max="9" width="26.6796875" customWidth="1"/>
    <col min="10" max="10" width="23.54296875" customWidth="1"/>
  </cols>
  <sheetData>
    <row r="1" spans="1:14" ht="45.75" customHeight="1" x14ac:dyDescent="0.9">
      <c r="A1" s="200" t="s">
        <v>747</v>
      </c>
      <c r="C1" s="201" t="s">
        <v>625</v>
      </c>
      <c r="D1" s="202"/>
    </row>
    <row r="2" spans="1:14" ht="24" customHeight="1" x14ac:dyDescent="1">
      <c r="A2" s="203" t="s">
        <v>626</v>
      </c>
      <c r="B2" s="204" t="s">
        <v>204</v>
      </c>
      <c r="C2" s="293"/>
      <c r="D2" s="293"/>
      <c r="E2" s="201" t="s">
        <v>627</v>
      </c>
      <c r="F2" s="202"/>
    </row>
    <row r="3" spans="1:14" ht="15.75" customHeight="1" x14ac:dyDescent="1">
      <c r="A3" s="205"/>
      <c r="B3" s="206"/>
      <c r="C3" s="207" t="s">
        <v>628</v>
      </c>
      <c r="D3" s="208" t="s">
        <v>629</v>
      </c>
      <c r="E3" s="201" t="s">
        <v>630</v>
      </c>
      <c r="F3" s="202"/>
    </row>
    <row r="4" spans="1:14" ht="13.5" customHeight="1" x14ac:dyDescent="0.7">
      <c r="A4" s="205" t="s">
        <v>631</v>
      </c>
      <c r="C4" s="209">
        <f>Byggnader!$I$32</f>
        <v>0</v>
      </c>
      <c r="D4" s="209" t="s">
        <v>632</v>
      </c>
    </row>
    <row r="5" spans="1:14" ht="13.5" customHeight="1" x14ac:dyDescent="0.7">
      <c r="A5" s="205" t="s">
        <v>633</v>
      </c>
      <c r="C5" s="210">
        <f>Energiprisfaktorer!B6</f>
        <v>0.04</v>
      </c>
      <c r="D5" s="211" t="s">
        <v>634</v>
      </c>
      <c r="E5" s="212"/>
      <c r="F5" s="213" t="s">
        <v>635</v>
      </c>
    </row>
    <row r="6" spans="1:14" ht="15.75" customHeight="1" x14ac:dyDescent="0.7">
      <c r="A6" s="205" t="s">
        <v>636</v>
      </c>
      <c r="C6" s="214">
        <v>20</v>
      </c>
      <c r="D6" s="211" t="s">
        <v>637</v>
      </c>
      <c r="E6" s="215" t="e">
        <f>(D20-C20)/(C34+C22-D34-D22)</f>
        <v>#DIV/0!</v>
      </c>
      <c r="F6" s="213" t="s">
        <v>638</v>
      </c>
    </row>
    <row r="7" spans="1:14" ht="15.75" customHeight="1" x14ac:dyDescent="0.7">
      <c r="A7" s="216" t="s">
        <v>639</v>
      </c>
      <c r="C7" s="210">
        <f>Energiprisfaktorer!B7</f>
        <v>0.02</v>
      </c>
      <c r="D7" s="217" t="str">
        <f>D5</f>
        <v>nominell</v>
      </c>
      <c r="E7" s="218"/>
      <c r="F7" s="219"/>
      <c r="I7" s="294" t="s">
        <v>640</v>
      </c>
      <c r="J7" s="294"/>
      <c r="K7" s="294"/>
      <c r="L7" s="294"/>
    </row>
    <row r="8" spans="1:14" ht="15.75" customHeight="1" x14ac:dyDescent="0.7">
      <c r="A8" s="220" t="s">
        <v>641</v>
      </c>
      <c r="C8" s="221" t="s">
        <v>161</v>
      </c>
      <c r="D8" s="221" t="s">
        <v>143</v>
      </c>
      <c r="E8" s="218"/>
      <c r="F8" s="219"/>
    </row>
    <row r="9" spans="1:14" ht="14.25" customHeight="1" x14ac:dyDescent="0.7">
      <c r="A9" s="222" t="s">
        <v>642</v>
      </c>
      <c r="C9" s="223">
        <f>Energiprisfaktorer!B4</f>
        <v>1.1499999999999999</v>
      </c>
      <c r="D9" s="224" t="s">
        <v>643</v>
      </c>
      <c r="E9" s="218"/>
      <c r="F9" s="219"/>
      <c r="I9" s="196"/>
      <c r="K9" s="187"/>
    </row>
    <row r="10" spans="1:14" ht="14.25" customHeight="1" x14ac:dyDescent="0.7">
      <c r="A10" s="225" t="s">
        <v>645</v>
      </c>
      <c r="C10" s="226">
        <f>Energiprisfaktorer!B5</f>
        <v>0.03</v>
      </c>
      <c r="D10" s="227" t="str">
        <f>D5</f>
        <v>nominell</v>
      </c>
      <c r="E10" s="218"/>
      <c r="F10" s="219"/>
      <c r="I10" s="196" t="s">
        <v>646</v>
      </c>
      <c r="K10">
        <v>5000</v>
      </c>
    </row>
    <row r="11" spans="1:14" ht="14.25" customHeight="1" outlineLevel="1" x14ac:dyDescent="0.7">
      <c r="A11" s="220" t="s">
        <v>647</v>
      </c>
      <c r="C11" s="221" t="s">
        <v>175</v>
      </c>
      <c r="D11" s="221"/>
      <c r="E11" s="218"/>
      <c r="F11" s="219"/>
    </row>
    <row r="12" spans="1:14" ht="14.25" customHeight="1" outlineLevel="1" x14ac:dyDescent="0.7">
      <c r="A12" s="222" t="s">
        <v>642</v>
      </c>
      <c r="C12" s="223">
        <f>Energiprisfaktorer!C4</f>
        <v>2</v>
      </c>
      <c r="D12" s="224" t="s">
        <v>643</v>
      </c>
      <c r="E12" s="218"/>
      <c r="F12" s="219"/>
      <c r="I12" s="228" t="s">
        <v>648</v>
      </c>
      <c r="J12" s="229"/>
      <c r="K12" s="229"/>
      <c r="L12" s="229"/>
    </row>
    <row r="13" spans="1:14" ht="14.25" customHeight="1" outlineLevel="1" x14ac:dyDescent="0.7">
      <c r="A13" s="225" t="s">
        <v>645</v>
      </c>
      <c r="C13" s="226">
        <f>Energiprisfaktorer!C5</f>
        <v>0.04</v>
      </c>
      <c r="D13" s="227" t="str">
        <f>D5</f>
        <v>nominell</v>
      </c>
      <c r="E13" s="218"/>
      <c r="F13" s="219"/>
    </row>
    <row r="14" spans="1:14" ht="14.25" customHeight="1" outlineLevel="1" x14ac:dyDescent="0.7">
      <c r="A14" s="220" t="s">
        <v>649</v>
      </c>
      <c r="C14" s="221"/>
      <c r="D14" s="221"/>
      <c r="E14" s="218"/>
      <c r="F14" s="219"/>
      <c r="I14" s="196" t="s">
        <v>650</v>
      </c>
    </row>
    <row r="15" spans="1:14" ht="15.75" customHeight="1" outlineLevel="1" x14ac:dyDescent="0.7">
      <c r="A15" s="222" t="s">
        <v>642</v>
      </c>
      <c r="C15" s="223">
        <v>0.6</v>
      </c>
      <c r="D15" s="224" t="s">
        <v>643</v>
      </c>
      <c r="I15" s="295" t="s">
        <v>748</v>
      </c>
      <c r="J15" s="295"/>
      <c r="K15" s="295"/>
      <c r="L15" s="295"/>
      <c r="M15" s="295"/>
      <c r="N15" s="295"/>
    </row>
    <row r="16" spans="1:14" ht="15.75" customHeight="1" outlineLevel="1" x14ac:dyDescent="0.7">
      <c r="A16" s="225" t="s">
        <v>645</v>
      </c>
      <c r="C16" s="226">
        <v>0.04</v>
      </c>
      <c r="D16" s="227" t="str">
        <f>D5</f>
        <v>nominell</v>
      </c>
      <c r="I16" s="295"/>
      <c r="J16" s="295"/>
      <c r="K16" s="295"/>
      <c r="L16" s="295"/>
      <c r="M16" s="295"/>
      <c r="N16" s="295"/>
    </row>
    <row r="17" spans="1:12" ht="15.75" customHeight="1" x14ac:dyDescent="0.7">
      <c r="A17" s="225" t="s">
        <v>652</v>
      </c>
      <c r="C17" s="230"/>
      <c r="D17" s="230"/>
      <c r="E17" s="218"/>
    </row>
    <row r="18" spans="1:12" ht="15.75" customHeight="1" x14ac:dyDescent="0.7">
      <c r="A18" s="231"/>
      <c r="C18" s="231"/>
      <c r="D18" s="230"/>
      <c r="E18" s="218"/>
      <c r="I18" s="232" t="s">
        <v>653</v>
      </c>
    </row>
    <row r="19" spans="1:12" ht="15.75" customHeight="1" x14ac:dyDescent="0.75">
      <c r="A19" s="231"/>
      <c r="C19" s="233" t="s">
        <v>654</v>
      </c>
      <c r="D19" s="234" t="s">
        <v>655</v>
      </c>
      <c r="I19" s="196" t="s">
        <v>749</v>
      </c>
      <c r="J19" s="276">
        <f>Besiktningsprotokoll!B53+Besiktningsprotokoll!C53+Besiktningsprotokoll!D53+Besiktningsprotokoll!B62+Besiktningsprotokoll!C62+Besiktningsprotokoll!D62</f>
        <v>0.74</v>
      </c>
    </row>
    <row r="20" spans="1:12" ht="15.75" customHeight="1" x14ac:dyDescent="0.75">
      <c r="A20" s="235" t="s">
        <v>657</v>
      </c>
      <c r="C20" s="236">
        <v>0</v>
      </c>
      <c r="D20" s="236">
        <f>K10</f>
        <v>5000</v>
      </c>
      <c r="E20" s="237" t="e">
        <f>D20+C41-D41</f>
        <v>#DIV/0!</v>
      </c>
      <c r="F20" s="213" t="s">
        <v>658</v>
      </c>
      <c r="I20" s="196" t="s">
        <v>741</v>
      </c>
      <c r="J20" s="276">
        <v>8760</v>
      </c>
    </row>
    <row r="21" spans="1:12" ht="15.75" customHeight="1" x14ac:dyDescent="0.75">
      <c r="A21" s="231"/>
      <c r="C21" s="238"/>
      <c r="D21" s="238"/>
      <c r="E21" s="239"/>
      <c r="F21" s="240"/>
      <c r="I21" s="196" t="s">
        <v>750</v>
      </c>
      <c r="J21" s="278">
        <v>3</v>
      </c>
    </row>
    <row r="22" spans="1:12" ht="15.75" hidden="1" customHeight="1" x14ac:dyDescent="0.75">
      <c r="A22" s="216" t="s">
        <v>660</v>
      </c>
      <c r="C22" s="241">
        <v>0</v>
      </c>
      <c r="D22" s="241">
        <v>0</v>
      </c>
      <c r="I22" s="196" t="s">
        <v>742</v>
      </c>
      <c r="J22" s="277">
        <f>J19*J20</f>
        <v>6482.4</v>
      </c>
    </row>
    <row r="23" spans="1:12" ht="15.75" hidden="1" customHeight="1" outlineLevel="1" x14ac:dyDescent="0.7">
      <c r="A23" s="216" t="s">
        <v>662</v>
      </c>
      <c r="C23" s="236"/>
      <c r="D23" s="236"/>
    </row>
    <row r="24" spans="1:12" ht="15.75" hidden="1" customHeight="1" outlineLevel="1" x14ac:dyDescent="0.7">
      <c r="A24" s="216" t="s">
        <v>663</v>
      </c>
      <c r="C24" s="236"/>
      <c r="D24" s="236"/>
    </row>
    <row r="25" spans="1:12" ht="15.75" hidden="1" customHeight="1" outlineLevel="1" x14ac:dyDescent="0.7">
      <c r="A25" s="216" t="s">
        <v>664</v>
      </c>
      <c r="C25" s="236"/>
      <c r="D25" s="236"/>
    </row>
    <row r="26" spans="1:12" ht="15" hidden="1" customHeight="1" x14ac:dyDescent="0.7">
      <c r="A26" s="216" t="s">
        <v>665</v>
      </c>
      <c r="C26" s="242"/>
      <c r="D26" s="242"/>
    </row>
    <row r="27" spans="1:12" ht="15.75" customHeight="1" x14ac:dyDescent="0.75">
      <c r="A27" s="231"/>
      <c r="C27" s="242"/>
      <c r="D27" s="242"/>
      <c r="I27" s="196" t="s">
        <v>751</v>
      </c>
      <c r="J27" s="276">
        <f>J19*0.5</f>
        <v>0.37</v>
      </c>
    </row>
    <row r="28" spans="1:12" ht="15.75" customHeight="1" x14ac:dyDescent="0.75">
      <c r="A28" s="220" t="s">
        <v>668</v>
      </c>
      <c r="C28" s="243" t="e">
        <f>Normalisering!$I$89/Byggnader!$I$32</f>
        <v>#DIV/0!</v>
      </c>
      <c r="D28" s="243" t="e">
        <f>C28</f>
        <v>#DIV/0!</v>
      </c>
      <c r="I28" s="196" t="s">
        <v>744</v>
      </c>
      <c r="J28" s="276">
        <v>8760</v>
      </c>
      <c r="K28" s="196"/>
      <c r="L28" s="196"/>
    </row>
    <row r="29" spans="1:12" ht="15.75" customHeight="1" x14ac:dyDescent="0.75">
      <c r="A29" s="244" t="s">
        <v>670</v>
      </c>
      <c r="C29" s="245" t="e">
        <f>C28*$C$4*$C$9</f>
        <v>#DIV/0!</v>
      </c>
      <c r="D29" s="245" t="e">
        <f>D28*$C$4*$C$9</f>
        <v>#DIV/0!</v>
      </c>
      <c r="I29" s="196" t="s">
        <v>745</v>
      </c>
      <c r="J29" s="277">
        <f>J27*J28</f>
        <v>3241.2</v>
      </c>
    </row>
    <row r="30" spans="1:12" ht="15.75" customHeight="1" outlineLevel="1" x14ac:dyDescent="0.7">
      <c r="A30" s="220" t="s">
        <v>671</v>
      </c>
      <c r="C30" s="243" t="e">
        <f>J22/C4</f>
        <v>#DIV/0!</v>
      </c>
      <c r="D30" s="243" t="e">
        <f>J29/C4</f>
        <v>#DIV/0!</v>
      </c>
      <c r="I30" s="196" t="s">
        <v>746</v>
      </c>
      <c r="J30">
        <f>J22-J29</f>
        <v>3241.2</v>
      </c>
    </row>
    <row r="31" spans="1:12" ht="15.75" customHeight="1" outlineLevel="1" x14ac:dyDescent="0.7">
      <c r="A31" s="244" t="s">
        <v>673</v>
      </c>
      <c r="C31" s="245" t="e">
        <f>C30*$C$4*$C$12</f>
        <v>#DIV/0!</v>
      </c>
      <c r="D31" s="245" t="e">
        <f>D30*$C$4*$C$12</f>
        <v>#DIV/0!</v>
      </c>
    </row>
    <row r="32" spans="1:12" ht="15.75" customHeight="1" outlineLevel="1" x14ac:dyDescent="0.7">
      <c r="A32" s="220" t="s">
        <v>675</v>
      </c>
      <c r="C32" s="243"/>
      <c r="D32" s="243"/>
    </row>
    <row r="33" spans="1:6" ht="15.75" customHeight="1" outlineLevel="1" x14ac:dyDescent="0.7">
      <c r="A33" s="244" t="s">
        <v>676</v>
      </c>
      <c r="C33" s="245">
        <f>C32*$C$4*$C$15</f>
        <v>0</v>
      </c>
      <c r="D33" s="245">
        <f>D32*$C$4*$C$15</f>
        <v>0</v>
      </c>
    </row>
    <row r="34" spans="1:6" ht="15" customHeight="1" outlineLevel="1" x14ac:dyDescent="0.7">
      <c r="A34" s="231" t="s">
        <v>677</v>
      </c>
      <c r="C34" s="242" t="e">
        <f>C29+C31+C33</f>
        <v>#DIV/0!</v>
      </c>
      <c r="D34" s="242" t="e">
        <f>D29+D31+D33</f>
        <v>#DIV/0!</v>
      </c>
      <c r="F34" s="231"/>
    </row>
    <row r="35" spans="1:6" ht="15" customHeight="1" outlineLevel="1" x14ac:dyDescent="0.7">
      <c r="A35" s="231" t="s">
        <v>678</v>
      </c>
      <c r="C35" s="242" t="e">
        <f>(C28+C30+C32)*$C$4</f>
        <v>#DIV/0!</v>
      </c>
      <c r="D35" s="242" t="e">
        <f>(D28+D30+D32)*$C$4</f>
        <v>#DIV/0!</v>
      </c>
      <c r="F35" s="231"/>
    </row>
    <row r="36" spans="1:6" ht="15" customHeight="1" outlineLevel="1" x14ac:dyDescent="0.7">
      <c r="A36" s="231" t="s">
        <v>679</v>
      </c>
      <c r="C36" s="247" t="e">
        <f>C34/C35</f>
        <v>#DIV/0!</v>
      </c>
      <c r="D36" s="242"/>
      <c r="F36" s="231"/>
    </row>
    <row r="37" spans="1:6" ht="15" customHeight="1" x14ac:dyDescent="0.7">
      <c r="A37" s="222" t="s">
        <v>652</v>
      </c>
      <c r="C37" s="242"/>
      <c r="D37" s="242"/>
      <c r="F37" s="231"/>
    </row>
    <row r="38" spans="1:6" ht="15.75" customHeight="1" x14ac:dyDescent="0.7">
      <c r="A38" s="248"/>
      <c r="C38" s="242"/>
      <c r="D38" s="242"/>
      <c r="F38" s="231"/>
    </row>
    <row r="39" spans="1:6" ht="15" customHeight="1" x14ac:dyDescent="0.7">
      <c r="A39" s="249" t="s">
        <v>680</v>
      </c>
      <c r="B39" s="250"/>
      <c r="C39" s="251">
        <f>C20-PV($C$5-$C$7,$C$6,C22)+C23+C24/(1+$C$5-$C$7)^10+C25/(1+$C$5-$C$7)^20</f>
        <v>0</v>
      </c>
      <c r="D39" s="252">
        <f>D20-PV($C$5-$C$7,$C$6,D22)+D23+D24/(1+$C$5-$C$7)^10+D25/(1+$C$5-$C$7)^20</f>
        <v>5000</v>
      </c>
      <c r="F39" s="231"/>
    </row>
    <row r="40" spans="1:6" ht="15.75" customHeight="1" x14ac:dyDescent="0.7">
      <c r="A40" s="253" t="s">
        <v>681</v>
      </c>
      <c r="B40" s="254"/>
      <c r="C40" s="255" t="e">
        <f>-PV($C$5-$C$10,$C$6,C29)-PV($C$5-$C$13,$C$6,C31)-PV($C$5-$C$16,$C$6,C33)</f>
        <v>#DIV/0!</v>
      </c>
      <c r="D40" s="256" t="e">
        <f>-PV($C$5-$C$10,$C$6,D29)-PV($C$5-$C$13,$C$6,D31)-PV($C$5-$C$16,$C$6,D33)</f>
        <v>#DIV/0!</v>
      </c>
      <c r="F40" s="231"/>
    </row>
    <row r="41" spans="1:6" ht="15.75" customHeight="1" x14ac:dyDescent="0.7">
      <c r="A41" s="257" t="s">
        <v>682</v>
      </c>
      <c r="B41" s="258"/>
      <c r="C41" s="259" t="e">
        <f>C39+C40</f>
        <v>#DIV/0!</v>
      </c>
      <c r="D41" s="260" t="e">
        <f>D39+D40</f>
        <v>#DIV/0!</v>
      </c>
      <c r="F41" s="231"/>
    </row>
    <row r="42" spans="1:6" ht="15.75" customHeight="1" x14ac:dyDescent="0.7">
      <c r="A42" s="261"/>
      <c r="B42" s="262"/>
      <c r="C42" s="263" t="s">
        <v>683</v>
      </c>
      <c r="D42" s="264" t="e">
        <f>C41-D41</f>
        <v>#DIV/0!</v>
      </c>
      <c r="F42" s="231"/>
    </row>
    <row r="43" spans="1:6" s="231" customFormat="1" ht="12.75" customHeight="1" x14ac:dyDescent="0.6">
      <c r="A43" s="265" t="s">
        <v>684</v>
      </c>
      <c r="B43" s="266"/>
      <c r="C43" s="267" t="e">
        <f>(D39-C39)/(C40-D40)*C36</f>
        <v>#DIV/0!</v>
      </c>
      <c r="D43" s="268" t="e">
        <f>IF($D42&gt;0,"LÖNSAMT","EJ LÖNSAMT")</f>
        <v>#DIV/0!</v>
      </c>
    </row>
    <row r="44" spans="1:6" ht="15.75" customHeight="1" x14ac:dyDescent="0.7">
      <c r="A44" s="269" t="s">
        <v>685</v>
      </c>
      <c r="B44" s="183"/>
      <c r="C44" s="270" t="e">
        <f>C36</f>
        <v>#DIV/0!</v>
      </c>
      <c r="D44" s="271"/>
      <c r="F44" s="231"/>
    </row>
    <row r="45" spans="1:6" ht="15" customHeight="1" x14ac:dyDescent="0.7">
      <c r="C45" s="242"/>
      <c r="D45" s="242"/>
      <c r="F45" s="231"/>
    </row>
    <row r="46" spans="1:6" ht="15.75" customHeight="1" x14ac:dyDescent="0.7">
      <c r="D46" s="272"/>
    </row>
    <row r="47" spans="1:6" ht="15.75" customHeight="1" x14ac:dyDescent="0.7">
      <c r="A47" s="273" t="s">
        <v>686</v>
      </c>
      <c r="B47" s="274"/>
      <c r="D47" s="275" t="s">
        <v>687</v>
      </c>
    </row>
    <row r="49" spans="6:6" ht="15" customHeight="1" x14ac:dyDescent="0.7">
      <c r="F49" s="218"/>
    </row>
  </sheetData>
  <mergeCells count="3">
    <mergeCell ref="C2:D2"/>
    <mergeCell ref="I7:L7"/>
    <mergeCell ref="I15:N16"/>
  </mergeCells>
  <dataValidations count="1">
    <dataValidation type="list" sqref="B2" xr:uid="{00000000-0002-0000-1700-000000000000}">
      <formula1>"Ja,Nej"</formula1>
      <formula2>0</formula2>
    </dataValidation>
  </dataValidations>
  <pageMargins left="0.7" right="0.7" top="0.75" bottom="0.75" header="0.511811023622047" footer="0.511811023622047"/>
  <pageSetup paperSize="9" orientation="portrait" horizontalDpi="300" verticalDpi="300"/>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V49"/>
  <sheetViews>
    <sheetView zoomScaleNormal="100" workbookViewId="0">
      <selection activeCell="C7" sqref="C7"/>
    </sheetView>
  </sheetViews>
  <sheetFormatPr defaultColWidth="9.1328125" defaultRowHeight="14.5" outlineLevelRow="1" outlineLevelCol="1" x14ac:dyDescent="0.7"/>
  <cols>
    <col min="1" max="1" width="58.86328125" customWidth="1"/>
    <col min="2" max="2" width="1.26953125" customWidth="1"/>
    <col min="3" max="3" width="16" customWidth="1"/>
    <col min="4" max="4" width="15.86328125" customWidth="1"/>
    <col min="5" max="5" width="9.1328125" outlineLevel="1"/>
    <col min="6" max="6" width="20.54296875" customWidth="1" outlineLevel="1"/>
    <col min="9" max="9" width="26.6796875" customWidth="1"/>
    <col min="10" max="10" width="23.54296875" customWidth="1"/>
  </cols>
  <sheetData>
    <row r="1" spans="1:22" ht="45.75" customHeight="1" x14ac:dyDescent="0.9">
      <c r="A1" s="200" t="s">
        <v>752</v>
      </c>
      <c r="C1" s="231"/>
      <c r="D1" s="202"/>
    </row>
    <row r="2" spans="1:22" ht="24" customHeight="1" x14ac:dyDescent="1">
      <c r="A2" s="203" t="s">
        <v>626</v>
      </c>
      <c r="B2" s="204" t="s">
        <v>204</v>
      </c>
      <c r="C2" s="293"/>
      <c r="D2" s="293"/>
      <c r="E2" s="201" t="s">
        <v>627</v>
      </c>
      <c r="F2" s="202"/>
    </row>
    <row r="3" spans="1:22" ht="15.75" customHeight="1" x14ac:dyDescent="1">
      <c r="A3" s="205"/>
      <c r="B3" s="206"/>
      <c r="C3" s="207" t="s">
        <v>628</v>
      </c>
      <c r="D3" s="208" t="s">
        <v>629</v>
      </c>
      <c r="E3" s="201" t="s">
        <v>630</v>
      </c>
      <c r="F3" s="202"/>
    </row>
    <row r="4" spans="1:22" ht="13.5" customHeight="1" x14ac:dyDescent="0.7">
      <c r="A4" s="205" t="s">
        <v>631</v>
      </c>
      <c r="C4" s="209">
        <f>Byggnader!$I$32</f>
        <v>0</v>
      </c>
      <c r="D4" s="209" t="s">
        <v>632</v>
      </c>
    </row>
    <row r="5" spans="1:22" ht="13.5" customHeight="1" x14ac:dyDescent="0.7">
      <c r="A5" s="205" t="s">
        <v>633</v>
      </c>
      <c r="C5" s="210">
        <f>Energiprisfaktorer!B6</f>
        <v>0.04</v>
      </c>
      <c r="D5" s="211" t="s">
        <v>634</v>
      </c>
      <c r="E5" s="212"/>
      <c r="F5" s="213" t="s">
        <v>635</v>
      </c>
      <c r="R5" t="s">
        <v>753</v>
      </c>
      <c r="V5">
        <f>Besiktningsprotokoll!B57*1.2*100000</f>
        <v>24000</v>
      </c>
    </row>
    <row r="6" spans="1:22" ht="15.75" customHeight="1" x14ac:dyDescent="0.7">
      <c r="A6" s="205" t="s">
        <v>636</v>
      </c>
      <c r="C6" s="214">
        <v>25</v>
      </c>
      <c r="D6" s="211" t="s">
        <v>637</v>
      </c>
      <c r="E6" s="215" t="str">
        <f>IFERROR((D20-C20)/(C34+C22-D34-D22),"")</f>
        <v/>
      </c>
      <c r="F6" s="213" t="s">
        <v>638</v>
      </c>
      <c r="R6" t="s">
        <v>754</v>
      </c>
      <c r="V6">
        <f>0.25*V5</f>
        <v>6000</v>
      </c>
    </row>
    <row r="7" spans="1:22" ht="15.75" customHeight="1" x14ac:dyDescent="0.7">
      <c r="A7" s="216" t="s">
        <v>639</v>
      </c>
      <c r="C7" s="210">
        <f>Energiprisfaktorer!B7</f>
        <v>0.02</v>
      </c>
      <c r="D7" s="217" t="str">
        <f>D5</f>
        <v>nominell</v>
      </c>
      <c r="E7" s="218"/>
      <c r="F7" s="219"/>
      <c r="I7" s="297" t="s">
        <v>755</v>
      </c>
      <c r="J7" s="297"/>
      <c r="K7" s="297"/>
      <c r="L7" s="297"/>
      <c r="R7" t="s">
        <v>756</v>
      </c>
      <c r="V7">
        <f>0.025*36*8760</f>
        <v>7884</v>
      </c>
    </row>
    <row r="8" spans="1:22" ht="15.75" customHeight="1" x14ac:dyDescent="0.7">
      <c r="A8" s="220" t="s">
        <v>641</v>
      </c>
      <c r="C8" s="221" t="s">
        <v>161</v>
      </c>
      <c r="D8" s="221" t="s">
        <v>143</v>
      </c>
      <c r="E8" s="218"/>
      <c r="F8" s="219"/>
    </row>
    <row r="9" spans="1:22" ht="14.25" customHeight="1" x14ac:dyDescent="0.7">
      <c r="A9" s="222" t="s">
        <v>642</v>
      </c>
      <c r="C9" s="223">
        <f>Energiprisfaktorer!B4</f>
        <v>1.1499999999999999</v>
      </c>
      <c r="D9" s="224" t="s">
        <v>643</v>
      </c>
      <c r="E9" s="218"/>
      <c r="F9" s="219"/>
      <c r="I9" s="37" t="s">
        <v>757</v>
      </c>
      <c r="K9" s="54">
        <v>0</v>
      </c>
    </row>
    <row r="10" spans="1:22" ht="14.25" customHeight="1" x14ac:dyDescent="0.7">
      <c r="A10" s="225" t="s">
        <v>645</v>
      </c>
      <c r="C10" s="226">
        <f>Energiprisfaktorer!B5</f>
        <v>0.03</v>
      </c>
      <c r="D10" s="227" t="str">
        <f>D5</f>
        <v>nominell</v>
      </c>
      <c r="E10" s="218"/>
      <c r="F10" s="219"/>
      <c r="I10" s="196"/>
    </row>
    <row r="11" spans="1:22" ht="14.25" customHeight="1" outlineLevel="1" x14ac:dyDescent="0.7">
      <c r="A11" s="220" t="s">
        <v>647</v>
      </c>
      <c r="C11" s="221" t="s">
        <v>175</v>
      </c>
      <c r="D11" s="221"/>
      <c r="E11" s="218"/>
      <c r="F11" s="219"/>
      <c r="I11" s="37" t="s">
        <v>758</v>
      </c>
      <c r="K11" s="54">
        <v>0</v>
      </c>
    </row>
    <row r="12" spans="1:22" ht="14.25" customHeight="1" outlineLevel="1" x14ac:dyDescent="0.7">
      <c r="A12" s="222" t="s">
        <v>642</v>
      </c>
      <c r="C12" s="223">
        <f>Energiprisfaktorer!C4</f>
        <v>2</v>
      </c>
      <c r="D12" s="224" t="s">
        <v>643</v>
      </c>
      <c r="E12" s="218"/>
      <c r="F12" s="219"/>
      <c r="I12" s="37" t="s">
        <v>759</v>
      </c>
      <c r="K12" s="54">
        <v>0</v>
      </c>
    </row>
    <row r="13" spans="1:22" ht="14.25" customHeight="1" outlineLevel="1" x14ac:dyDescent="0.7">
      <c r="A13" s="225" t="s">
        <v>645</v>
      </c>
      <c r="C13" s="226">
        <f>Energiprisfaktorer!C5</f>
        <v>0.04</v>
      </c>
      <c r="D13" s="227" t="str">
        <f>D5</f>
        <v>nominell</v>
      </c>
      <c r="E13" s="218"/>
      <c r="F13" s="219"/>
      <c r="I13" s="18" t="s">
        <v>760</v>
      </c>
    </row>
    <row r="14" spans="1:22" ht="14.25" customHeight="1" outlineLevel="1" x14ac:dyDescent="0.7">
      <c r="A14" s="220" t="s">
        <v>649</v>
      </c>
      <c r="C14" s="221"/>
      <c r="D14" s="221"/>
      <c r="E14" s="218"/>
      <c r="F14" s="219"/>
      <c r="I14" s="196"/>
    </row>
    <row r="15" spans="1:22" ht="15.75" customHeight="1" outlineLevel="1" x14ac:dyDescent="0.7">
      <c r="A15" s="222" t="s">
        <v>642</v>
      </c>
      <c r="C15" s="223">
        <v>0.6</v>
      </c>
      <c r="D15" s="224" t="s">
        <v>643</v>
      </c>
      <c r="I15" s="70" t="s">
        <v>761</v>
      </c>
    </row>
    <row r="16" spans="1:22" ht="15.75" customHeight="1" outlineLevel="1" x14ac:dyDescent="0.7">
      <c r="A16" s="225" t="s">
        <v>645</v>
      </c>
      <c r="C16" s="226">
        <v>0.04</v>
      </c>
      <c r="D16" s="227" t="str">
        <f>D5</f>
        <v>nominell</v>
      </c>
      <c r="I16" s="298" t="s">
        <v>762</v>
      </c>
      <c r="J16" s="298"/>
      <c r="K16" s="298"/>
      <c r="L16" s="298"/>
      <c r="M16" s="298"/>
      <c r="N16" s="298"/>
    </row>
    <row r="17" spans="1:14" ht="15.75" customHeight="1" x14ac:dyDescent="0.7">
      <c r="A17" s="225" t="s">
        <v>652</v>
      </c>
      <c r="C17" s="230"/>
      <c r="D17" s="230"/>
      <c r="E17" s="218"/>
      <c r="I17" s="298"/>
      <c r="J17" s="298"/>
      <c r="K17" s="298"/>
      <c r="L17" s="298"/>
      <c r="M17" s="298"/>
      <c r="N17" s="298"/>
    </row>
    <row r="18" spans="1:14" ht="15.75" customHeight="1" x14ac:dyDescent="0.7">
      <c r="A18" s="231"/>
      <c r="C18" s="231"/>
      <c r="D18" s="230"/>
      <c r="E18" s="218"/>
      <c r="I18" s="298"/>
      <c r="J18" s="298"/>
      <c r="K18" s="298"/>
      <c r="L18" s="298"/>
      <c r="M18" s="298"/>
      <c r="N18" s="298"/>
    </row>
    <row r="19" spans="1:14" ht="15.75" customHeight="1" x14ac:dyDescent="0.7">
      <c r="A19" s="231"/>
      <c r="C19" s="233" t="s">
        <v>654</v>
      </c>
      <c r="D19" s="234" t="s">
        <v>655</v>
      </c>
      <c r="I19" s="298"/>
      <c r="J19" s="298"/>
      <c r="K19" s="298"/>
      <c r="L19" s="298"/>
      <c r="M19" s="298"/>
      <c r="N19" s="298"/>
    </row>
    <row r="20" spans="1:14" ht="15.75" customHeight="1" x14ac:dyDescent="0.75">
      <c r="A20" s="235" t="s">
        <v>657</v>
      </c>
      <c r="C20" s="236">
        <v>0</v>
      </c>
      <c r="D20" s="236">
        <f>K9</f>
        <v>0</v>
      </c>
      <c r="E20" s="237" t="e">
        <f>D20+C41-D41</f>
        <v>#DIV/0!</v>
      </c>
      <c r="F20" s="213" t="s">
        <v>658</v>
      </c>
      <c r="I20" s="196"/>
      <c r="J20" s="279"/>
    </row>
    <row r="21" spans="1:14" ht="15.75" customHeight="1" x14ac:dyDescent="0.75">
      <c r="A21" s="231"/>
      <c r="C21" s="238"/>
      <c r="D21" s="238"/>
      <c r="E21" s="239"/>
      <c r="F21" s="240"/>
      <c r="I21" s="37" t="s">
        <v>763</v>
      </c>
      <c r="J21" s="280"/>
      <c r="K21" s="55">
        <f>Normalisering!$I$89</f>
        <v>0</v>
      </c>
    </row>
    <row r="22" spans="1:14" ht="15.75" customHeight="1" x14ac:dyDescent="0.75">
      <c r="A22" s="216" t="s">
        <v>660</v>
      </c>
      <c r="C22" s="241">
        <v>0</v>
      </c>
      <c r="D22" s="241">
        <v>0</v>
      </c>
      <c r="I22" s="37" t="s">
        <v>764</v>
      </c>
      <c r="J22" s="279"/>
      <c r="K22" s="55">
        <f>K21+K11</f>
        <v>0</v>
      </c>
    </row>
    <row r="23" spans="1:14" ht="15.75" hidden="1" customHeight="1" outlineLevel="1" x14ac:dyDescent="0.75">
      <c r="A23" s="216" t="s">
        <v>662</v>
      </c>
      <c r="C23" s="236"/>
      <c r="D23" s="236"/>
      <c r="I23" s="37" t="s">
        <v>765</v>
      </c>
      <c r="J23" s="279"/>
      <c r="K23" s="55">
        <f>El!$I$127</f>
        <v>7342.2500531963396</v>
      </c>
    </row>
    <row r="24" spans="1:14" ht="15.75" hidden="1" customHeight="1" outlineLevel="1" x14ac:dyDescent="0.75">
      <c r="A24" s="216" t="s">
        <v>663</v>
      </c>
      <c r="C24" s="236"/>
      <c r="D24" s="236"/>
      <c r="I24" s="37" t="s">
        <v>766</v>
      </c>
      <c r="J24" s="279"/>
      <c r="K24" s="55">
        <f>K23+K12</f>
        <v>7342.2500531963396</v>
      </c>
    </row>
    <row r="25" spans="1:14" ht="15.75" hidden="1" customHeight="1" outlineLevel="1" x14ac:dyDescent="0.75">
      <c r="A25" s="216" t="s">
        <v>664</v>
      </c>
      <c r="C25" s="236"/>
      <c r="D25" s="236"/>
      <c r="I25" s="16" t="s">
        <v>767</v>
      </c>
      <c r="J25" s="279"/>
      <c r="K25" s="55">
        <f>-(K11+K12)</f>
        <v>0</v>
      </c>
    </row>
    <row r="26" spans="1:14" ht="15" customHeight="1" x14ac:dyDescent="0.75">
      <c r="A26" s="216" t="s">
        <v>665</v>
      </c>
      <c r="C26" s="242"/>
      <c r="D26" s="242"/>
      <c r="I26" s="196"/>
      <c r="J26" s="279"/>
    </row>
    <row r="27" spans="1:14" ht="15.75" customHeight="1" x14ac:dyDescent="0.75">
      <c r="A27" s="231"/>
      <c r="C27" s="242"/>
      <c r="D27" s="242"/>
      <c r="I27" s="196"/>
      <c r="J27" s="280"/>
    </row>
    <row r="28" spans="1:14" ht="15.75" customHeight="1" x14ac:dyDescent="0.7">
      <c r="A28" s="220" t="s">
        <v>668</v>
      </c>
      <c r="C28" s="243" t="e">
        <f>K21/$C$4</f>
        <v>#DIV/0!</v>
      </c>
      <c r="D28" s="243" t="e">
        <f>K22/$C$4</f>
        <v>#DIV/0!</v>
      </c>
      <c r="I28" s="196"/>
      <c r="K28" s="196"/>
      <c r="L28" s="196"/>
    </row>
    <row r="29" spans="1:14" ht="15.75" customHeight="1" x14ac:dyDescent="0.7">
      <c r="A29" s="244" t="s">
        <v>670</v>
      </c>
      <c r="C29" s="245" t="e">
        <f>C28*$C$4*$C$9</f>
        <v>#DIV/0!</v>
      </c>
      <c r="D29" s="245" t="e">
        <f>D28*$C$4*$C$9</f>
        <v>#DIV/0!</v>
      </c>
      <c r="I29" s="196"/>
    </row>
    <row r="30" spans="1:14" ht="15.75" customHeight="1" outlineLevel="1" x14ac:dyDescent="0.7">
      <c r="A30" s="220" t="s">
        <v>671</v>
      </c>
      <c r="C30" s="243" t="e">
        <f>K23/$C$4</f>
        <v>#DIV/0!</v>
      </c>
      <c r="D30" s="243" t="e">
        <f>K24/$C$4</f>
        <v>#DIV/0!</v>
      </c>
      <c r="I30" s="196"/>
    </row>
    <row r="31" spans="1:14" ht="15.75" customHeight="1" outlineLevel="1" x14ac:dyDescent="0.7">
      <c r="A31" s="244" t="s">
        <v>673</v>
      </c>
      <c r="C31" s="245" t="e">
        <f>C30*$C$4*$C$12</f>
        <v>#DIV/0!</v>
      </c>
      <c r="D31" s="245" t="e">
        <f>D30*$C$4*$C$12</f>
        <v>#DIV/0!</v>
      </c>
    </row>
    <row r="32" spans="1:14" ht="15.75" customHeight="1" outlineLevel="1" x14ac:dyDescent="0.7">
      <c r="A32" s="220" t="s">
        <v>675</v>
      </c>
      <c r="C32" s="243"/>
      <c r="D32" s="243"/>
    </row>
    <row r="33" spans="1:6" ht="15.75" customHeight="1" outlineLevel="1" x14ac:dyDescent="0.7">
      <c r="A33" s="244" t="s">
        <v>676</v>
      </c>
      <c r="C33" s="245">
        <f>C32*$C$4*$C$15</f>
        <v>0</v>
      </c>
      <c r="D33" s="245">
        <f>D32*$C$4*$C$15</f>
        <v>0</v>
      </c>
    </row>
    <row r="34" spans="1:6" ht="15" customHeight="1" outlineLevel="1" x14ac:dyDescent="0.7">
      <c r="A34" s="231" t="s">
        <v>677</v>
      </c>
      <c r="C34" s="242" t="e">
        <f>C29+C31+C33</f>
        <v>#DIV/0!</v>
      </c>
      <c r="D34" s="242" t="e">
        <f>D29+D31+D33</f>
        <v>#DIV/0!</v>
      </c>
      <c r="F34" s="231"/>
    </row>
    <row r="35" spans="1:6" ht="15" customHeight="1" outlineLevel="1" x14ac:dyDescent="0.7">
      <c r="A35" s="231" t="s">
        <v>678</v>
      </c>
      <c r="C35" s="242" t="e">
        <f>(C28+C30+C32)*$C$4</f>
        <v>#DIV/0!</v>
      </c>
      <c r="D35" s="242" t="e">
        <f>(D28+D30+D32)*$C$4</f>
        <v>#DIV/0!</v>
      </c>
      <c r="F35" s="231"/>
    </row>
    <row r="36" spans="1:6" ht="15" customHeight="1" outlineLevel="1" x14ac:dyDescent="0.7">
      <c r="A36" s="231" t="s">
        <v>679</v>
      </c>
      <c r="C36" s="247" t="e">
        <f>C34/C35</f>
        <v>#DIV/0!</v>
      </c>
      <c r="D36" s="242"/>
      <c r="F36" s="231"/>
    </row>
    <row r="37" spans="1:6" ht="15" customHeight="1" x14ac:dyDescent="0.7">
      <c r="A37" s="222" t="s">
        <v>652</v>
      </c>
      <c r="C37" s="242"/>
      <c r="D37" s="242"/>
      <c r="F37" s="231"/>
    </row>
    <row r="38" spans="1:6" ht="15.75" customHeight="1" x14ac:dyDescent="0.7">
      <c r="A38" s="248"/>
      <c r="C38" s="242"/>
      <c r="D38" s="242"/>
      <c r="F38" s="231"/>
    </row>
    <row r="39" spans="1:6" ht="15" customHeight="1" x14ac:dyDescent="0.7">
      <c r="A39" s="249" t="s">
        <v>680</v>
      </c>
      <c r="B39" s="250"/>
      <c r="C39" s="251">
        <f>C20-PV($C$5-$C$7,$C$6,C22)+C23+C24/(1+$C$5-$C$7)^10+C25/(1+$C$5-$C$7)^20</f>
        <v>0</v>
      </c>
      <c r="D39" s="252">
        <f>D20-PV($C$5-$C$7,$C$6,D22)+D23+D24/(1+$C$5-$C$7)^10+D25/(1+$C$5-$C$7)^20</f>
        <v>0</v>
      </c>
      <c r="F39" s="231"/>
    </row>
    <row r="40" spans="1:6" ht="15.75" customHeight="1" x14ac:dyDescent="0.7">
      <c r="A40" s="253" t="s">
        <v>681</v>
      </c>
      <c r="B40" s="254"/>
      <c r="C40" s="255" t="e">
        <f>-PV($C$5-$C$10,$C$6,C29)-PV($C$5-$C$13,$C$6,C31)-PV($C$5-$C$16,$C$6,C33)</f>
        <v>#DIV/0!</v>
      </c>
      <c r="D40" s="256" t="e">
        <f>-PV($C$5-$C$10,$C$6,D29)-PV($C$5-$C$13,$C$6,D31)-PV($C$5-$C$16,$C$6,D33)</f>
        <v>#DIV/0!</v>
      </c>
      <c r="F40" s="231"/>
    </row>
    <row r="41" spans="1:6" ht="15.75" customHeight="1" x14ac:dyDescent="0.7">
      <c r="A41" s="257" t="s">
        <v>682</v>
      </c>
      <c r="B41" s="258"/>
      <c r="C41" s="259" t="e">
        <f>C39+C40</f>
        <v>#DIV/0!</v>
      </c>
      <c r="D41" s="260" t="e">
        <f>D39+D40</f>
        <v>#DIV/0!</v>
      </c>
      <c r="F41" s="231"/>
    </row>
    <row r="42" spans="1:6" ht="15.75" customHeight="1" x14ac:dyDescent="0.7">
      <c r="A42" s="261"/>
      <c r="B42" s="262"/>
      <c r="C42" s="263" t="s">
        <v>683</v>
      </c>
      <c r="D42" s="264" t="e">
        <f>C41-D41</f>
        <v>#DIV/0!</v>
      </c>
      <c r="F42" s="231"/>
    </row>
    <row r="43" spans="1:6" s="231" customFormat="1" ht="12.75" customHeight="1" x14ac:dyDescent="0.6">
      <c r="A43" s="265" t="s">
        <v>684</v>
      </c>
      <c r="B43" s="266"/>
      <c r="C43" s="267" t="str">
        <f>IFERROR((D39-C39)/(C40-D40)*C36,"")</f>
        <v/>
      </c>
      <c r="D43" s="268" t="e">
        <f>IF($D42&gt;0,"LÖNSAMT","EJ LÖNSAMT")</f>
        <v>#DIV/0!</v>
      </c>
    </row>
    <row r="44" spans="1:6" ht="15.75" customHeight="1" x14ac:dyDescent="0.7">
      <c r="A44" s="269" t="s">
        <v>685</v>
      </c>
      <c r="B44" s="183"/>
      <c r="C44" s="270" t="e">
        <f>C36</f>
        <v>#DIV/0!</v>
      </c>
      <c r="D44" s="271"/>
      <c r="F44" s="231"/>
    </row>
    <row r="45" spans="1:6" ht="15" customHeight="1" x14ac:dyDescent="0.7">
      <c r="C45" s="242"/>
      <c r="D45" s="242"/>
      <c r="F45" s="231"/>
    </row>
    <row r="46" spans="1:6" ht="15.75" customHeight="1" x14ac:dyDescent="0.7">
      <c r="D46" s="272"/>
    </row>
    <row r="47" spans="1:6" ht="15.75" customHeight="1" x14ac:dyDescent="0.7">
      <c r="A47" s="273" t="s">
        <v>686</v>
      </c>
      <c r="B47" s="274"/>
      <c r="D47" s="275" t="s">
        <v>687</v>
      </c>
    </row>
    <row r="49" spans="6:6" ht="15" customHeight="1" x14ac:dyDescent="0.7">
      <c r="F49" s="218"/>
    </row>
  </sheetData>
  <mergeCells count="3">
    <mergeCell ref="C2:D2"/>
    <mergeCell ref="I7:L7"/>
    <mergeCell ref="I16:N19"/>
  </mergeCells>
  <dataValidations count="1">
    <dataValidation type="list" sqref="B2" xr:uid="{00000000-0002-0000-1800-000000000000}">
      <formula1>"Ja,Nej"</formula1>
      <formula2>0</formula2>
    </dataValidation>
  </dataValidations>
  <pageMargins left="0.7" right="0.7" top="0.75" bottom="0.75" header="0.511811023622047" footer="0.511811023622047"/>
  <pageSetup paperSize="9" orientation="portrait" horizontalDpi="300" verticalDpi="300"/>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5"/>
  <sheetViews>
    <sheetView topLeftCell="A11" zoomScaleNormal="100" workbookViewId="0">
      <selection activeCell="C13" sqref="C13"/>
    </sheetView>
  </sheetViews>
  <sheetFormatPr defaultColWidth="8.7265625" defaultRowHeight="14.5" x14ac:dyDescent="0.7"/>
  <cols>
    <col min="1" max="1" width="38.54296875" customWidth="1"/>
    <col min="2" max="2" width="67.26953125" customWidth="1"/>
    <col min="3" max="3" width="74" customWidth="1"/>
    <col min="4" max="4" width="37.86328125" customWidth="1"/>
    <col min="5" max="5" width="32.26953125" customWidth="1"/>
  </cols>
  <sheetData>
    <row r="1" spans="1:5" ht="30" customHeight="1" x14ac:dyDescent="0.7">
      <c r="A1" s="232" t="s">
        <v>768</v>
      </c>
      <c r="B1" s="281" t="s">
        <v>769</v>
      </c>
    </row>
    <row r="3" spans="1:5" ht="122.25" customHeight="1" x14ac:dyDescent="0.7">
      <c r="A3" s="232" t="s">
        <v>144</v>
      </c>
      <c r="B3" s="196" t="s">
        <v>770</v>
      </c>
    </row>
    <row r="5" spans="1:5" ht="15" customHeight="1" x14ac:dyDescent="0.7">
      <c r="B5" s="232" t="s">
        <v>771</v>
      </c>
      <c r="C5" s="232" t="s">
        <v>772</v>
      </c>
      <c r="D5" s="196" t="s">
        <v>773</v>
      </c>
      <c r="E5" s="196" t="s">
        <v>774</v>
      </c>
    </row>
    <row r="6" spans="1:5" ht="108" customHeight="1" x14ac:dyDescent="0.7">
      <c r="A6" s="232" t="s">
        <v>775</v>
      </c>
      <c r="B6" s="281" t="s">
        <v>776</v>
      </c>
      <c r="D6" s="281" t="s">
        <v>777</v>
      </c>
    </row>
    <row r="7" spans="1:5" ht="65.25" customHeight="1" x14ac:dyDescent="0.7">
      <c r="A7" s="232" t="s">
        <v>778</v>
      </c>
      <c r="B7" s="281" t="s">
        <v>651</v>
      </c>
      <c r="C7" s="281" t="s">
        <v>779</v>
      </c>
      <c r="D7" s="281" t="s">
        <v>780</v>
      </c>
    </row>
    <row r="8" spans="1:5" ht="93" customHeight="1" x14ac:dyDescent="0.7">
      <c r="A8" s="232" t="s">
        <v>781</v>
      </c>
      <c r="B8" s="281" t="s">
        <v>695</v>
      </c>
      <c r="D8" s="281" t="s">
        <v>782</v>
      </c>
    </row>
    <row r="9" spans="1:5" ht="34.5" customHeight="1" x14ac:dyDescent="0.7">
      <c r="A9" s="232" t="s">
        <v>783</v>
      </c>
      <c r="B9" s="196" t="s">
        <v>784</v>
      </c>
      <c r="D9" s="281" t="s">
        <v>785</v>
      </c>
    </row>
    <row r="10" spans="1:5" ht="40.5" customHeight="1" x14ac:dyDescent="0.7">
      <c r="A10" s="232" t="s">
        <v>786</v>
      </c>
      <c r="B10" s="196" t="s">
        <v>787</v>
      </c>
      <c r="D10" s="281" t="s">
        <v>788</v>
      </c>
    </row>
    <row r="11" spans="1:5" ht="96.75" customHeight="1" x14ac:dyDescent="0.7">
      <c r="A11" s="232" t="s">
        <v>688</v>
      </c>
      <c r="B11" s="281" t="s">
        <v>690</v>
      </c>
      <c r="C11" s="281" t="s">
        <v>789</v>
      </c>
      <c r="D11" s="281" t="s">
        <v>790</v>
      </c>
    </row>
    <row r="12" spans="1:5" ht="52.5" customHeight="1" x14ac:dyDescent="0.7">
      <c r="A12" s="232" t="s">
        <v>791</v>
      </c>
      <c r="B12" s="281" t="s">
        <v>699</v>
      </c>
      <c r="D12" s="281" t="s">
        <v>792</v>
      </c>
    </row>
    <row r="13" spans="1:5" ht="60" customHeight="1" x14ac:dyDescent="0.7">
      <c r="A13" s="232" t="s">
        <v>713</v>
      </c>
      <c r="B13" s="281" t="s">
        <v>793</v>
      </c>
      <c r="D13" s="281" t="s">
        <v>792</v>
      </c>
    </row>
    <row r="14" spans="1:5" ht="52.5" customHeight="1" x14ac:dyDescent="0.7">
      <c r="A14" s="232" t="s">
        <v>624</v>
      </c>
      <c r="B14" s="281" t="s">
        <v>794</v>
      </c>
      <c r="D14" s="281" t="s">
        <v>795</v>
      </c>
    </row>
    <row r="15" spans="1:5" ht="52.5" customHeight="1" x14ac:dyDescent="0.7">
      <c r="A15" s="232" t="s">
        <v>796</v>
      </c>
      <c r="B15" s="281" t="s">
        <v>797</v>
      </c>
      <c r="D15" s="281" t="s">
        <v>798</v>
      </c>
    </row>
  </sheetData>
  <pageMargins left="0.7" right="0.7" top="0.75" bottom="0.75"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Z319"/>
  <sheetViews>
    <sheetView zoomScaleNormal="100" workbookViewId="0">
      <selection activeCell="H115" sqref="H115"/>
    </sheetView>
  </sheetViews>
  <sheetFormatPr defaultColWidth="8.7265625" defaultRowHeight="14.5" x14ac:dyDescent="0.7"/>
  <cols>
    <col min="1" max="1" width="40" customWidth="1"/>
    <col min="2" max="19" width="9" customWidth="1"/>
    <col min="21" max="26" width="28" customWidth="1"/>
  </cols>
  <sheetData>
    <row r="1" spans="1:26" ht="21.75" customHeight="1" x14ac:dyDescent="0.95">
      <c r="A1" s="15" t="s">
        <v>799</v>
      </c>
    </row>
    <row r="2" spans="1:26" ht="15" customHeight="1" x14ac:dyDescent="0.7">
      <c r="A2" s="18" t="s">
        <v>800</v>
      </c>
    </row>
    <row r="3" spans="1:26" ht="15" customHeight="1" x14ac:dyDescent="0.7">
      <c r="A3" s="16" t="s">
        <v>801</v>
      </c>
    </row>
    <row r="4" spans="1:26" ht="15" customHeight="1" x14ac:dyDescent="0.7">
      <c r="A4" s="37" t="s">
        <v>175</v>
      </c>
      <c r="B4" s="282">
        <v>1.8</v>
      </c>
      <c r="U4" s="16" t="s">
        <v>140</v>
      </c>
      <c r="V4" s="16" t="s">
        <v>141</v>
      </c>
      <c r="W4" s="16" t="s">
        <v>142</v>
      </c>
      <c r="X4" s="16" t="s">
        <v>802</v>
      </c>
      <c r="Y4" s="16" t="s">
        <v>584</v>
      </c>
      <c r="Z4" s="16" t="s">
        <v>803</v>
      </c>
    </row>
    <row r="5" spans="1:26" ht="15" customHeight="1" x14ac:dyDescent="0.7">
      <c r="A5" s="37" t="s">
        <v>161</v>
      </c>
      <c r="B5" s="282">
        <v>0.7</v>
      </c>
      <c r="U5" t="s">
        <v>161</v>
      </c>
      <c r="V5" t="s">
        <v>804</v>
      </c>
      <c r="W5" t="s">
        <v>805</v>
      </c>
      <c r="X5" t="s">
        <v>200</v>
      </c>
      <c r="Y5" t="s">
        <v>174</v>
      </c>
      <c r="Z5" t="s">
        <v>179</v>
      </c>
    </row>
    <row r="6" spans="1:26" ht="15" customHeight="1" x14ac:dyDescent="0.7">
      <c r="A6" s="37" t="s">
        <v>454</v>
      </c>
      <c r="B6" s="282">
        <v>0.6</v>
      </c>
      <c r="U6" t="s">
        <v>166</v>
      </c>
      <c r="V6" t="s">
        <v>806</v>
      </c>
      <c r="W6" t="s">
        <v>53</v>
      </c>
      <c r="X6" t="s">
        <v>204</v>
      </c>
      <c r="Y6" t="s">
        <v>807</v>
      </c>
      <c r="Z6" t="s">
        <v>808</v>
      </c>
    </row>
    <row r="7" spans="1:26" ht="15" customHeight="1" x14ac:dyDescent="0.7">
      <c r="A7" s="37" t="s">
        <v>809</v>
      </c>
      <c r="B7" s="282">
        <v>0.6</v>
      </c>
      <c r="U7" t="s">
        <v>167</v>
      </c>
      <c r="W7" t="s">
        <v>54</v>
      </c>
    </row>
    <row r="8" spans="1:26" ht="15" customHeight="1" x14ac:dyDescent="0.7">
      <c r="A8" s="37" t="s">
        <v>810</v>
      </c>
      <c r="B8" s="282">
        <v>1.8</v>
      </c>
      <c r="U8" t="s">
        <v>168</v>
      </c>
      <c r="W8" t="s">
        <v>55</v>
      </c>
    </row>
    <row r="9" spans="1:26" ht="15" customHeight="1" x14ac:dyDescent="0.7">
      <c r="U9" t="s">
        <v>170</v>
      </c>
      <c r="W9" t="s">
        <v>56</v>
      </c>
    </row>
    <row r="10" spans="1:26" ht="15" customHeight="1" x14ac:dyDescent="0.7">
      <c r="A10" s="16" t="s">
        <v>811</v>
      </c>
      <c r="U10" t="s">
        <v>171</v>
      </c>
      <c r="W10" t="s">
        <v>57</v>
      </c>
    </row>
    <row r="11" spans="1:26" ht="25.5" customHeight="1" x14ac:dyDescent="0.7">
      <c r="A11" s="50" t="s">
        <v>17</v>
      </c>
      <c r="B11" s="50" t="s">
        <v>812</v>
      </c>
      <c r="C11" s="50" t="s">
        <v>813</v>
      </c>
      <c r="D11" s="50" t="s">
        <v>814</v>
      </c>
      <c r="E11" s="50" t="s">
        <v>815</v>
      </c>
      <c r="F11" s="50" t="s">
        <v>816</v>
      </c>
      <c r="G11" s="50" t="s">
        <v>817</v>
      </c>
      <c r="H11" s="50" t="s">
        <v>818</v>
      </c>
      <c r="I11" s="50" t="s">
        <v>819</v>
      </c>
      <c r="J11" s="50" t="s">
        <v>820</v>
      </c>
      <c r="K11" s="50" t="s">
        <v>821</v>
      </c>
      <c r="L11" s="50" t="s">
        <v>822</v>
      </c>
      <c r="M11" s="50" t="s">
        <v>823</v>
      </c>
      <c r="N11" s="50" t="s">
        <v>824</v>
      </c>
      <c r="O11" s="50" t="s">
        <v>825</v>
      </c>
      <c r="P11" s="50" t="s">
        <v>826</v>
      </c>
      <c r="Q11" s="50" t="s">
        <v>827</v>
      </c>
      <c r="R11" s="50" t="s">
        <v>828</v>
      </c>
      <c r="S11" s="50" t="s">
        <v>829</v>
      </c>
      <c r="U11" t="s">
        <v>454</v>
      </c>
      <c r="W11" t="s">
        <v>58</v>
      </c>
    </row>
    <row r="12" spans="1:26" ht="15" customHeight="1" x14ac:dyDescent="0.7">
      <c r="A12" s="283" t="s">
        <v>62</v>
      </c>
      <c r="B12" s="283">
        <v>21</v>
      </c>
      <c r="C12" s="284">
        <v>0.35</v>
      </c>
      <c r="D12" s="283">
        <v>3.7</v>
      </c>
      <c r="E12" s="283">
        <v>25</v>
      </c>
      <c r="F12" s="283">
        <v>39</v>
      </c>
      <c r="G12" s="283">
        <v>29</v>
      </c>
      <c r="H12" s="283">
        <v>41</v>
      </c>
      <c r="I12" s="283">
        <v>42</v>
      </c>
      <c r="J12" s="283">
        <v>44</v>
      </c>
      <c r="K12" s="283">
        <v>54</v>
      </c>
      <c r="L12" s="283">
        <v>46</v>
      </c>
      <c r="M12" s="283">
        <v>66</v>
      </c>
      <c r="N12" s="283">
        <v>48</v>
      </c>
      <c r="O12" s="283">
        <v>79</v>
      </c>
      <c r="P12" s="283">
        <v>51</v>
      </c>
      <c r="Q12" s="283">
        <v>93</v>
      </c>
      <c r="R12" s="283">
        <v>40</v>
      </c>
      <c r="S12" s="283">
        <v>35</v>
      </c>
    </row>
    <row r="13" spans="1:26" ht="15" customHeight="1" x14ac:dyDescent="0.7">
      <c r="A13" s="283" t="s">
        <v>830</v>
      </c>
      <c r="B13" s="283">
        <v>21</v>
      </c>
      <c r="C13" s="284">
        <v>0.35</v>
      </c>
      <c r="D13" s="283">
        <v>3.7</v>
      </c>
      <c r="E13" s="283">
        <v>20</v>
      </c>
      <c r="F13" s="283">
        <v>18</v>
      </c>
      <c r="G13" s="283">
        <v>72</v>
      </c>
      <c r="H13" s="283">
        <v>23</v>
      </c>
      <c r="I13" s="283">
        <v>96</v>
      </c>
      <c r="J13" s="283">
        <v>27</v>
      </c>
      <c r="K13" s="283">
        <v>121</v>
      </c>
      <c r="L13" s="283">
        <v>31</v>
      </c>
      <c r="M13" s="283">
        <v>145</v>
      </c>
      <c r="N13" s="283">
        <v>36</v>
      </c>
      <c r="O13" s="283">
        <v>169</v>
      </c>
      <c r="P13" s="283">
        <v>41</v>
      </c>
      <c r="Q13" s="283">
        <v>198</v>
      </c>
      <c r="R13" s="283">
        <v>20</v>
      </c>
      <c r="S13" s="283">
        <v>80</v>
      </c>
    </row>
    <row r="14" spans="1:26" ht="15" customHeight="1" x14ac:dyDescent="0.7">
      <c r="A14" s="283" t="s">
        <v>423</v>
      </c>
      <c r="B14" s="283">
        <v>21</v>
      </c>
      <c r="C14" s="284">
        <v>0.35</v>
      </c>
      <c r="D14" s="283">
        <v>3.7</v>
      </c>
      <c r="E14" s="283">
        <v>20</v>
      </c>
      <c r="F14" s="283">
        <v>18</v>
      </c>
      <c r="G14" s="283">
        <v>68</v>
      </c>
      <c r="H14" s="283">
        <v>21</v>
      </c>
      <c r="I14" s="283">
        <v>89</v>
      </c>
      <c r="J14" s="283">
        <v>25</v>
      </c>
      <c r="K14" s="283">
        <v>109</v>
      </c>
      <c r="L14" s="283">
        <v>29</v>
      </c>
      <c r="M14" s="283">
        <v>129</v>
      </c>
      <c r="N14" s="283">
        <v>32</v>
      </c>
      <c r="O14" s="283">
        <v>150</v>
      </c>
      <c r="P14" s="283">
        <v>37</v>
      </c>
      <c r="Q14" s="283">
        <v>176</v>
      </c>
      <c r="R14" s="283">
        <v>19</v>
      </c>
      <c r="S14" s="283">
        <v>76</v>
      </c>
    </row>
    <row r="15" spans="1:26" ht="15" customHeight="1" x14ac:dyDescent="0.7">
      <c r="A15" s="283" t="s">
        <v>831</v>
      </c>
      <c r="B15" s="283">
        <v>21</v>
      </c>
      <c r="C15" s="284">
        <v>0.35</v>
      </c>
      <c r="D15" s="283">
        <v>3.7</v>
      </c>
      <c r="E15" s="283">
        <v>20</v>
      </c>
      <c r="F15" s="283">
        <v>17</v>
      </c>
      <c r="G15" s="283">
        <v>64</v>
      </c>
      <c r="H15" s="283">
        <v>20</v>
      </c>
      <c r="I15" s="283">
        <v>80</v>
      </c>
      <c r="J15" s="283">
        <v>23</v>
      </c>
      <c r="K15" s="283">
        <v>96</v>
      </c>
      <c r="L15" s="283">
        <v>26</v>
      </c>
      <c r="M15" s="283">
        <v>112</v>
      </c>
      <c r="N15" s="283">
        <v>28</v>
      </c>
      <c r="O15" s="283">
        <v>129</v>
      </c>
      <c r="P15" s="283">
        <v>33</v>
      </c>
      <c r="Q15" s="283">
        <v>151</v>
      </c>
      <c r="R15" s="283">
        <v>18</v>
      </c>
      <c r="S15" s="283">
        <v>72</v>
      </c>
    </row>
    <row r="16" spans="1:26" ht="15" customHeight="1" x14ac:dyDescent="0.7">
      <c r="A16" s="283" t="s">
        <v>68</v>
      </c>
      <c r="B16" s="283">
        <v>21</v>
      </c>
      <c r="C16" s="284">
        <v>0.43</v>
      </c>
      <c r="D16" s="283">
        <v>4.5999999999999996</v>
      </c>
      <c r="E16" s="283">
        <v>4</v>
      </c>
      <c r="F16" s="283">
        <v>27</v>
      </c>
      <c r="G16" s="283">
        <v>41</v>
      </c>
      <c r="H16" s="283">
        <v>34</v>
      </c>
      <c r="I16" s="283">
        <v>59</v>
      </c>
      <c r="J16" s="283">
        <v>40</v>
      </c>
      <c r="K16" s="283">
        <v>78</v>
      </c>
      <c r="L16" s="283">
        <v>47</v>
      </c>
      <c r="M16" s="283">
        <v>95</v>
      </c>
      <c r="N16" s="283">
        <v>53</v>
      </c>
      <c r="O16" s="283">
        <v>114</v>
      </c>
      <c r="P16" s="283">
        <v>62</v>
      </c>
      <c r="Q16" s="283">
        <v>142</v>
      </c>
      <c r="R16" s="283">
        <v>29</v>
      </c>
      <c r="S16" s="283">
        <v>46</v>
      </c>
    </row>
    <row r="17" spans="1:19" ht="15" customHeight="1" x14ac:dyDescent="0.7">
      <c r="A17" s="283" t="s">
        <v>69</v>
      </c>
      <c r="B17" s="283">
        <v>21</v>
      </c>
      <c r="C17" s="284">
        <v>0.84</v>
      </c>
      <c r="D17" s="283">
        <v>5.4</v>
      </c>
      <c r="E17" s="283">
        <v>7</v>
      </c>
      <c r="F17" s="283">
        <v>36</v>
      </c>
      <c r="G17" s="283">
        <v>38</v>
      </c>
      <c r="H17" s="283">
        <v>42</v>
      </c>
      <c r="I17" s="283">
        <v>59</v>
      </c>
      <c r="J17" s="283">
        <v>47</v>
      </c>
      <c r="K17" s="283">
        <v>82</v>
      </c>
      <c r="L17" s="283">
        <v>53</v>
      </c>
      <c r="M17" s="283">
        <v>103</v>
      </c>
      <c r="N17" s="283">
        <v>59</v>
      </c>
      <c r="O17" s="283">
        <v>124</v>
      </c>
      <c r="P17" s="283">
        <v>68</v>
      </c>
      <c r="Q17" s="283">
        <v>161</v>
      </c>
      <c r="R17" s="283">
        <v>38</v>
      </c>
      <c r="S17" s="283">
        <v>44</v>
      </c>
    </row>
    <row r="18" spans="1:19" ht="15" customHeight="1" x14ac:dyDescent="0.7">
      <c r="A18" s="283" t="s">
        <v>70</v>
      </c>
      <c r="B18" s="283">
        <v>22</v>
      </c>
      <c r="C18" s="284">
        <v>1.8</v>
      </c>
      <c r="D18" s="283">
        <v>7.3</v>
      </c>
      <c r="E18" s="283">
        <v>17</v>
      </c>
      <c r="F18" s="283">
        <v>74</v>
      </c>
      <c r="G18" s="283">
        <v>37</v>
      </c>
      <c r="H18" s="283">
        <v>81</v>
      </c>
      <c r="I18" s="283">
        <v>50</v>
      </c>
      <c r="J18" s="283">
        <v>88</v>
      </c>
      <c r="K18" s="283">
        <v>63</v>
      </c>
      <c r="L18" s="283">
        <v>95</v>
      </c>
      <c r="M18" s="283">
        <v>76</v>
      </c>
      <c r="N18" s="283">
        <v>102</v>
      </c>
      <c r="O18" s="283">
        <v>89</v>
      </c>
      <c r="P18" s="283">
        <v>118</v>
      </c>
      <c r="Q18" s="283">
        <v>120</v>
      </c>
      <c r="R18" s="283">
        <v>78</v>
      </c>
      <c r="S18" s="283">
        <v>45</v>
      </c>
    </row>
    <row r="19" spans="1:19" ht="15" customHeight="1" x14ac:dyDescent="0.7">
      <c r="A19" s="283" t="s">
        <v>71</v>
      </c>
      <c r="B19" s="283">
        <v>22</v>
      </c>
      <c r="C19" s="284">
        <v>1.4</v>
      </c>
      <c r="D19" s="283">
        <v>7</v>
      </c>
      <c r="E19" s="283">
        <v>24</v>
      </c>
      <c r="F19" s="283">
        <v>70</v>
      </c>
      <c r="G19" s="283">
        <v>22</v>
      </c>
      <c r="H19" s="283">
        <v>78</v>
      </c>
      <c r="I19" s="283">
        <v>53</v>
      </c>
      <c r="J19" s="283">
        <v>87</v>
      </c>
      <c r="K19" s="283">
        <v>83</v>
      </c>
      <c r="L19" s="283">
        <v>95</v>
      </c>
      <c r="M19" s="283">
        <v>114</v>
      </c>
      <c r="N19" s="283">
        <v>104</v>
      </c>
      <c r="O19" s="283">
        <v>144</v>
      </c>
      <c r="P19" s="283">
        <v>116</v>
      </c>
      <c r="Q19" s="283">
        <v>185</v>
      </c>
      <c r="R19" s="283">
        <v>72</v>
      </c>
      <c r="S19" s="283">
        <v>30</v>
      </c>
    </row>
    <row r="20" spans="1:19" ht="15" customHeight="1" x14ac:dyDescent="0.7">
      <c r="A20" s="283" t="s">
        <v>72</v>
      </c>
      <c r="B20" s="283">
        <v>20</v>
      </c>
      <c r="C20" s="284">
        <v>0.88</v>
      </c>
      <c r="D20" s="283">
        <v>7.1</v>
      </c>
      <c r="E20" s="283">
        <v>17</v>
      </c>
      <c r="F20" s="283">
        <v>40</v>
      </c>
      <c r="G20" s="283">
        <v>41</v>
      </c>
      <c r="H20" s="283">
        <v>46</v>
      </c>
      <c r="I20" s="283">
        <v>68</v>
      </c>
      <c r="J20" s="283">
        <v>53</v>
      </c>
      <c r="K20" s="283">
        <v>93</v>
      </c>
      <c r="L20" s="283">
        <v>59</v>
      </c>
      <c r="M20" s="283">
        <v>120</v>
      </c>
      <c r="N20" s="283">
        <v>66</v>
      </c>
      <c r="O20" s="283">
        <v>145</v>
      </c>
      <c r="P20" s="283">
        <v>75</v>
      </c>
      <c r="Q20" s="283">
        <v>185</v>
      </c>
      <c r="R20" s="283">
        <v>42</v>
      </c>
      <c r="S20" s="283">
        <v>48</v>
      </c>
    </row>
    <row r="21" spans="1:19" ht="15" customHeight="1" x14ac:dyDescent="0.7">
      <c r="A21" s="283" t="s">
        <v>73</v>
      </c>
      <c r="B21" s="283">
        <v>20</v>
      </c>
      <c r="C21" s="284">
        <v>1.1000000000000001</v>
      </c>
      <c r="D21" s="283">
        <v>7.9</v>
      </c>
      <c r="E21" s="283">
        <v>10</v>
      </c>
      <c r="F21" s="283">
        <v>55</v>
      </c>
      <c r="G21" s="283">
        <v>34</v>
      </c>
      <c r="H21" s="283">
        <v>62</v>
      </c>
      <c r="I21" s="283">
        <v>49</v>
      </c>
      <c r="J21" s="283">
        <v>69</v>
      </c>
      <c r="K21" s="283">
        <v>64</v>
      </c>
      <c r="L21" s="283">
        <v>76</v>
      </c>
      <c r="M21" s="283">
        <v>78</v>
      </c>
      <c r="N21" s="283">
        <v>82</v>
      </c>
      <c r="O21" s="283">
        <v>94</v>
      </c>
      <c r="P21" s="283">
        <v>95</v>
      </c>
      <c r="Q21" s="283">
        <v>122</v>
      </c>
      <c r="R21" s="283">
        <v>58</v>
      </c>
      <c r="S21" s="283">
        <v>41</v>
      </c>
    </row>
    <row r="22" spans="1:19" ht="15" customHeight="1" x14ac:dyDescent="0.7">
      <c r="A22" s="283" t="s">
        <v>74</v>
      </c>
      <c r="B22" s="283">
        <v>15</v>
      </c>
      <c r="C22" s="284">
        <v>0.1</v>
      </c>
      <c r="D22" s="283">
        <v>2.1</v>
      </c>
      <c r="E22" s="283">
        <v>5</v>
      </c>
      <c r="F22" s="283">
        <v>15</v>
      </c>
      <c r="G22" s="283">
        <v>25</v>
      </c>
      <c r="H22" s="283">
        <v>22</v>
      </c>
      <c r="I22" s="283">
        <v>55</v>
      </c>
      <c r="J22" s="283">
        <v>29</v>
      </c>
      <c r="K22" s="283">
        <v>85</v>
      </c>
      <c r="L22" s="283">
        <v>37</v>
      </c>
      <c r="M22" s="283">
        <v>113</v>
      </c>
      <c r="N22" s="283">
        <v>44</v>
      </c>
      <c r="O22" s="283">
        <v>143</v>
      </c>
      <c r="P22" s="283">
        <v>54</v>
      </c>
      <c r="Q22" s="283">
        <v>185</v>
      </c>
      <c r="R22" s="283">
        <v>16</v>
      </c>
      <c r="S22" s="283">
        <v>28</v>
      </c>
    </row>
    <row r="24" spans="1:19" ht="15" customHeight="1" x14ac:dyDescent="0.7">
      <c r="A24" s="16" t="s">
        <v>61</v>
      </c>
    </row>
    <row r="25" spans="1:19" ht="15" customHeight="1" x14ac:dyDescent="0.7">
      <c r="A25" s="37" t="s">
        <v>62</v>
      </c>
    </row>
    <row r="26" spans="1:19" ht="15" customHeight="1" x14ac:dyDescent="0.7">
      <c r="A26" s="37" t="s">
        <v>491</v>
      </c>
    </row>
    <row r="28" spans="1:19" ht="15" customHeight="1" x14ac:dyDescent="0.7">
      <c r="A28" s="16" t="s">
        <v>832</v>
      </c>
    </row>
    <row r="29" spans="1:19" ht="15" customHeight="1" x14ac:dyDescent="0.7">
      <c r="A29" s="16" t="s">
        <v>47</v>
      </c>
      <c r="B29" s="16" t="s">
        <v>833</v>
      </c>
    </row>
    <row r="30" spans="1:19" ht="15" customHeight="1" x14ac:dyDescent="0.7">
      <c r="A30" t="s">
        <v>834</v>
      </c>
      <c r="B30" s="192">
        <v>0.9</v>
      </c>
    </row>
    <row r="31" spans="1:19" ht="15" customHeight="1" x14ac:dyDescent="0.7">
      <c r="A31" t="s">
        <v>835</v>
      </c>
      <c r="B31" s="192">
        <v>1</v>
      </c>
    </row>
    <row r="32" spans="1:19" ht="15" customHeight="1" x14ac:dyDescent="0.7">
      <c r="A32" t="s">
        <v>836</v>
      </c>
      <c r="B32" s="192">
        <v>1</v>
      </c>
    </row>
    <row r="33" spans="1:2" ht="15" customHeight="1" x14ac:dyDescent="0.7">
      <c r="A33" t="s">
        <v>837</v>
      </c>
      <c r="B33" s="192">
        <v>1</v>
      </c>
    </row>
    <row r="34" spans="1:2" ht="15" customHeight="1" x14ac:dyDescent="0.7">
      <c r="A34" t="s">
        <v>838</v>
      </c>
      <c r="B34" s="192">
        <v>1</v>
      </c>
    </row>
    <row r="35" spans="1:2" ht="15" customHeight="1" x14ac:dyDescent="0.7">
      <c r="A35" t="s">
        <v>839</v>
      </c>
      <c r="B35" s="192">
        <v>1.7</v>
      </c>
    </row>
    <row r="36" spans="1:2" ht="15" customHeight="1" x14ac:dyDescent="0.7">
      <c r="A36" t="s">
        <v>840</v>
      </c>
      <c r="B36" s="192">
        <v>1.6</v>
      </c>
    </row>
    <row r="37" spans="1:2" ht="15" customHeight="1" x14ac:dyDescent="0.7">
      <c r="A37" t="s">
        <v>841</v>
      </c>
      <c r="B37" s="192">
        <v>1.1000000000000001</v>
      </c>
    </row>
    <row r="38" spans="1:2" ht="15" customHeight="1" x14ac:dyDescent="0.7">
      <c r="A38" t="s">
        <v>842</v>
      </c>
      <c r="B38" s="192">
        <v>1</v>
      </c>
    </row>
    <row r="39" spans="1:2" ht="15" customHeight="1" x14ac:dyDescent="0.7">
      <c r="A39" t="s">
        <v>843</v>
      </c>
      <c r="B39" s="192">
        <v>1.1000000000000001</v>
      </c>
    </row>
    <row r="40" spans="1:2" ht="15" customHeight="1" x14ac:dyDescent="0.7">
      <c r="A40" t="s">
        <v>844</v>
      </c>
      <c r="B40" s="192">
        <v>1</v>
      </c>
    </row>
    <row r="41" spans="1:2" ht="15" customHeight="1" x14ac:dyDescent="0.7">
      <c r="A41" t="s">
        <v>845</v>
      </c>
      <c r="B41" s="192">
        <v>1.4</v>
      </c>
    </row>
    <row r="42" spans="1:2" ht="15" customHeight="1" x14ac:dyDescent="0.7">
      <c r="A42" t="s">
        <v>846</v>
      </c>
      <c r="B42" s="192">
        <v>1.4</v>
      </c>
    </row>
    <row r="43" spans="1:2" ht="15" customHeight="1" x14ac:dyDescent="0.7">
      <c r="A43" t="s">
        <v>847</v>
      </c>
      <c r="B43" s="192">
        <v>0.8</v>
      </c>
    </row>
    <row r="44" spans="1:2" ht="15" customHeight="1" x14ac:dyDescent="0.7">
      <c r="A44" t="s">
        <v>848</v>
      </c>
      <c r="B44" s="192">
        <v>1.6</v>
      </c>
    </row>
    <row r="45" spans="1:2" ht="15" customHeight="1" x14ac:dyDescent="0.7">
      <c r="A45" t="s">
        <v>849</v>
      </c>
      <c r="B45" s="192">
        <v>1</v>
      </c>
    </row>
    <row r="46" spans="1:2" ht="15" customHeight="1" x14ac:dyDescent="0.7">
      <c r="A46" t="s">
        <v>850</v>
      </c>
      <c r="B46" s="192">
        <v>1.2</v>
      </c>
    </row>
    <row r="47" spans="1:2" ht="15" customHeight="1" x14ac:dyDescent="0.7">
      <c r="A47" t="s">
        <v>851</v>
      </c>
      <c r="B47" s="192">
        <v>0.8</v>
      </c>
    </row>
    <row r="48" spans="1:2" ht="15" customHeight="1" x14ac:dyDescent="0.7">
      <c r="A48" t="s">
        <v>852</v>
      </c>
      <c r="B48" s="192">
        <v>1.1000000000000001</v>
      </c>
    </row>
    <row r="49" spans="1:2" ht="15" customHeight="1" x14ac:dyDescent="0.7">
      <c r="A49" t="s">
        <v>853</v>
      </c>
      <c r="B49" s="192">
        <v>1</v>
      </c>
    </row>
    <row r="50" spans="1:2" ht="15" customHeight="1" x14ac:dyDescent="0.7">
      <c r="A50" t="s">
        <v>854</v>
      </c>
      <c r="B50" s="192">
        <v>1</v>
      </c>
    </row>
    <row r="51" spans="1:2" ht="15" customHeight="1" x14ac:dyDescent="0.7">
      <c r="A51" t="s">
        <v>855</v>
      </c>
      <c r="B51" s="192">
        <v>1</v>
      </c>
    </row>
    <row r="52" spans="1:2" ht="15" customHeight="1" x14ac:dyDescent="0.7">
      <c r="A52" t="s">
        <v>856</v>
      </c>
      <c r="B52" s="192">
        <v>0.8</v>
      </c>
    </row>
    <row r="53" spans="1:2" ht="15" customHeight="1" x14ac:dyDescent="0.7">
      <c r="A53" t="s">
        <v>857</v>
      </c>
      <c r="B53" s="192">
        <v>1.4</v>
      </c>
    </row>
    <row r="54" spans="1:2" ht="15" customHeight="1" x14ac:dyDescent="0.7">
      <c r="A54" t="s">
        <v>858</v>
      </c>
      <c r="B54" s="192">
        <v>0.8</v>
      </c>
    </row>
    <row r="55" spans="1:2" ht="15" customHeight="1" x14ac:dyDescent="0.7">
      <c r="A55" t="s">
        <v>859</v>
      </c>
      <c r="B55" s="192">
        <v>0.8</v>
      </c>
    </row>
    <row r="56" spans="1:2" ht="15" customHeight="1" x14ac:dyDescent="0.7">
      <c r="A56" t="s">
        <v>860</v>
      </c>
      <c r="B56" s="192">
        <v>1</v>
      </c>
    </row>
    <row r="57" spans="1:2" ht="15" customHeight="1" x14ac:dyDescent="0.7">
      <c r="A57" t="s">
        <v>861</v>
      </c>
      <c r="B57" s="192">
        <v>1</v>
      </c>
    </row>
    <row r="58" spans="1:2" ht="15" customHeight="1" x14ac:dyDescent="0.7">
      <c r="A58" t="s">
        <v>862</v>
      </c>
      <c r="B58" s="192">
        <v>1</v>
      </c>
    </row>
    <row r="59" spans="1:2" ht="15" customHeight="1" x14ac:dyDescent="0.7">
      <c r="A59" t="s">
        <v>863</v>
      </c>
      <c r="B59" s="192">
        <v>1.5</v>
      </c>
    </row>
    <row r="60" spans="1:2" ht="15" customHeight="1" x14ac:dyDescent="0.7">
      <c r="A60" t="s">
        <v>864</v>
      </c>
      <c r="B60" s="192">
        <v>1.1000000000000001</v>
      </c>
    </row>
    <row r="61" spans="1:2" ht="15" customHeight="1" x14ac:dyDescent="0.7">
      <c r="A61" t="s">
        <v>865</v>
      </c>
      <c r="B61" s="192">
        <v>1</v>
      </c>
    </row>
    <row r="62" spans="1:2" ht="15" customHeight="1" x14ac:dyDescent="0.7">
      <c r="A62" t="s">
        <v>866</v>
      </c>
      <c r="B62" s="192">
        <v>1</v>
      </c>
    </row>
    <row r="63" spans="1:2" ht="15" customHeight="1" x14ac:dyDescent="0.7">
      <c r="A63" t="s">
        <v>867</v>
      </c>
      <c r="B63" s="192">
        <v>0.9</v>
      </c>
    </row>
    <row r="64" spans="1:2" ht="15" customHeight="1" x14ac:dyDescent="0.7">
      <c r="A64" t="s">
        <v>868</v>
      </c>
      <c r="B64" s="192">
        <v>1</v>
      </c>
    </row>
    <row r="65" spans="1:2" ht="15" customHeight="1" x14ac:dyDescent="0.7">
      <c r="A65" t="s">
        <v>869</v>
      </c>
      <c r="B65" s="192">
        <v>1</v>
      </c>
    </row>
    <row r="66" spans="1:2" ht="15" customHeight="1" x14ac:dyDescent="0.7">
      <c r="A66" t="s">
        <v>870</v>
      </c>
      <c r="B66" s="192">
        <v>0.8</v>
      </c>
    </row>
    <row r="67" spans="1:2" ht="15" customHeight="1" x14ac:dyDescent="0.7">
      <c r="A67" t="s">
        <v>871</v>
      </c>
      <c r="B67" s="192">
        <v>1</v>
      </c>
    </row>
    <row r="68" spans="1:2" ht="15" customHeight="1" x14ac:dyDescent="0.7">
      <c r="A68" t="s">
        <v>872</v>
      </c>
      <c r="B68" s="192">
        <v>1.1000000000000001</v>
      </c>
    </row>
    <row r="69" spans="1:2" ht="15" customHeight="1" x14ac:dyDescent="0.7">
      <c r="A69" t="s">
        <v>873</v>
      </c>
      <c r="B69" s="192">
        <v>0.8</v>
      </c>
    </row>
    <row r="70" spans="1:2" ht="15" customHeight="1" x14ac:dyDescent="0.7">
      <c r="A70" t="s">
        <v>874</v>
      </c>
      <c r="B70" s="192">
        <v>1</v>
      </c>
    </row>
    <row r="71" spans="1:2" ht="15" customHeight="1" x14ac:dyDescent="0.7">
      <c r="A71" t="s">
        <v>875</v>
      </c>
      <c r="B71" s="192">
        <v>1.1000000000000001</v>
      </c>
    </row>
    <row r="72" spans="1:2" ht="15" customHeight="1" x14ac:dyDescent="0.7">
      <c r="A72" t="s">
        <v>876</v>
      </c>
      <c r="B72" s="192">
        <v>1.1000000000000001</v>
      </c>
    </row>
    <row r="73" spans="1:2" ht="15" customHeight="1" x14ac:dyDescent="0.7">
      <c r="A73" t="s">
        <v>877</v>
      </c>
      <c r="B73" s="192">
        <v>1</v>
      </c>
    </row>
    <row r="74" spans="1:2" ht="15" customHeight="1" x14ac:dyDescent="0.7">
      <c r="A74" t="s">
        <v>878</v>
      </c>
      <c r="B74" s="192">
        <v>1</v>
      </c>
    </row>
    <row r="75" spans="1:2" ht="15" customHeight="1" x14ac:dyDescent="0.7">
      <c r="A75" t="s">
        <v>879</v>
      </c>
      <c r="B75" s="192">
        <v>1</v>
      </c>
    </row>
    <row r="76" spans="1:2" ht="15" customHeight="1" x14ac:dyDescent="0.7">
      <c r="A76" t="s">
        <v>880</v>
      </c>
      <c r="B76" s="192">
        <v>1</v>
      </c>
    </row>
    <row r="77" spans="1:2" ht="15" customHeight="1" x14ac:dyDescent="0.7">
      <c r="A77" t="s">
        <v>881</v>
      </c>
      <c r="B77" s="192">
        <v>1.2</v>
      </c>
    </row>
    <row r="78" spans="1:2" ht="15" customHeight="1" x14ac:dyDescent="0.7">
      <c r="A78" t="s">
        <v>882</v>
      </c>
      <c r="B78" s="192">
        <v>1</v>
      </c>
    </row>
    <row r="79" spans="1:2" ht="15" customHeight="1" x14ac:dyDescent="0.7">
      <c r="A79" t="s">
        <v>883</v>
      </c>
      <c r="B79" s="192">
        <v>1</v>
      </c>
    </row>
    <row r="80" spans="1:2" ht="15" customHeight="1" x14ac:dyDescent="0.7">
      <c r="A80" t="s">
        <v>884</v>
      </c>
      <c r="B80" s="192">
        <v>1</v>
      </c>
    </row>
    <row r="81" spans="1:2" ht="15" customHeight="1" x14ac:dyDescent="0.7">
      <c r="A81" t="s">
        <v>885</v>
      </c>
      <c r="B81" s="192">
        <v>0.9</v>
      </c>
    </row>
    <row r="82" spans="1:2" ht="15" customHeight="1" x14ac:dyDescent="0.7">
      <c r="A82" t="s">
        <v>886</v>
      </c>
      <c r="B82" s="192">
        <v>1</v>
      </c>
    </row>
    <row r="83" spans="1:2" ht="15" customHeight="1" x14ac:dyDescent="0.7">
      <c r="A83" t="s">
        <v>887</v>
      </c>
      <c r="B83" s="192">
        <v>0.9</v>
      </c>
    </row>
    <row r="84" spans="1:2" ht="15" customHeight="1" x14ac:dyDescent="0.7">
      <c r="A84" t="s">
        <v>888</v>
      </c>
      <c r="B84" s="192">
        <v>1</v>
      </c>
    </row>
    <row r="85" spans="1:2" ht="15" customHeight="1" x14ac:dyDescent="0.7">
      <c r="A85" t="s">
        <v>889</v>
      </c>
      <c r="B85" s="192">
        <v>1.8</v>
      </c>
    </row>
    <row r="86" spans="1:2" ht="15" customHeight="1" x14ac:dyDescent="0.7">
      <c r="A86" t="s">
        <v>890</v>
      </c>
      <c r="B86" s="192">
        <v>1.1000000000000001</v>
      </c>
    </row>
    <row r="87" spans="1:2" ht="15" customHeight="1" x14ac:dyDescent="0.7">
      <c r="A87" t="s">
        <v>891</v>
      </c>
      <c r="B87" s="192">
        <v>0.9</v>
      </c>
    </row>
    <row r="88" spans="1:2" ht="15" customHeight="1" x14ac:dyDescent="0.7">
      <c r="A88" t="s">
        <v>892</v>
      </c>
      <c r="B88" s="192">
        <v>0.9</v>
      </c>
    </row>
    <row r="89" spans="1:2" ht="15" customHeight="1" x14ac:dyDescent="0.7">
      <c r="A89" t="s">
        <v>893</v>
      </c>
      <c r="B89" s="192">
        <v>1</v>
      </c>
    </row>
    <row r="90" spans="1:2" ht="15" customHeight="1" x14ac:dyDescent="0.7">
      <c r="A90" t="s">
        <v>894</v>
      </c>
      <c r="B90" s="192">
        <v>1.2</v>
      </c>
    </row>
    <row r="91" spans="1:2" ht="15" customHeight="1" x14ac:dyDescent="0.7">
      <c r="A91" t="s">
        <v>895</v>
      </c>
      <c r="B91" s="192">
        <v>1</v>
      </c>
    </row>
    <row r="92" spans="1:2" ht="15" customHeight="1" x14ac:dyDescent="0.7">
      <c r="A92" t="s">
        <v>896</v>
      </c>
      <c r="B92" s="192">
        <v>1</v>
      </c>
    </row>
    <row r="93" spans="1:2" ht="15" customHeight="1" x14ac:dyDescent="0.7">
      <c r="A93" t="s">
        <v>897</v>
      </c>
      <c r="B93" s="192">
        <v>0.8</v>
      </c>
    </row>
    <row r="94" spans="1:2" ht="15" customHeight="1" x14ac:dyDescent="0.7">
      <c r="A94" t="s">
        <v>898</v>
      </c>
      <c r="B94" s="192">
        <v>1</v>
      </c>
    </row>
    <row r="95" spans="1:2" ht="15" customHeight="1" x14ac:dyDescent="0.7">
      <c r="A95" t="s">
        <v>899</v>
      </c>
      <c r="B95" s="192">
        <v>1</v>
      </c>
    </row>
    <row r="96" spans="1:2" ht="15" customHeight="1" x14ac:dyDescent="0.7">
      <c r="A96" t="s">
        <v>900</v>
      </c>
      <c r="B96" s="192">
        <v>1.5</v>
      </c>
    </row>
    <row r="97" spans="1:2" ht="15" customHeight="1" x14ac:dyDescent="0.7">
      <c r="A97" t="s">
        <v>901</v>
      </c>
      <c r="B97" s="192">
        <v>1.1000000000000001</v>
      </c>
    </row>
    <row r="98" spans="1:2" ht="15" customHeight="1" x14ac:dyDescent="0.7">
      <c r="A98" t="s">
        <v>902</v>
      </c>
      <c r="B98" s="192">
        <v>1.1000000000000001</v>
      </c>
    </row>
    <row r="99" spans="1:2" ht="15" customHeight="1" x14ac:dyDescent="0.7">
      <c r="A99" t="s">
        <v>903</v>
      </c>
      <c r="B99" s="192">
        <v>0.8</v>
      </c>
    </row>
    <row r="100" spans="1:2" ht="15" customHeight="1" x14ac:dyDescent="0.7">
      <c r="A100" t="s">
        <v>904</v>
      </c>
      <c r="B100" s="192">
        <v>1</v>
      </c>
    </row>
    <row r="101" spans="1:2" ht="15" customHeight="1" x14ac:dyDescent="0.7">
      <c r="A101" t="s">
        <v>905</v>
      </c>
      <c r="B101" s="192">
        <v>0.9</v>
      </c>
    </row>
    <row r="102" spans="1:2" ht="15" customHeight="1" x14ac:dyDescent="0.7">
      <c r="A102" t="s">
        <v>906</v>
      </c>
      <c r="B102" s="192">
        <v>1.1000000000000001</v>
      </c>
    </row>
    <row r="103" spans="1:2" ht="15" customHeight="1" x14ac:dyDescent="0.7">
      <c r="A103" t="s">
        <v>907</v>
      </c>
      <c r="B103" s="192">
        <v>1</v>
      </c>
    </row>
    <row r="104" spans="1:2" ht="15" customHeight="1" x14ac:dyDescent="0.7">
      <c r="A104" t="s">
        <v>908</v>
      </c>
      <c r="B104" s="192">
        <v>1.1000000000000001</v>
      </c>
    </row>
    <row r="105" spans="1:2" ht="15" customHeight="1" x14ac:dyDescent="0.7">
      <c r="A105" t="s">
        <v>909</v>
      </c>
      <c r="B105" s="192">
        <v>1</v>
      </c>
    </row>
    <row r="106" spans="1:2" ht="15" customHeight="1" x14ac:dyDescent="0.7">
      <c r="A106" t="s">
        <v>910</v>
      </c>
      <c r="B106" s="192">
        <v>1</v>
      </c>
    </row>
    <row r="107" spans="1:2" ht="15" customHeight="1" x14ac:dyDescent="0.7">
      <c r="A107" t="s">
        <v>911</v>
      </c>
      <c r="B107" s="192">
        <v>1</v>
      </c>
    </row>
    <row r="108" spans="1:2" ht="15" customHeight="1" x14ac:dyDescent="0.7">
      <c r="A108" t="s">
        <v>912</v>
      </c>
      <c r="B108" s="192">
        <v>1.1000000000000001</v>
      </c>
    </row>
    <row r="109" spans="1:2" ht="15" customHeight="1" x14ac:dyDescent="0.7">
      <c r="A109" t="s">
        <v>913</v>
      </c>
      <c r="B109" s="192">
        <v>1.4</v>
      </c>
    </row>
    <row r="110" spans="1:2" ht="15" customHeight="1" x14ac:dyDescent="0.7">
      <c r="A110" t="s">
        <v>914</v>
      </c>
      <c r="B110" s="192">
        <v>1.2</v>
      </c>
    </row>
    <row r="111" spans="1:2" ht="15" customHeight="1" x14ac:dyDescent="0.7">
      <c r="A111" t="s">
        <v>915</v>
      </c>
      <c r="B111" s="192">
        <v>0.9</v>
      </c>
    </row>
    <row r="112" spans="1:2" ht="15" customHeight="1" x14ac:dyDescent="0.7">
      <c r="A112" t="s">
        <v>916</v>
      </c>
      <c r="B112" s="192">
        <v>0.9</v>
      </c>
    </row>
    <row r="113" spans="1:2" ht="15" customHeight="1" x14ac:dyDescent="0.7">
      <c r="A113" t="s">
        <v>917</v>
      </c>
      <c r="B113" s="192">
        <v>0.8</v>
      </c>
    </row>
    <row r="114" spans="1:2" ht="15" customHeight="1" x14ac:dyDescent="0.7">
      <c r="A114" t="s">
        <v>918</v>
      </c>
      <c r="B114" s="192">
        <v>0.9</v>
      </c>
    </row>
    <row r="115" spans="1:2" ht="15" customHeight="1" x14ac:dyDescent="0.7">
      <c r="A115" t="s">
        <v>919</v>
      </c>
      <c r="B115" s="192">
        <v>0.9</v>
      </c>
    </row>
    <row r="116" spans="1:2" ht="15" customHeight="1" x14ac:dyDescent="0.7">
      <c r="A116" t="s">
        <v>920</v>
      </c>
      <c r="B116" s="192">
        <v>0.9</v>
      </c>
    </row>
    <row r="117" spans="1:2" ht="15" customHeight="1" x14ac:dyDescent="0.7">
      <c r="A117" t="s">
        <v>921</v>
      </c>
      <c r="B117" s="192">
        <v>1.8</v>
      </c>
    </row>
    <row r="118" spans="1:2" ht="15" customHeight="1" x14ac:dyDescent="0.7">
      <c r="A118" t="s">
        <v>922</v>
      </c>
      <c r="B118" s="192">
        <v>1</v>
      </c>
    </row>
    <row r="119" spans="1:2" ht="15" customHeight="1" x14ac:dyDescent="0.7">
      <c r="A119" t="s">
        <v>923</v>
      </c>
      <c r="B119" s="192">
        <v>1</v>
      </c>
    </row>
    <row r="120" spans="1:2" ht="15" customHeight="1" x14ac:dyDescent="0.7">
      <c r="A120" t="s">
        <v>924</v>
      </c>
      <c r="B120" s="192">
        <v>1.5</v>
      </c>
    </row>
    <row r="121" spans="1:2" ht="15" customHeight="1" x14ac:dyDescent="0.7">
      <c r="A121" t="s">
        <v>925</v>
      </c>
      <c r="B121" s="192">
        <v>0.9</v>
      </c>
    </row>
    <row r="122" spans="1:2" ht="15" customHeight="1" x14ac:dyDescent="0.7">
      <c r="A122" t="s">
        <v>926</v>
      </c>
      <c r="B122" s="192">
        <v>0.9</v>
      </c>
    </row>
    <row r="123" spans="1:2" ht="15" customHeight="1" x14ac:dyDescent="0.7">
      <c r="A123" t="s">
        <v>927</v>
      </c>
      <c r="B123" s="192">
        <v>0.9</v>
      </c>
    </row>
    <row r="124" spans="1:2" ht="15" customHeight="1" x14ac:dyDescent="0.7">
      <c r="A124" t="s">
        <v>928</v>
      </c>
      <c r="B124" s="192">
        <v>1.1000000000000001</v>
      </c>
    </row>
    <row r="125" spans="1:2" ht="15" customHeight="1" x14ac:dyDescent="0.7">
      <c r="A125" t="s">
        <v>929</v>
      </c>
      <c r="B125" s="192">
        <v>0.8</v>
      </c>
    </row>
    <row r="126" spans="1:2" ht="15" customHeight="1" x14ac:dyDescent="0.7">
      <c r="A126" t="s">
        <v>48</v>
      </c>
      <c r="B126" s="192">
        <v>1</v>
      </c>
    </row>
    <row r="127" spans="1:2" ht="15" customHeight="1" x14ac:dyDescent="0.7">
      <c r="A127" t="s">
        <v>930</v>
      </c>
      <c r="B127" s="192">
        <v>1</v>
      </c>
    </row>
    <row r="128" spans="1:2" ht="15" customHeight="1" x14ac:dyDescent="0.7">
      <c r="A128" t="s">
        <v>931</v>
      </c>
      <c r="B128" s="192">
        <v>1</v>
      </c>
    </row>
    <row r="129" spans="1:2" ht="15" customHeight="1" x14ac:dyDescent="0.7">
      <c r="A129" t="s">
        <v>932</v>
      </c>
      <c r="B129" s="192">
        <v>1</v>
      </c>
    </row>
    <row r="130" spans="1:2" ht="15" customHeight="1" x14ac:dyDescent="0.7">
      <c r="A130" t="s">
        <v>933</v>
      </c>
      <c r="B130" s="192">
        <v>1.8</v>
      </c>
    </row>
    <row r="131" spans="1:2" ht="15" customHeight="1" x14ac:dyDescent="0.7">
      <c r="A131" t="s">
        <v>934</v>
      </c>
      <c r="B131" s="192">
        <v>0.9</v>
      </c>
    </row>
    <row r="132" spans="1:2" ht="15" customHeight="1" x14ac:dyDescent="0.7">
      <c r="A132" t="s">
        <v>935</v>
      </c>
      <c r="B132" s="192">
        <v>1</v>
      </c>
    </row>
    <row r="133" spans="1:2" ht="15" customHeight="1" x14ac:dyDescent="0.7">
      <c r="A133" t="s">
        <v>936</v>
      </c>
      <c r="B133" s="192">
        <v>1.3</v>
      </c>
    </row>
    <row r="134" spans="1:2" ht="15" customHeight="1" x14ac:dyDescent="0.7">
      <c r="A134" t="s">
        <v>937</v>
      </c>
      <c r="B134" s="192">
        <v>0.8</v>
      </c>
    </row>
    <row r="135" spans="1:2" ht="15" customHeight="1" x14ac:dyDescent="0.7">
      <c r="A135" t="s">
        <v>938</v>
      </c>
      <c r="B135" s="192">
        <v>1</v>
      </c>
    </row>
    <row r="136" spans="1:2" ht="15" customHeight="1" x14ac:dyDescent="0.7">
      <c r="A136" t="s">
        <v>939</v>
      </c>
      <c r="B136" s="192">
        <v>1.4</v>
      </c>
    </row>
    <row r="137" spans="1:2" ht="15" customHeight="1" x14ac:dyDescent="0.7">
      <c r="A137" t="s">
        <v>940</v>
      </c>
      <c r="B137" s="192">
        <v>1</v>
      </c>
    </row>
    <row r="138" spans="1:2" ht="15" customHeight="1" x14ac:dyDescent="0.7">
      <c r="A138" t="s">
        <v>941</v>
      </c>
      <c r="B138" s="192">
        <v>0.9</v>
      </c>
    </row>
    <row r="139" spans="1:2" ht="15" customHeight="1" x14ac:dyDescent="0.7">
      <c r="A139" t="s">
        <v>942</v>
      </c>
      <c r="B139" s="192">
        <v>1</v>
      </c>
    </row>
    <row r="140" spans="1:2" ht="15" customHeight="1" x14ac:dyDescent="0.7">
      <c r="A140" t="s">
        <v>943</v>
      </c>
      <c r="B140" s="192">
        <v>0.9</v>
      </c>
    </row>
    <row r="141" spans="1:2" ht="15" customHeight="1" x14ac:dyDescent="0.7">
      <c r="A141" t="s">
        <v>944</v>
      </c>
      <c r="B141" s="192">
        <v>0.8</v>
      </c>
    </row>
    <row r="142" spans="1:2" ht="15" customHeight="1" x14ac:dyDescent="0.7">
      <c r="A142" t="s">
        <v>945</v>
      </c>
      <c r="B142" s="192">
        <v>1</v>
      </c>
    </row>
    <row r="143" spans="1:2" ht="15" customHeight="1" x14ac:dyDescent="0.7">
      <c r="A143" t="s">
        <v>946</v>
      </c>
      <c r="B143" s="192">
        <v>0.9</v>
      </c>
    </row>
    <row r="144" spans="1:2" ht="15" customHeight="1" x14ac:dyDescent="0.7">
      <c r="A144" t="s">
        <v>947</v>
      </c>
      <c r="B144" s="192">
        <v>0.8</v>
      </c>
    </row>
    <row r="145" spans="1:2" ht="15" customHeight="1" x14ac:dyDescent="0.7">
      <c r="A145" t="s">
        <v>948</v>
      </c>
      <c r="B145" s="192">
        <v>1</v>
      </c>
    </row>
    <row r="146" spans="1:2" ht="15" customHeight="1" x14ac:dyDescent="0.7">
      <c r="A146" t="s">
        <v>949</v>
      </c>
      <c r="B146" s="192">
        <v>1</v>
      </c>
    </row>
    <row r="147" spans="1:2" ht="15" customHeight="1" x14ac:dyDescent="0.7">
      <c r="A147" t="s">
        <v>950</v>
      </c>
      <c r="B147" s="192">
        <v>1.2</v>
      </c>
    </row>
    <row r="148" spans="1:2" ht="15" customHeight="1" x14ac:dyDescent="0.7">
      <c r="A148" t="s">
        <v>951</v>
      </c>
      <c r="B148" s="192">
        <v>0.9</v>
      </c>
    </row>
    <row r="149" spans="1:2" ht="15" customHeight="1" x14ac:dyDescent="0.7">
      <c r="A149" t="s">
        <v>952</v>
      </c>
      <c r="B149" s="192">
        <v>1</v>
      </c>
    </row>
    <row r="150" spans="1:2" ht="15" customHeight="1" x14ac:dyDescent="0.7">
      <c r="A150" t="s">
        <v>953</v>
      </c>
      <c r="B150" s="192">
        <v>1</v>
      </c>
    </row>
    <row r="151" spans="1:2" ht="15" customHeight="1" x14ac:dyDescent="0.7">
      <c r="A151" t="s">
        <v>954</v>
      </c>
      <c r="B151" s="192">
        <v>0.9</v>
      </c>
    </row>
    <row r="152" spans="1:2" ht="15" customHeight="1" x14ac:dyDescent="0.7">
      <c r="A152" t="s">
        <v>955</v>
      </c>
      <c r="B152" s="192">
        <v>0.9</v>
      </c>
    </row>
    <row r="153" spans="1:2" ht="15" customHeight="1" x14ac:dyDescent="0.7">
      <c r="A153" t="s">
        <v>956</v>
      </c>
      <c r="B153" s="192">
        <v>1.1000000000000001</v>
      </c>
    </row>
    <row r="154" spans="1:2" ht="15" customHeight="1" x14ac:dyDescent="0.7">
      <c r="A154" t="s">
        <v>957</v>
      </c>
      <c r="B154" s="192">
        <v>0.9</v>
      </c>
    </row>
    <row r="155" spans="1:2" ht="15" customHeight="1" x14ac:dyDescent="0.7">
      <c r="A155" t="s">
        <v>958</v>
      </c>
      <c r="B155" s="192">
        <v>1</v>
      </c>
    </row>
    <row r="156" spans="1:2" ht="15" customHeight="1" x14ac:dyDescent="0.7">
      <c r="A156" t="s">
        <v>959</v>
      </c>
      <c r="B156" s="192">
        <v>1.3</v>
      </c>
    </row>
    <row r="157" spans="1:2" ht="15" customHeight="1" x14ac:dyDescent="0.7">
      <c r="A157" t="s">
        <v>960</v>
      </c>
      <c r="B157" s="192">
        <v>1.1000000000000001</v>
      </c>
    </row>
    <row r="158" spans="1:2" ht="15" customHeight="1" x14ac:dyDescent="0.7">
      <c r="A158" t="s">
        <v>961</v>
      </c>
      <c r="B158" s="192">
        <v>0.8</v>
      </c>
    </row>
    <row r="159" spans="1:2" ht="15" customHeight="1" x14ac:dyDescent="0.7">
      <c r="A159" t="s">
        <v>962</v>
      </c>
      <c r="B159" s="192">
        <v>1.1000000000000001</v>
      </c>
    </row>
    <row r="160" spans="1:2" ht="15" customHeight="1" x14ac:dyDescent="0.7">
      <c r="A160" t="s">
        <v>963</v>
      </c>
      <c r="B160" s="192">
        <v>1.5</v>
      </c>
    </row>
    <row r="161" spans="1:2" ht="15" customHeight="1" x14ac:dyDescent="0.7">
      <c r="A161" t="s">
        <v>964</v>
      </c>
      <c r="B161" s="192">
        <v>0.8</v>
      </c>
    </row>
    <row r="162" spans="1:2" ht="15" customHeight="1" x14ac:dyDescent="0.7">
      <c r="A162" t="s">
        <v>965</v>
      </c>
      <c r="B162" s="192">
        <v>1.5</v>
      </c>
    </row>
    <row r="163" spans="1:2" ht="15" customHeight="1" x14ac:dyDescent="0.7">
      <c r="A163" t="s">
        <v>966</v>
      </c>
      <c r="B163" s="192">
        <v>0.9</v>
      </c>
    </row>
    <row r="164" spans="1:2" ht="15" customHeight="1" x14ac:dyDescent="0.7">
      <c r="A164" t="s">
        <v>967</v>
      </c>
      <c r="B164" s="192">
        <v>0.8</v>
      </c>
    </row>
    <row r="165" spans="1:2" ht="15" customHeight="1" x14ac:dyDescent="0.7">
      <c r="A165" t="s">
        <v>968</v>
      </c>
      <c r="B165" s="192">
        <v>1.3</v>
      </c>
    </row>
    <row r="166" spans="1:2" ht="15" customHeight="1" x14ac:dyDescent="0.7">
      <c r="A166" t="s">
        <v>969</v>
      </c>
      <c r="B166" s="192">
        <v>1.6</v>
      </c>
    </row>
    <row r="167" spans="1:2" ht="15" customHeight="1" x14ac:dyDescent="0.7">
      <c r="A167" t="s">
        <v>970</v>
      </c>
      <c r="B167" s="192">
        <v>0.9</v>
      </c>
    </row>
    <row r="168" spans="1:2" ht="15" customHeight="1" x14ac:dyDescent="0.7">
      <c r="A168" t="s">
        <v>971</v>
      </c>
      <c r="B168" s="192">
        <v>0.9</v>
      </c>
    </row>
    <row r="169" spans="1:2" ht="15" customHeight="1" x14ac:dyDescent="0.7">
      <c r="A169" t="s">
        <v>972</v>
      </c>
      <c r="B169" s="192">
        <v>0.9</v>
      </c>
    </row>
    <row r="170" spans="1:2" ht="15" customHeight="1" x14ac:dyDescent="0.7">
      <c r="A170" t="s">
        <v>973</v>
      </c>
      <c r="B170" s="192">
        <v>0.9</v>
      </c>
    </row>
    <row r="171" spans="1:2" ht="15" customHeight="1" x14ac:dyDescent="0.7">
      <c r="A171" t="s">
        <v>974</v>
      </c>
      <c r="B171" s="192">
        <v>1</v>
      </c>
    </row>
    <row r="172" spans="1:2" ht="15" customHeight="1" x14ac:dyDescent="0.7">
      <c r="A172" t="s">
        <v>975</v>
      </c>
      <c r="B172" s="192">
        <v>1.2</v>
      </c>
    </row>
    <row r="173" spans="1:2" ht="15" customHeight="1" x14ac:dyDescent="0.7">
      <c r="A173" t="s">
        <v>976</v>
      </c>
      <c r="B173" s="192">
        <v>1</v>
      </c>
    </row>
    <row r="174" spans="1:2" ht="15" customHeight="1" x14ac:dyDescent="0.7">
      <c r="A174" t="s">
        <v>977</v>
      </c>
      <c r="B174" s="192">
        <v>1</v>
      </c>
    </row>
    <row r="175" spans="1:2" ht="15" customHeight="1" x14ac:dyDescent="0.7">
      <c r="A175" t="s">
        <v>978</v>
      </c>
      <c r="B175" s="192">
        <v>0.9</v>
      </c>
    </row>
    <row r="176" spans="1:2" ht="15" customHeight="1" x14ac:dyDescent="0.7">
      <c r="A176" t="s">
        <v>979</v>
      </c>
      <c r="B176" s="192">
        <v>1.1000000000000001</v>
      </c>
    </row>
    <row r="177" spans="1:2" ht="15" customHeight="1" x14ac:dyDescent="0.7">
      <c r="A177" t="s">
        <v>980</v>
      </c>
      <c r="B177" s="192">
        <v>0.9</v>
      </c>
    </row>
    <row r="178" spans="1:2" ht="15" customHeight="1" x14ac:dyDescent="0.7">
      <c r="A178" t="s">
        <v>981</v>
      </c>
      <c r="B178" s="192">
        <v>0.9</v>
      </c>
    </row>
    <row r="179" spans="1:2" ht="15" customHeight="1" x14ac:dyDescent="0.7">
      <c r="A179" t="s">
        <v>982</v>
      </c>
      <c r="B179" s="192">
        <v>0.8</v>
      </c>
    </row>
    <row r="180" spans="1:2" ht="15" customHeight="1" x14ac:dyDescent="0.7">
      <c r="A180" t="s">
        <v>983</v>
      </c>
      <c r="B180" s="192">
        <v>1</v>
      </c>
    </row>
    <row r="181" spans="1:2" ht="15" customHeight="1" x14ac:dyDescent="0.7">
      <c r="A181" t="s">
        <v>984</v>
      </c>
      <c r="B181" s="192">
        <v>1.1000000000000001</v>
      </c>
    </row>
    <row r="182" spans="1:2" ht="15" customHeight="1" x14ac:dyDescent="0.7">
      <c r="A182" t="s">
        <v>985</v>
      </c>
      <c r="B182" s="192">
        <v>1.1000000000000001</v>
      </c>
    </row>
    <row r="183" spans="1:2" ht="15" customHeight="1" x14ac:dyDescent="0.7">
      <c r="A183" t="s">
        <v>986</v>
      </c>
      <c r="B183" s="192">
        <v>1.2</v>
      </c>
    </row>
    <row r="184" spans="1:2" ht="15" customHeight="1" x14ac:dyDescent="0.7">
      <c r="A184" t="s">
        <v>987</v>
      </c>
      <c r="B184" s="192">
        <v>1.3</v>
      </c>
    </row>
    <row r="185" spans="1:2" ht="15" customHeight="1" x14ac:dyDescent="0.7">
      <c r="A185" t="s">
        <v>988</v>
      </c>
      <c r="B185" s="192">
        <v>0.9</v>
      </c>
    </row>
    <row r="186" spans="1:2" ht="15" customHeight="1" x14ac:dyDescent="0.7">
      <c r="A186" t="s">
        <v>989</v>
      </c>
      <c r="B186" s="192">
        <v>1</v>
      </c>
    </row>
    <row r="187" spans="1:2" ht="15" customHeight="1" x14ac:dyDescent="0.7">
      <c r="A187" t="s">
        <v>990</v>
      </c>
      <c r="B187" s="192">
        <v>1.6</v>
      </c>
    </row>
    <row r="188" spans="1:2" ht="15" customHeight="1" x14ac:dyDescent="0.7">
      <c r="A188" t="s">
        <v>991</v>
      </c>
      <c r="B188" s="192">
        <v>0.9</v>
      </c>
    </row>
    <row r="189" spans="1:2" ht="15" customHeight="1" x14ac:dyDescent="0.7">
      <c r="A189" t="s">
        <v>992</v>
      </c>
      <c r="B189" s="192">
        <v>1</v>
      </c>
    </row>
    <row r="190" spans="1:2" ht="15" customHeight="1" x14ac:dyDescent="0.7">
      <c r="A190" t="s">
        <v>993</v>
      </c>
      <c r="B190" s="192">
        <v>1</v>
      </c>
    </row>
    <row r="191" spans="1:2" ht="15" customHeight="1" x14ac:dyDescent="0.7">
      <c r="A191" t="s">
        <v>994</v>
      </c>
      <c r="B191" s="192">
        <v>0.9</v>
      </c>
    </row>
    <row r="192" spans="1:2" ht="15" customHeight="1" x14ac:dyDescent="0.7">
      <c r="A192" t="s">
        <v>995</v>
      </c>
      <c r="B192" s="192">
        <v>1</v>
      </c>
    </row>
    <row r="193" spans="1:2" ht="15" customHeight="1" x14ac:dyDescent="0.7">
      <c r="A193" t="s">
        <v>996</v>
      </c>
      <c r="B193" s="192">
        <v>1.1000000000000001</v>
      </c>
    </row>
    <row r="194" spans="1:2" ht="15" customHeight="1" x14ac:dyDescent="0.7">
      <c r="A194" t="s">
        <v>997</v>
      </c>
      <c r="B194" s="192">
        <v>0.9</v>
      </c>
    </row>
    <row r="195" spans="1:2" ht="15" customHeight="1" x14ac:dyDescent="0.7">
      <c r="A195" t="s">
        <v>998</v>
      </c>
      <c r="B195" s="192">
        <v>1.2</v>
      </c>
    </row>
    <row r="196" spans="1:2" ht="15" customHeight="1" x14ac:dyDescent="0.7">
      <c r="A196" t="s">
        <v>999</v>
      </c>
      <c r="B196" s="192">
        <v>0.9</v>
      </c>
    </row>
    <row r="197" spans="1:2" ht="15" customHeight="1" x14ac:dyDescent="0.7">
      <c r="A197" t="s">
        <v>1000</v>
      </c>
      <c r="B197" s="192">
        <v>0.9</v>
      </c>
    </row>
    <row r="198" spans="1:2" ht="15" customHeight="1" x14ac:dyDescent="0.7">
      <c r="A198" t="s">
        <v>1001</v>
      </c>
      <c r="B198" s="192">
        <v>0.9</v>
      </c>
    </row>
    <row r="199" spans="1:2" ht="15" customHeight="1" x14ac:dyDescent="0.7">
      <c r="A199" t="s">
        <v>1002</v>
      </c>
      <c r="B199" s="192">
        <v>1.2</v>
      </c>
    </row>
    <row r="200" spans="1:2" ht="15" customHeight="1" x14ac:dyDescent="0.7">
      <c r="A200" t="s">
        <v>1003</v>
      </c>
      <c r="B200" s="192">
        <v>0.9</v>
      </c>
    </row>
    <row r="201" spans="1:2" ht="15" customHeight="1" x14ac:dyDescent="0.7">
      <c r="A201" t="s">
        <v>1004</v>
      </c>
      <c r="B201" s="192">
        <v>1.7</v>
      </c>
    </row>
    <row r="202" spans="1:2" ht="15" customHeight="1" x14ac:dyDescent="0.7">
      <c r="A202" t="s">
        <v>1005</v>
      </c>
      <c r="B202" s="192">
        <v>0.9</v>
      </c>
    </row>
    <row r="203" spans="1:2" ht="15" customHeight="1" x14ac:dyDescent="0.7">
      <c r="A203" t="s">
        <v>1006</v>
      </c>
      <c r="B203" s="192">
        <v>0.9</v>
      </c>
    </row>
    <row r="204" spans="1:2" ht="15" customHeight="1" x14ac:dyDescent="0.7">
      <c r="A204" t="s">
        <v>1007</v>
      </c>
      <c r="B204" s="192">
        <v>1.4</v>
      </c>
    </row>
    <row r="205" spans="1:2" ht="15" customHeight="1" x14ac:dyDescent="0.7">
      <c r="A205" t="s">
        <v>1008</v>
      </c>
      <c r="B205" s="192">
        <v>1.4</v>
      </c>
    </row>
    <row r="206" spans="1:2" ht="15" customHeight="1" x14ac:dyDescent="0.7">
      <c r="A206" t="s">
        <v>1009</v>
      </c>
      <c r="B206" s="192">
        <v>1.3</v>
      </c>
    </row>
    <row r="207" spans="1:2" ht="15" customHeight="1" x14ac:dyDescent="0.7">
      <c r="A207" t="s">
        <v>1010</v>
      </c>
      <c r="B207" s="192">
        <v>0.8</v>
      </c>
    </row>
    <row r="208" spans="1:2" ht="15" customHeight="1" x14ac:dyDescent="0.7">
      <c r="A208" t="s">
        <v>1011</v>
      </c>
      <c r="B208" s="192">
        <v>1.2</v>
      </c>
    </row>
    <row r="209" spans="1:2" ht="15" customHeight="1" x14ac:dyDescent="0.7">
      <c r="A209" t="s">
        <v>1012</v>
      </c>
      <c r="B209" s="192">
        <v>1.1000000000000001</v>
      </c>
    </row>
    <row r="210" spans="1:2" ht="15" customHeight="1" x14ac:dyDescent="0.7">
      <c r="A210" t="s">
        <v>1013</v>
      </c>
      <c r="B210" s="192">
        <v>1</v>
      </c>
    </row>
    <row r="211" spans="1:2" ht="15" customHeight="1" x14ac:dyDescent="0.7">
      <c r="A211" t="s">
        <v>1014</v>
      </c>
      <c r="B211" s="192">
        <v>1.1000000000000001</v>
      </c>
    </row>
    <row r="212" spans="1:2" ht="15" customHeight="1" x14ac:dyDescent="0.7">
      <c r="A212" t="s">
        <v>1015</v>
      </c>
      <c r="B212" s="192">
        <v>1</v>
      </c>
    </row>
    <row r="213" spans="1:2" ht="15" customHeight="1" x14ac:dyDescent="0.7">
      <c r="A213" t="s">
        <v>1016</v>
      </c>
      <c r="B213" s="192">
        <v>0.8</v>
      </c>
    </row>
    <row r="214" spans="1:2" ht="15" customHeight="1" x14ac:dyDescent="0.7">
      <c r="A214" t="s">
        <v>1017</v>
      </c>
      <c r="B214" s="192">
        <v>0.8</v>
      </c>
    </row>
    <row r="215" spans="1:2" ht="15" customHeight="1" x14ac:dyDescent="0.7">
      <c r="A215" t="s">
        <v>1018</v>
      </c>
      <c r="B215" s="192">
        <v>1</v>
      </c>
    </row>
    <row r="216" spans="1:2" ht="15" customHeight="1" x14ac:dyDescent="0.7">
      <c r="A216" t="s">
        <v>1019</v>
      </c>
      <c r="B216" s="192">
        <v>1.4</v>
      </c>
    </row>
    <row r="217" spans="1:2" ht="15" customHeight="1" x14ac:dyDescent="0.7">
      <c r="A217" t="s">
        <v>1020</v>
      </c>
      <c r="B217" s="192">
        <v>1.1000000000000001</v>
      </c>
    </row>
    <row r="218" spans="1:2" ht="15" customHeight="1" x14ac:dyDescent="0.7">
      <c r="A218" t="s">
        <v>1021</v>
      </c>
      <c r="B218" s="192">
        <v>0.8</v>
      </c>
    </row>
    <row r="219" spans="1:2" ht="15" customHeight="1" x14ac:dyDescent="0.7">
      <c r="A219" t="s">
        <v>1022</v>
      </c>
      <c r="B219" s="192">
        <v>1</v>
      </c>
    </row>
    <row r="220" spans="1:2" ht="15" customHeight="1" x14ac:dyDescent="0.7">
      <c r="A220" t="s">
        <v>1023</v>
      </c>
      <c r="B220" s="192">
        <v>1.1000000000000001</v>
      </c>
    </row>
    <row r="221" spans="1:2" ht="15" customHeight="1" x14ac:dyDescent="0.7">
      <c r="A221" t="s">
        <v>1024</v>
      </c>
      <c r="B221" s="192">
        <v>1.4</v>
      </c>
    </row>
    <row r="222" spans="1:2" ht="15" customHeight="1" x14ac:dyDescent="0.7">
      <c r="A222" t="s">
        <v>1025</v>
      </c>
      <c r="B222" s="192">
        <v>1</v>
      </c>
    </row>
    <row r="223" spans="1:2" ht="15" customHeight="1" x14ac:dyDescent="0.7">
      <c r="A223" t="s">
        <v>1026</v>
      </c>
      <c r="B223" s="192">
        <v>0.9</v>
      </c>
    </row>
    <row r="224" spans="1:2" ht="15" customHeight="1" x14ac:dyDescent="0.7">
      <c r="A224" t="s">
        <v>1027</v>
      </c>
      <c r="B224" s="192">
        <v>1.7</v>
      </c>
    </row>
    <row r="225" spans="1:2" ht="15" customHeight="1" x14ac:dyDescent="0.7">
      <c r="A225" t="s">
        <v>1028</v>
      </c>
      <c r="B225" s="192">
        <v>0.8</v>
      </c>
    </row>
    <row r="226" spans="1:2" ht="15" customHeight="1" x14ac:dyDescent="0.7">
      <c r="A226" t="s">
        <v>1029</v>
      </c>
      <c r="B226" s="192">
        <v>0.8</v>
      </c>
    </row>
    <row r="227" spans="1:2" ht="15" customHeight="1" x14ac:dyDescent="0.7">
      <c r="A227" t="s">
        <v>1030</v>
      </c>
      <c r="B227" s="192">
        <v>0.9</v>
      </c>
    </row>
    <row r="228" spans="1:2" ht="15" customHeight="1" x14ac:dyDescent="0.7">
      <c r="A228" t="s">
        <v>1031</v>
      </c>
      <c r="B228" s="192">
        <v>1</v>
      </c>
    </row>
    <row r="229" spans="1:2" ht="15" customHeight="1" x14ac:dyDescent="0.7">
      <c r="A229" t="s">
        <v>1032</v>
      </c>
      <c r="B229" s="192">
        <v>1.1000000000000001</v>
      </c>
    </row>
    <row r="230" spans="1:2" ht="15" customHeight="1" x14ac:dyDescent="0.7">
      <c r="A230" t="s">
        <v>1033</v>
      </c>
      <c r="B230" s="192">
        <v>1.6</v>
      </c>
    </row>
    <row r="231" spans="1:2" ht="15" customHeight="1" x14ac:dyDescent="0.7">
      <c r="A231" t="s">
        <v>1034</v>
      </c>
      <c r="B231" s="192">
        <v>1</v>
      </c>
    </row>
    <row r="232" spans="1:2" ht="15" customHeight="1" x14ac:dyDescent="0.7">
      <c r="A232" t="s">
        <v>1035</v>
      </c>
      <c r="B232" s="192">
        <v>0.9</v>
      </c>
    </row>
    <row r="233" spans="1:2" ht="15" customHeight="1" x14ac:dyDescent="0.7">
      <c r="A233" t="s">
        <v>1036</v>
      </c>
      <c r="B233" s="192">
        <v>1.4</v>
      </c>
    </row>
    <row r="234" spans="1:2" ht="15" customHeight="1" x14ac:dyDescent="0.7">
      <c r="A234" t="s">
        <v>1037</v>
      </c>
      <c r="B234" s="192">
        <v>0.9</v>
      </c>
    </row>
    <row r="235" spans="1:2" ht="15" customHeight="1" x14ac:dyDescent="0.7">
      <c r="A235" t="s">
        <v>1038</v>
      </c>
      <c r="B235" s="192">
        <v>1.2</v>
      </c>
    </row>
    <row r="236" spans="1:2" ht="15" customHeight="1" x14ac:dyDescent="0.7">
      <c r="A236" t="s">
        <v>1039</v>
      </c>
      <c r="B236" s="192">
        <v>1.1000000000000001</v>
      </c>
    </row>
    <row r="237" spans="1:2" ht="15" customHeight="1" x14ac:dyDescent="0.7">
      <c r="A237" t="s">
        <v>1040</v>
      </c>
      <c r="B237" s="192">
        <v>1.1000000000000001</v>
      </c>
    </row>
    <row r="238" spans="1:2" ht="15" customHeight="1" x14ac:dyDescent="0.7">
      <c r="A238" t="s">
        <v>1041</v>
      </c>
      <c r="B238" s="192">
        <v>0.8</v>
      </c>
    </row>
    <row r="239" spans="1:2" ht="15" customHeight="1" x14ac:dyDescent="0.7">
      <c r="A239" t="s">
        <v>1042</v>
      </c>
      <c r="B239" s="192">
        <v>0.8</v>
      </c>
    </row>
    <row r="240" spans="1:2" ht="15" customHeight="1" x14ac:dyDescent="0.7">
      <c r="A240" t="s">
        <v>1043</v>
      </c>
      <c r="B240" s="192">
        <v>1</v>
      </c>
    </row>
    <row r="241" spans="1:2" ht="15" customHeight="1" x14ac:dyDescent="0.7">
      <c r="A241" t="s">
        <v>1044</v>
      </c>
      <c r="B241" s="192">
        <v>1</v>
      </c>
    </row>
    <row r="242" spans="1:2" ht="15" customHeight="1" x14ac:dyDescent="0.7">
      <c r="A242" t="s">
        <v>1045</v>
      </c>
      <c r="B242" s="192">
        <v>1.1000000000000001</v>
      </c>
    </row>
    <row r="243" spans="1:2" ht="15" customHeight="1" x14ac:dyDescent="0.7">
      <c r="A243" t="s">
        <v>1046</v>
      </c>
      <c r="B243" s="192">
        <v>1</v>
      </c>
    </row>
    <row r="244" spans="1:2" ht="15" customHeight="1" x14ac:dyDescent="0.7">
      <c r="A244" t="s">
        <v>1047</v>
      </c>
      <c r="B244" s="192">
        <v>1.1000000000000001</v>
      </c>
    </row>
    <row r="245" spans="1:2" ht="15" customHeight="1" x14ac:dyDescent="0.7">
      <c r="A245" t="s">
        <v>1048</v>
      </c>
      <c r="B245" s="192">
        <v>0.9</v>
      </c>
    </row>
    <row r="246" spans="1:2" ht="15" customHeight="1" x14ac:dyDescent="0.7">
      <c r="A246" t="s">
        <v>1049</v>
      </c>
      <c r="B246" s="192">
        <v>1</v>
      </c>
    </row>
    <row r="247" spans="1:2" ht="15" customHeight="1" x14ac:dyDescent="0.7">
      <c r="A247" t="s">
        <v>1050</v>
      </c>
      <c r="B247" s="192">
        <v>0.8</v>
      </c>
    </row>
    <row r="248" spans="1:2" ht="15" customHeight="1" x14ac:dyDescent="0.7">
      <c r="A248" t="s">
        <v>1051</v>
      </c>
      <c r="B248" s="192">
        <v>0.9</v>
      </c>
    </row>
    <row r="249" spans="1:2" ht="15" customHeight="1" x14ac:dyDescent="0.7">
      <c r="A249" t="s">
        <v>1052</v>
      </c>
      <c r="B249" s="192">
        <v>1</v>
      </c>
    </row>
    <row r="250" spans="1:2" ht="15" customHeight="1" x14ac:dyDescent="0.7">
      <c r="A250" t="s">
        <v>1053</v>
      </c>
      <c r="B250" s="192">
        <v>1</v>
      </c>
    </row>
    <row r="251" spans="1:2" ht="15" customHeight="1" x14ac:dyDescent="0.7">
      <c r="A251" t="s">
        <v>1054</v>
      </c>
      <c r="B251" s="192">
        <v>1.1000000000000001</v>
      </c>
    </row>
    <row r="252" spans="1:2" ht="15" customHeight="1" x14ac:dyDescent="0.7">
      <c r="A252" t="s">
        <v>1055</v>
      </c>
      <c r="B252" s="192">
        <v>1.2</v>
      </c>
    </row>
    <row r="253" spans="1:2" ht="15" customHeight="1" x14ac:dyDescent="0.7">
      <c r="A253" t="s">
        <v>1056</v>
      </c>
      <c r="B253" s="192">
        <v>0.9</v>
      </c>
    </row>
    <row r="254" spans="1:2" ht="15" customHeight="1" x14ac:dyDescent="0.7">
      <c r="A254" t="s">
        <v>1057</v>
      </c>
      <c r="B254" s="192">
        <v>0.8</v>
      </c>
    </row>
    <row r="255" spans="1:2" ht="15" customHeight="1" x14ac:dyDescent="0.7">
      <c r="A255" t="s">
        <v>1058</v>
      </c>
      <c r="B255" s="192">
        <v>0.8</v>
      </c>
    </row>
    <row r="256" spans="1:2" ht="15" customHeight="1" x14ac:dyDescent="0.7">
      <c r="A256" t="s">
        <v>1059</v>
      </c>
      <c r="B256" s="192">
        <v>1.1000000000000001</v>
      </c>
    </row>
    <row r="257" spans="1:2" ht="15" customHeight="1" x14ac:dyDescent="0.7">
      <c r="A257" t="s">
        <v>1060</v>
      </c>
      <c r="B257" s="192">
        <v>0.9</v>
      </c>
    </row>
    <row r="258" spans="1:2" ht="15" customHeight="1" x14ac:dyDescent="0.7">
      <c r="A258" t="s">
        <v>1061</v>
      </c>
      <c r="B258" s="192">
        <v>1</v>
      </c>
    </row>
    <row r="259" spans="1:2" ht="15" customHeight="1" x14ac:dyDescent="0.7">
      <c r="A259" t="s">
        <v>1062</v>
      </c>
      <c r="B259" s="192">
        <v>1</v>
      </c>
    </row>
    <row r="260" spans="1:2" ht="15" customHeight="1" x14ac:dyDescent="0.7">
      <c r="A260" t="s">
        <v>1063</v>
      </c>
      <c r="B260" s="192">
        <v>0.8</v>
      </c>
    </row>
    <row r="261" spans="1:2" ht="15" customHeight="1" x14ac:dyDescent="0.7">
      <c r="A261" t="s">
        <v>1064</v>
      </c>
      <c r="B261" s="192">
        <v>0.9</v>
      </c>
    </row>
    <row r="262" spans="1:2" ht="15" customHeight="1" x14ac:dyDescent="0.7">
      <c r="A262" t="s">
        <v>1065</v>
      </c>
      <c r="B262" s="192">
        <v>1</v>
      </c>
    </row>
    <row r="263" spans="1:2" ht="15" customHeight="1" x14ac:dyDescent="0.7">
      <c r="A263" t="s">
        <v>1066</v>
      </c>
      <c r="B263" s="192">
        <v>0.9</v>
      </c>
    </row>
    <row r="264" spans="1:2" ht="15" customHeight="1" x14ac:dyDescent="0.7">
      <c r="A264" t="s">
        <v>1067</v>
      </c>
      <c r="B264" s="192">
        <v>1</v>
      </c>
    </row>
    <row r="265" spans="1:2" ht="15" customHeight="1" x14ac:dyDescent="0.7">
      <c r="A265" t="s">
        <v>1068</v>
      </c>
      <c r="B265" s="192">
        <v>1</v>
      </c>
    </row>
    <row r="266" spans="1:2" ht="15" customHeight="1" x14ac:dyDescent="0.7">
      <c r="A266" t="s">
        <v>1069</v>
      </c>
      <c r="B266" s="192">
        <v>0.9</v>
      </c>
    </row>
    <row r="267" spans="1:2" ht="15" customHeight="1" x14ac:dyDescent="0.7">
      <c r="A267" t="s">
        <v>1070</v>
      </c>
      <c r="B267" s="192">
        <v>1</v>
      </c>
    </row>
    <row r="268" spans="1:2" ht="15" customHeight="1" x14ac:dyDescent="0.7">
      <c r="A268" t="s">
        <v>1071</v>
      </c>
      <c r="B268" s="192">
        <v>1.3</v>
      </c>
    </row>
    <row r="269" spans="1:2" ht="15" customHeight="1" x14ac:dyDescent="0.7">
      <c r="A269" t="s">
        <v>1072</v>
      </c>
      <c r="B269" s="192">
        <v>1</v>
      </c>
    </row>
    <row r="270" spans="1:2" ht="15" customHeight="1" x14ac:dyDescent="0.7">
      <c r="A270" t="s">
        <v>1073</v>
      </c>
      <c r="B270" s="192">
        <v>1</v>
      </c>
    </row>
    <row r="271" spans="1:2" ht="15" customHeight="1" x14ac:dyDescent="0.7">
      <c r="A271" t="s">
        <v>1074</v>
      </c>
      <c r="B271" s="192">
        <v>1</v>
      </c>
    </row>
    <row r="272" spans="1:2" ht="15" customHeight="1" x14ac:dyDescent="0.7">
      <c r="A272" t="s">
        <v>1075</v>
      </c>
      <c r="B272" s="192">
        <v>1</v>
      </c>
    </row>
    <row r="273" spans="1:2" ht="15" customHeight="1" x14ac:dyDescent="0.7">
      <c r="A273" t="s">
        <v>1076</v>
      </c>
      <c r="B273" s="192">
        <v>0.9</v>
      </c>
    </row>
    <row r="274" spans="1:2" ht="15" customHeight="1" x14ac:dyDescent="0.7">
      <c r="A274" t="s">
        <v>1077</v>
      </c>
      <c r="B274" s="192">
        <v>1</v>
      </c>
    </row>
    <row r="275" spans="1:2" ht="15" customHeight="1" x14ac:dyDescent="0.7">
      <c r="A275" t="s">
        <v>1078</v>
      </c>
      <c r="B275" s="192">
        <v>0.9</v>
      </c>
    </row>
    <row r="276" spans="1:2" ht="15" customHeight="1" x14ac:dyDescent="0.7">
      <c r="A276" t="s">
        <v>1079</v>
      </c>
      <c r="B276" s="192">
        <v>1</v>
      </c>
    </row>
    <row r="277" spans="1:2" ht="15" customHeight="1" x14ac:dyDescent="0.7">
      <c r="A277" t="s">
        <v>1080</v>
      </c>
      <c r="B277" s="192">
        <v>1.2</v>
      </c>
    </row>
    <row r="278" spans="1:2" ht="15" customHeight="1" x14ac:dyDescent="0.7">
      <c r="A278" t="s">
        <v>1081</v>
      </c>
      <c r="B278" s="192">
        <v>0.9</v>
      </c>
    </row>
    <row r="279" spans="1:2" ht="15" customHeight="1" x14ac:dyDescent="0.7">
      <c r="A279" t="s">
        <v>1082</v>
      </c>
      <c r="B279" s="192">
        <v>0.8</v>
      </c>
    </row>
    <row r="280" spans="1:2" ht="15" customHeight="1" x14ac:dyDescent="0.7">
      <c r="A280" t="s">
        <v>1083</v>
      </c>
      <c r="B280" s="192">
        <v>1</v>
      </c>
    </row>
    <row r="281" spans="1:2" ht="15" customHeight="1" x14ac:dyDescent="0.7">
      <c r="A281" t="s">
        <v>1084</v>
      </c>
      <c r="B281" s="192">
        <v>0.8</v>
      </c>
    </row>
    <row r="282" spans="1:2" ht="15" customHeight="1" x14ac:dyDescent="0.7">
      <c r="A282" t="s">
        <v>1085</v>
      </c>
      <c r="B282" s="192">
        <v>1</v>
      </c>
    </row>
    <row r="283" spans="1:2" ht="15" customHeight="1" x14ac:dyDescent="0.7">
      <c r="A283" t="s">
        <v>1086</v>
      </c>
      <c r="B283" s="192">
        <v>1.6</v>
      </c>
    </row>
    <row r="284" spans="1:2" ht="15" customHeight="1" x14ac:dyDescent="0.7">
      <c r="A284" t="s">
        <v>1087</v>
      </c>
      <c r="B284" s="192">
        <v>1</v>
      </c>
    </row>
    <row r="285" spans="1:2" ht="15" customHeight="1" x14ac:dyDescent="0.7">
      <c r="A285" t="s">
        <v>1088</v>
      </c>
      <c r="B285" s="192">
        <v>1.5</v>
      </c>
    </row>
    <row r="286" spans="1:2" ht="15" customHeight="1" x14ac:dyDescent="0.7">
      <c r="A286" t="s">
        <v>1089</v>
      </c>
      <c r="B286" s="192">
        <v>1</v>
      </c>
    </row>
    <row r="287" spans="1:2" ht="15" customHeight="1" x14ac:dyDescent="0.7">
      <c r="A287" t="s">
        <v>1090</v>
      </c>
      <c r="B287" s="192">
        <v>1</v>
      </c>
    </row>
    <row r="288" spans="1:2" ht="15" customHeight="1" x14ac:dyDescent="0.7">
      <c r="A288" t="s">
        <v>1091</v>
      </c>
      <c r="B288" s="192">
        <v>0.9</v>
      </c>
    </row>
    <row r="289" spans="1:2" ht="15" customHeight="1" x14ac:dyDescent="0.7">
      <c r="A289" t="s">
        <v>1092</v>
      </c>
      <c r="B289" s="192">
        <v>1.4</v>
      </c>
    </row>
    <row r="290" spans="1:2" ht="15" customHeight="1" x14ac:dyDescent="0.7">
      <c r="A290" t="s">
        <v>1093</v>
      </c>
      <c r="B290" s="192">
        <v>0.9</v>
      </c>
    </row>
    <row r="291" spans="1:2" ht="15" customHeight="1" x14ac:dyDescent="0.7">
      <c r="A291" t="s">
        <v>1094</v>
      </c>
      <c r="B291" s="192">
        <v>1</v>
      </c>
    </row>
    <row r="292" spans="1:2" ht="15" customHeight="1" x14ac:dyDescent="0.7">
      <c r="A292" t="s">
        <v>1095</v>
      </c>
      <c r="B292" s="192">
        <v>0.9</v>
      </c>
    </row>
    <row r="293" spans="1:2" ht="15" customHeight="1" x14ac:dyDescent="0.7">
      <c r="A293" t="s">
        <v>1096</v>
      </c>
      <c r="B293" s="192">
        <v>1</v>
      </c>
    </row>
    <row r="294" spans="1:2" ht="15" customHeight="1" x14ac:dyDescent="0.7">
      <c r="A294" t="s">
        <v>1097</v>
      </c>
      <c r="B294" s="192">
        <v>1</v>
      </c>
    </row>
    <row r="295" spans="1:2" ht="15" customHeight="1" x14ac:dyDescent="0.7">
      <c r="A295" t="s">
        <v>1098</v>
      </c>
      <c r="B295" s="192">
        <v>1</v>
      </c>
    </row>
    <row r="296" spans="1:2" ht="15" customHeight="1" x14ac:dyDescent="0.7">
      <c r="A296" t="s">
        <v>1099</v>
      </c>
      <c r="B296" s="192">
        <v>0.8</v>
      </c>
    </row>
    <row r="297" spans="1:2" ht="15" customHeight="1" x14ac:dyDescent="0.7">
      <c r="A297" t="s">
        <v>1100</v>
      </c>
      <c r="B297" s="192">
        <v>1</v>
      </c>
    </row>
    <row r="298" spans="1:2" ht="15" customHeight="1" x14ac:dyDescent="0.7">
      <c r="A298" t="s">
        <v>1101</v>
      </c>
      <c r="B298" s="192">
        <v>1.4</v>
      </c>
    </row>
    <row r="299" spans="1:2" ht="15" customHeight="1" x14ac:dyDescent="0.7">
      <c r="A299" t="s">
        <v>1102</v>
      </c>
      <c r="B299" s="192">
        <v>1.5</v>
      </c>
    </row>
    <row r="300" spans="1:2" ht="15" customHeight="1" x14ac:dyDescent="0.7">
      <c r="A300" t="s">
        <v>1103</v>
      </c>
      <c r="B300" s="192">
        <v>1.1000000000000001</v>
      </c>
    </row>
    <row r="301" spans="1:2" ht="15" customHeight="1" x14ac:dyDescent="0.7">
      <c r="A301" t="s">
        <v>1104</v>
      </c>
      <c r="B301" s="192">
        <v>1.5</v>
      </c>
    </row>
    <row r="302" spans="1:2" ht="15" customHeight="1" x14ac:dyDescent="0.7">
      <c r="A302" t="s">
        <v>1105</v>
      </c>
      <c r="B302" s="192">
        <v>0.8</v>
      </c>
    </row>
    <row r="303" spans="1:2" ht="15" customHeight="1" x14ac:dyDescent="0.7">
      <c r="A303" t="s">
        <v>1106</v>
      </c>
      <c r="B303" s="192">
        <v>1</v>
      </c>
    </row>
    <row r="304" spans="1:2" ht="15" customHeight="1" x14ac:dyDescent="0.7">
      <c r="A304" t="s">
        <v>1107</v>
      </c>
      <c r="B304" s="192">
        <v>0.9</v>
      </c>
    </row>
    <row r="305" spans="1:2" ht="15" customHeight="1" x14ac:dyDescent="0.7">
      <c r="A305" t="s">
        <v>1108</v>
      </c>
      <c r="B305" s="192">
        <v>1.3</v>
      </c>
    </row>
    <row r="306" spans="1:2" ht="15" customHeight="1" x14ac:dyDescent="0.7">
      <c r="A306" t="s">
        <v>1109</v>
      </c>
      <c r="B306" s="192">
        <v>1</v>
      </c>
    </row>
    <row r="307" spans="1:2" ht="15" customHeight="1" x14ac:dyDescent="0.7">
      <c r="A307" t="s">
        <v>1110</v>
      </c>
      <c r="B307" s="192">
        <v>1.6</v>
      </c>
    </row>
    <row r="308" spans="1:2" ht="15" customHeight="1" x14ac:dyDescent="0.7">
      <c r="A308" t="s">
        <v>1111</v>
      </c>
      <c r="B308" s="192">
        <v>0.8</v>
      </c>
    </row>
    <row r="309" spans="1:2" ht="15" customHeight="1" x14ac:dyDescent="0.7">
      <c r="A309" t="s">
        <v>1112</v>
      </c>
      <c r="B309" s="192">
        <v>0.8</v>
      </c>
    </row>
    <row r="310" spans="1:2" ht="15" customHeight="1" x14ac:dyDescent="0.7">
      <c r="A310" t="s">
        <v>1113</v>
      </c>
      <c r="B310" s="192">
        <v>0.9</v>
      </c>
    </row>
    <row r="311" spans="1:2" ht="15" customHeight="1" x14ac:dyDescent="0.7">
      <c r="A311" t="s">
        <v>1114</v>
      </c>
      <c r="B311" s="192">
        <v>1</v>
      </c>
    </row>
    <row r="312" spans="1:2" ht="15" customHeight="1" x14ac:dyDescent="0.7">
      <c r="A312" t="s">
        <v>1115</v>
      </c>
      <c r="B312" s="192">
        <v>0.9</v>
      </c>
    </row>
    <row r="313" spans="1:2" ht="15" customHeight="1" x14ac:dyDescent="0.7">
      <c r="A313" t="s">
        <v>1116</v>
      </c>
      <c r="B313" s="192">
        <v>1.3</v>
      </c>
    </row>
    <row r="314" spans="1:2" ht="15" customHeight="1" x14ac:dyDescent="0.7">
      <c r="A314" t="s">
        <v>1117</v>
      </c>
      <c r="B314" s="192">
        <v>1.4</v>
      </c>
    </row>
    <row r="315" spans="1:2" ht="15" customHeight="1" x14ac:dyDescent="0.7">
      <c r="A315" t="s">
        <v>1118</v>
      </c>
      <c r="B315" s="192">
        <v>1</v>
      </c>
    </row>
    <row r="316" spans="1:2" ht="15" customHeight="1" x14ac:dyDescent="0.7">
      <c r="A316" t="s">
        <v>1119</v>
      </c>
      <c r="B316" s="192">
        <v>1</v>
      </c>
    </row>
    <row r="317" spans="1:2" ht="15" customHeight="1" x14ac:dyDescent="0.7">
      <c r="A317" t="s">
        <v>1120</v>
      </c>
      <c r="B317" s="192">
        <v>0.9</v>
      </c>
    </row>
    <row r="318" spans="1:2" ht="15" customHeight="1" x14ac:dyDescent="0.7">
      <c r="A318" t="s">
        <v>1121</v>
      </c>
      <c r="B318" s="192">
        <v>1.6</v>
      </c>
    </row>
    <row r="319" spans="1:2" ht="15" customHeight="1" x14ac:dyDescent="0.7">
      <c r="A319" t="s">
        <v>1122</v>
      </c>
      <c r="B319" s="192">
        <v>1.6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Kalkylblad</vt:lpstr>
      </vt:variant>
      <vt:variant>
        <vt:i4>27</vt:i4>
      </vt:variant>
    </vt:vector>
  </HeadingPairs>
  <TitlesOfParts>
    <vt:vector size="27" baseType="lpstr">
      <vt:lpstr>Instruktion</vt:lpstr>
      <vt:lpstr>Sammanfattning</vt:lpstr>
      <vt:lpstr>Byggnader</vt:lpstr>
      <vt:lpstr>Tidigare deklarationer</vt:lpstr>
      <vt:lpstr>Mätdata</vt:lpstr>
      <vt:lpstr>El</vt:lpstr>
      <vt:lpstr>Besiktningsprotokoll</vt:lpstr>
      <vt:lpstr>Bilder</vt:lpstr>
      <vt:lpstr>Normalisering</vt:lpstr>
      <vt:lpstr>Resultat</vt:lpstr>
      <vt:lpstr>Gripen</vt:lpstr>
      <vt:lpstr>Beräkningshjälp schabloner</vt:lpstr>
      <vt:lpstr>Nyckeltal</vt:lpstr>
      <vt:lpstr>Energiprisfaktorer</vt:lpstr>
      <vt:lpstr>Installera bergvärme</vt:lpstr>
      <vt:lpstr>Injustering av värmesystem</vt:lpstr>
      <vt:lpstr>Styrsystem för värme</vt:lpstr>
      <vt:lpstr>Tilläggisolering av vindsbjälk</vt:lpstr>
      <vt:lpstr>Byte fönster</vt:lpstr>
      <vt:lpstr>Tilläggisol fasad</vt:lpstr>
      <vt:lpstr>Installation F-återvinning</vt:lpstr>
      <vt:lpstr>Installation av solceller</vt:lpstr>
      <vt:lpstr>Byte av pump</vt:lpstr>
      <vt:lpstr>Byte av fläkt</vt:lpstr>
      <vt:lpstr>Övrig åtgärd</vt:lpstr>
      <vt:lpstr>Förslagstexter och kalkyl</vt:lpstr>
      <vt:lpstr>Regler BFS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Peter Persson</dc:creator>
  <dc:description/>
  <cp:lastModifiedBy>Peter Persson</cp:lastModifiedBy>
  <cp:revision>0</cp:revision>
  <cp:lastPrinted>2023-11-24T12:43:16Z</cp:lastPrinted>
  <dcterms:created xsi:type="dcterms:W3CDTF">2007-11-30T10:25:51Z</dcterms:created>
  <dcterms:modified xsi:type="dcterms:W3CDTF">2026-10-03T07:40:57Z</dcterms:modified>
  <dc:language>en-US</dc:language>
</cp:coreProperties>
</file>